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4" autoFilterDateGrouping="1"/>
  </bookViews>
  <sheets>
    <sheet xmlns:r="http://schemas.openxmlformats.org/officeDocument/2006/relationships" name="Tổng quát" sheetId="1" state="visible" r:id="rId1"/>
    <sheet xmlns:r="http://schemas.openxmlformats.org/officeDocument/2006/relationships" name="Chi tiết" sheetId="2" state="visible" r:id="rId2"/>
    <sheet xmlns:r="http://schemas.openxmlformats.org/officeDocument/2006/relationships" name="Link captcha" sheetId="3" state="visible" r:id="rId3"/>
    <sheet xmlns:r="http://schemas.openxmlformats.org/officeDocument/2006/relationships" name="WBS" sheetId="4" state="visible" r:id="rId4"/>
    <sheet xmlns:r="http://schemas.openxmlformats.org/officeDocument/2006/relationships" name="WBS2" sheetId="5" state="visible" r:id="rId5"/>
    <sheet xmlns:r="http://schemas.openxmlformats.org/officeDocument/2006/relationships" name="WEEKLY_REPORT" sheetId="6" state="visible" r:id="rId6"/>
  </sheets>
  <definedNames>
    <definedName name="_xlnm._FilterDatabase" localSheetId="1" hidden="1">'Chi tiết'!$A$1:$Z$141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d/m/yyyy"/>
    <numFmt numFmtId="166" formatCode="0.0%"/>
    <numFmt numFmtId="167" formatCode="yyyy\-mm\-dd\ h:mm:ss"/>
    <numFmt numFmtId="168" formatCode="yyyy-mm-dd h:mm:ss"/>
    <numFmt numFmtId="169" formatCode="yyyy-mm-dd"/>
  </numFmts>
  <fonts count="38">
    <font>
      <name val="Calibri"/>
      <color theme="1"/>
      <sz val="11"/>
      <scheme val="minor"/>
    </font>
    <font>
      <name val="Calibri"/>
      <color theme="1"/>
      <sz val="11"/>
    </font>
    <font>
      <name val="Times New Roman"/>
      <b val="1"/>
      <color theme="1"/>
      <sz val="14"/>
    </font>
    <font>
      <name val="Times New Roman"/>
      <i val="1"/>
      <color theme="1"/>
      <sz val="10"/>
    </font>
    <font>
      <name val="Arial"/>
      <b val="1"/>
      <color rgb="FFFFFFFF"/>
      <sz val="11"/>
    </font>
    <font>
      <name val="Times New Roman"/>
      <b val="1"/>
      <color rgb="FFFFFFFF"/>
      <sz val="11"/>
    </font>
    <font>
      <name val="Times New Roman"/>
      <color theme="1"/>
      <sz val="11"/>
    </font>
    <font>
      <name val="Arial"/>
      <color theme="1"/>
      <sz val="11"/>
    </font>
    <font>
      <name val="Calibri"/>
      <color rgb="FF000000"/>
      <sz val="11"/>
    </font>
    <font>
      <name val="Cambria"/>
      <color rgb="FF0000FF"/>
      <sz val="11"/>
      <u val="single"/>
    </font>
    <font>
      <name val="Times New Roman"/>
      <color rgb="FF000000"/>
      <sz val="11"/>
    </font>
    <font>
      <name val="Times New Roman"/>
      <color theme="10"/>
      <sz val="11"/>
      <u val="single"/>
    </font>
    <font>
      <name val="Times New Roman"/>
      <color theme="10"/>
      <sz val="11"/>
      <u val="single"/>
    </font>
    <font>
      <name val="Calibri"/>
      <color theme="1"/>
      <sz val="11"/>
      <scheme val="minor"/>
    </font>
    <font>
      <name val="Times New Roman"/>
      <b val="1"/>
      <color theme="1"/>
      <sz val="11"/>
    </font>
    <font>
      <name val="Times New Roman"/>
      <color theme="1"/>
      <sz val="10"/>
    </font>
    <font>
      <name val="Times New Roman"/>
      <color theme="10"/>
      <sz val="11"/>
      <u val="single"/>
    </font>
    <font>
      <name val="Times New Roman"/>
      <color theme="1"/>
      <sz val="11"/>
      <u val="single"/>
    </font>
    <font>
      <name val="Times New Roman"/>
      <color theme="10"/>
      <sz val="11"/>
      <u val="single"/>
    </font>
    <font>
      <name val="Times New Roman"/>
      <color rgb="FF0000FF"/>
      <sz val="11"/>
      <u val="single"/>
    </font>
    <font>
      <name val="Times New Roman"/>
      <color rgb="FF000000"/>
      <sz val="11"/>
      <u val="single"/>
    </font>
    <font>
      <name val="Cambria"/>
      <color rgb="FF0563C1"/>
      <sz val="11"/>
      <u val="single"/>
    </font>
    <font>
      <name val="Times New Roman"/>
      <color rgb="FF212121"/>
      <sz val="11"/>
    </font>
    <font>
      <name val="Times New Roman"/>
      <color rgb="FF000000"/>
      <sz val="11"/>
      <u val="single"/>
    </font>
    <font>
      <name val="Times New Roman"/>
      <color rgb="FF001A33"/>
      <sz val="11"/>
    </font>
    <font>
      <name val="Times New Roman"/>
      <color rgb="FF0563C1"/>
      <sz val="11"/>
      <u val="single"/>
    </font>
    <font>
      <name val="Times New Roman"/>
      <color rgb="FF0563C1"/>
      <sz val="11"/>
      <u val="single"/>
    </font>
    <font>
      <name val="Times New Roman"/>
      <color rgb="FF0563C1"/>
      <sz val="11"/>
      <u val="single"/>
    </font>
    <font>
      <name val="Calibri"/>
      <color theme="1"/>
      <sz val="11"/>
      <u val="single"/>
    </font>
    <font>
      <name val="Times New Roman"/>
      <color theme="10"/>
      <sz val="11"/>
      <u val="single"/>
    </font>
    <font>
      <name val="Times New Roman"/>
      <color theme="10"/>
      <sz val="11"/>
      <u val="single"/>
    </font>
    <font>
      <name val="Times New Roman"/>
      <color theme="10"/>
      <sz val="11"/>
      <u val="single"/>
    </font>
    <font>
      <name val="Times New Roman"/>
      <color rgb="FF0563C1"/>
      <sz val="11"/>
      <u val="single"/>
    </font>
    <font>
      <name val="Times New Roman"/>
      <color theme="10"/>
      <sz val="11"/>
    </font>
    <font>
      <b val="1"/>
      <sz val="14"/>
    </font>
    <font>
      <b val="1"/>
      <color rgb="001F4E78"/>
      <sz val="12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rgb="FF0069B9"/>
        <bgColor rgb="FF0069B9"/>
      </patternFill>
    </fill>
    <fill>
      <patternFill patternType="solid">
        <fgColor rgb="FF0070C0"/>
        <bgColor rgb="FF0070C0"/>
      </patternFill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DDEBF7"/>
      </patternFill>
    </fill>
    <fill>
      <patternFill patternType="solid">
        <fgColor theme="0"/>
        <bgColor theme="0"/>
      </patternFill>
    </fill>
    <fill>
      <patternFill patternType="solid">
        <fgColor rgb="001F4E78"/>
      </patternFill>
    </fill>
    <fill>
      <patternFill patternType="solid">
        <fgColor rgb="00DDEBF7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</borders>
  <cellStyleXfs count="1">
    <xf numFmtId="0" fontId="13" fillId="0" borderId="0"/>
  </cellStyleXfs>
  <cellXfs count="1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5" fillId="4" borderId="3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/>
    </xf>
    <xf numFmtId="0" fontId="4" fillId="2" borderId="4" applyAlignment="1" pivotButton="0" quotePrefix="0" xfId="0">
      <alignment horizontal="center"/>
    </xf>
    <xf numFmtId="0" fontId="6" fillId="0" borderId="3" pivotButton="0" quotePrefix="0" xfId="0"/>
    <xf numFmtId="0" fontId="6" fillId="3" borderId="2" pivotButton="0" quotePrefix="0" xfId="0"/>
    <xf numFmtId="0" fontId="9" fillId="0" borderId="0" pivotButton="0" quotePrefix="0" xfId="0"/>
    <xf numFmtId="0" fontId="10" fillId="5" borderId="2" applyAlignment="1" pivotButton="0" quotePrefix="0" xfId="0">
      <alignment vertical="center" wrapText="1"/>
    </xf>
    <xf numFmtId="49" fontId="10" fillId="5" borderId="2" applyAlignment="1" pivotButton="0" quotePrefix="0" xfId="0">
      <alignment horizontal="center" vertical="center"/>
    </xf>
    <xf numFmtId="164" fontId="1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vertical="top" wrapText="1"/>
    </xf>
    <xf numFmtId="0" fontId="6" fillId="0" borderId="2" pivotButton="0" quotePrefix="0" xfId="0"/>
    <xf numFmtId="0" fontId="11" fillId="5" borderId="2" applyAlignment="1" pivotButton="0" quotePrefix="0" xfId="0">
      <alignment vertical="center" wrapText="1"/>
    </xf>
    <xf numFmtId="164" fontId="1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165" fontId="1" fillId="6" borderId="2" applyAlignment="1" pivotButton="0" quotePrefix="0" xfId="0">
      <alignment horizontal="left" vertical="top" wrapText="1"/>
    </xf>
    <xf numFmtId="165" fontId="1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165" fontId="1" fillId="6" borderId="2" applyAlignment="1" pivotButton="0" quotePrefix="0" xfId="0">
      <alignment horizontal="center" vertical="center"/>
    </xf>
    <xf numFmtId="0" fontId="1" fillId="6" borderId="2" applyAlignment="1" pivotButton="0" quotePrefix="0" xfId="0">
      <alignment vertical="top" wrapText="1"/>
    </xf>
    <xf numFmtId="0" fontId="1" fillId="6" borderId="2" applyAlignment="1" pivotButton="0" quotePrefix="0" xfId="0">
      <alignment horizontal="center" vertical="center"/>
    </xf>
    <xf numFmtId="0" fontId="10" fillId="0" borderId="2" applyAlignment="1" pivotButton="0" quotePrefix="0" xfId="0">
      <alignment vertical="center" wrapText="1"/>
    </xf>
    <xf numFmtId="0" fontId="10" fillId="5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wrapText="1"/>
    </xf>
    <xf numFmtId="0" fontId="8" fillId="0" borderId="2" pivotButton="0" quotePrefix="0" xfId="0"/>
    <xf numFmtId="10" fontId="13" fillId="0" borderId="0" pivotButton="0" quotePrefix="0" xfId="0"/>
    <xf numFmtId="0" fontId="8" fillId="0" borderId="5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8" fillId="0" borderId="2" pivotButton="0" quotePrefix="0" xfId="0"/>
    <xf numFmtId="0" fontId="1" fillId="0" borderId="2" pivotButton="0" quotePrefix="0" xfId="0"/>
    <xf numFmtId="0" fontId="1" fillId="0" borderId="2" applyAlignment="1" pivotButton="0" quotePrefix="0" xfId="0">
      <alignment horizontal="center"/>
    </xf>
    <xf numFmtId="0" fontId="1" fillId="0" borderId="2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/>
    </xf>
    <xf numFmtId="0" fontId="14" fillId="7" borderId="3" pivotButton="0" quotePrefix="0" xfId="0"/>
    <xf numFmtId="0" fontId="14" fillId="0" borderId="0" pivotButton="0" quotePrefix="0" xfId="0"/>
    <xf numFmtId="0" fontId="5" fillId="4" borderId="3" applyAlignment="1" pivotButton="0" quotePrefix="0" xfId="0">
      <alignment horizontal="center" wrapText="1"/>
    </xf>
    <xf numFmtId="0" fontId="8" fillId="0" borderId="2" applyAlignment="1" pivotButton="0" quotePrefix="0" xfId="0">
      <alignment vertical="top" wrapText="1"/>
    </xf>
    <xf numFmtId="166" fontId="6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left" vertical="center" wrapText="1"/>
    </xf>
    <xf numFmtId="49" fontId="8" fillId="0" borderId="5" pivotButton="0" quotePrefix="0" xfId="0"/>
    <xf numFmtId="164" fontId="1" fillId="0" borderId="5" applyAlignment="1" pivotButton="0" quotePrefix="0" xfId="0">
      <alignment horizontal="center" vertical="center"/>
    </xf>
    <xf numFmtId="0" fontId="1" fillId="0" borderId="5" applyAlignment="1" pivotButton="0" quotePrefix="0" xfId="0">
      <alignment vertical="top" wrapText="1"/>
    </xf>
    <xf numFmtId="49" fontId="1" fillId="0" borderId="2" pivotButton="0" quotePrefix="0" xfId="0"/>
    <xf numFmtId="0" fontId="7" fillId="0" borderId="2" applyAlignment="1" pivotButton="0" quotePrefix="0" xfId="0">
      <alignment horizontal="left"/>
    </xf>
    <xf numFmtId="166" fontId="14" fillId="7" borderId="3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8" fillId="0" borderId="7" pivotButton="0" quotePrefix="0" xfId="0"/>
    <xf numFmtId="0" fontId="1" fillId="0" borderId="7" applyAlignment="1" pivotButton="0" quotePrefix="0" xfId="0">
      <alignment horizontal="center" vertical="center"/>
    </xf>
    <xf numFmtId="0" fontId="15" fillId="0" borderId="0" pivotButton="0" quotePrefix="0" xfId="0"/>
    <xf numFmtId="0" fontId="8" fillId="6" borderId="2" applyAlignment="1" pivotButton="0" quotePrefix="0" xfId="0">
      <alignment horizontal="left"/>
    </xf>
    <xf numFmtId="0" fontId="6" fillId="0" borderId="3" applyAlignment="1" pivotButton="0" quotePrefix="0" xfId="0">
      <alignment vertical="top" wrapText="1"/>
    </xf>
    <xf numFmtId="0" fontId="16" fillId="0" borderId="2" applyAlignment="1" pivotButton="0" quotePrefix="0" xfId="0">
      <alignment horizontal="center" vertical="center" wrapText="1"/>
    </xf>
    <xf numFmtId="10" fontId="6" fillId="0" borderId="2" applyAlignment="1" pivotButton="0" quotePrefix="0" xfId="0">
      <alignment horizontal="center" vertical="center"/>
    </xf>
    <xf numFmtId="166" fontId="6" fillId="0" borderId="3" pivotButton="0" quotePrefix="0" xfId="0"/>
    <xf numFmtId="0" fontId="1" fillId="0" borderId="0" applyAlignment="1" pivotButton="0" quotePrefix="0" xfId="0">
      <alignment horizontal="center"/>
    </xf>
    <xf numFmtId="0" fontId="17" fillId="0" borderId="2" applyAlignment="1" pivotButton="0" quotePrefix="0" xfId="0">
      <alignment horizontal="center" vertical="center"/>
    </xf>
    <xf numFmtId="166" fontId="14" fillId="7" borderId="3" pivotButton="0" quotePrefix="0" xfId="0"/>
    <xf numFmtId="0" fontId="18" fillId="0" borderId="2" pivotButton="0" quotePrefix="0" xfId="0"/>
    <xf numFmtId="0" fontId="19" fillId="0" borderId="2" applyAlignment="1" pivotButton="0" quotePrefix="0" xfId="0">
      <alignment horizontal="center" vertical="center"/>
    </xf>
    <xf numFmtId="9" fontId="6" fillId="0" borderId="2" applyAlignment="1" pivotButton="0" quotePrefix="0" xfId="0">
      <alignment horizontal="center" vertical="center"/>
    </xf>
    <xf numFmtId="0" fontId="20" fillId="0" borderId="2" applyAlignment="1" pivotButton="0" quotePrefix="0" xfId="0">
      <alignment horizontal="center" vertical="center"/>
    </xf>
    <xf numFmtId="0" fontId="21" fillId="0" borderId="2" pivotButton="0" quotePrefix="0" xfId="0"/>
    <xf numFmtId="0" fontId="22" fillId="5" borderId="2" applyAlignment="1" pivotButton="0" quotePrefix="0" xfId="0">
      <alignment vertical="center" wrapText="1"/>
    </xf>
    <xf numFmtId="0" fontId="22" fillId="5" borderId="2" applyAlignment="1" pivotButton="0" quotePrefix="0" xfId="0">
      <alignment horizontal="left" vertical="center" wrapText="1"/>
    </xf>
    <xf numFmtId="164" fontId="1" fillId="8" borderId="2" applyAlignment="1" pivotButton="0" quotePrefix="0" xfId="0">
      <alignment horizontal="center" vertical="center"/>
    </xf>
    <xf numFmtId="0" fontId="1" fillId="8" borderId="2" applyAlignment="1" pivotButton="0" quotePrefix="0" xfId="0">
      <alignment vertical="top" wrapText="1"/>
    </xf>
    <xf numFmtId="0" fontId="23" fillId="0" borderId="2" applyAlignment="1" pivotButton="0" quotePrefix="0" xfId="0">
      <alignment horizontal="center" vertical="center" wrapText="1"/>
    </xf>
    <xf numFmtId="0" fontId="24" fillId="5" borderId="2" applyAlignment="1" pivotButton="0" quotePrefix="0" xfId="0">
      <alignment vertical="center" wrapText="1"/>
    </xf>
    <xf numFmtId="0" fontId="25" fillId="0" borderId="2" applyAlignment="1" pivotButton="0" quotePrefix="0" xfId="0">
      <alignment horizontal="center" vertical="center" wrapText="1"/>
    </xf>
    <xf numFmtId="0" fontId="26" fillId="5" borderId="2" applyAlignment="1" pivotButton="0" quotePrefix="0" xfId="0">
      <alignment vertical="center" wrapText="1"/>
    </xf>
    <xf numFmtId="0" fontId="27" fillId="0" borderId="2" applyAlignment="1" pivotButton="0" quotePrefix="0" xfId="0">
      <alignment horizontal="center" vertical="center"/>
    </xf>
    <xf numFmtId="0" fontId="28" fillId="0" borderId="2" pivotButton="0" quotePrefix="0" xfId="0"/>
    <xf numFmtId="0" fontId="29" fillId="5" borderId="2" applyAlignment="1" pivotButton="0" quotePrefix="0" xfId="0">
      <alignment horizontal="center" vertical="center" wrapText="1"/>
    </xf>
    <xf numFmtId="0" fontId="30" fillId="0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right" vertical="center" wrapText="1"/>
    </xf>
    <xf numFmtId="0" fontId="31" fillId="5" borderId="2" applyAlignment="1" pivotButton="0" quotePrefix="0" xfId="0">
      <alignment horizontal="left" vertical="center" wrapText="1"/>
    </xf>
    <xf numFmtId="0" fontId="32" fillId="5" borderId="2" applyAlignment="1" pivotButton="0" quotePrefix="0" xfId="0">
      <alignment horizontal="left" vertical="center" wrapText="1"/>
    </xf>
    <xf numFmtId="0" fontId="33" fillId="0" borderId="2" pivotButton="0" quotePrefix="0" xfId="0"/>
    <xf numFmtId="9" fontId="1" fillId="0" borderId="2" applyAlignment="1" pivotButton="0" quotePrefix="0" xfId="0">
      <alignment horizontal="center" vertical="center"/>
    </xf>
    <xf numFmtId="167" fontId="1" fillId="6" borderId="2" applyAlignment="1" pivotButton="0" quotePrefix="0" xfId="0">
      <alignment horizontal="center" vertical="center"/>
    </xf>
    <xf numFmtId="10" fontId="13" fillId="0" borderId="0" applyAlignment="1" pivotButton="0" quotePrefix="0" xfId="0">
      <alignment wrapText="1"/>
    </xf>
    <xf numFmtId="0" fontId="8" fillId="0" borderId="2" applyAlignment="1" pivotButton="0" quotePrefix="0" xfId="0">
      <alignment vertical="center" wrapText="1"/>
    </xf>
    <xf numFmtId="0" fontId="0" fillId="0" borderId="6" pivotButton="0" quotePrefix="0" xfId="0"/>
    <xf numFmtId="0" fontId="0" fillId="0" borderId="7" pivotButton="0" quotePrefix="0" xfId="0"/>
    <xf numFmtId="0" fontId="8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vertical="top" wrapText="1"/>
    </xf>
    <xf numFmtId="0" fontId="7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vertical="top" wrapText="1"/>
    </xf>
    <xf numFmtId="0" fontId="1" fillId="0" borderId="3" pivotButton="0" quotePrefix="0" xfId="0"/>
    <xf numFmtId="0" fontId="0" fillId="0" borderId="3" pivotButton="0" quotePrefix="0" xfId="0"/>
    <xf numFmtId="0" fontId="14" fillId="0" borderId="3" pivotButton="0" quotePrefix="0" xfId="0"/>
    <xf numFmtId="164" fontId="0" fillId="0" borderId="0" pivotButton="0" quotePrefix="0" xfId="0"/>
    <xf numFmtId="0" fontId="34" fillId="0" borderId="0" pivotButton="0" quotePrefix="0" xfId="0"/>
    <xf numFmtId="0" fontId="0" fillId="0" borderId="0" applyAlignment="1" pivotButton="0" quotePrefix="0" xfId="0">
      <alignment vertical="top" wrapText="1"/>
    </xf>
    <xf numFmtId="0" fontId="35" fillId="0" borderId="0" pivotButton="0" quotePrefix="0" xfId="0"/>
    <xf numFmtId="0" fontId="36" fillId="9" borderId="9" applyAlignment="1" pivotButton="0" quotePrefix="0" xfId="0">
      <alignment horizontal="center" vertical="top" wrapText="1"/>
    </xf>
    <xf numFmtId="0" fontId="37" fillId="0" borderId="9" applyAlignment="1" pivotButton="0" quotePrefix="0" xfId="0">
      <alignment horizontal="center" vertical="top" wrapText="1"/>
    </xf>
    <xf numFmtId="164" fontId="0" fillId="0" borderId="9" applyAlignment="1" pivotButton="0" quotePrefix="0" xfId="0">
      <alignment horizontal="center" vertical="top" wrapText="1"/>
    </xf>
    <xf numFmtId="0" fontId="0" fillId="0" borderId="9" applyAlignment="1" pivotButton="0" quotePrefix="0" xfId="0">
      <alignment horizontal="center" vertical="top" wrapText="1"/>
    </xf>
    <xf numFmtId="0" fontId="0" fillId="0" borderId="9" applyAlignment="1" pivotButton="0" quotePrefix="0" xfId="0">
      <alignment vertical="top" wrapText="1"/>
    </xf>
    <xf numFmtId="0" fontId="37" fillId="10" borderId="9" applyAlignment="1" pivotButton="0" quotePrefix="0" xfId="0">
      <alignment vertical="top" wrapText="1"/>
    </xf>
    <xf numFmtId="0" fontId="0" fillId="10" borderId="9" applyAlignment="1" pivotButton="0" quotePrefix="0" xfId="0">
      <alignment vertical="top" wrapText="1"/>
    </xf>
    <xf numFmtId="0" fontId="37" fillId="10" borderId="9" applyAlignment="1" pivotButton="0" quotePrefix="0" xfId="0">
      <alignment horizontal="center" vertical="top" wrapText="1"/>
    </xf>
    <xf numFmtId="0" fontId="37" fillId="0" borderId="0" pivotButton="0" quotePrefix="0" xfId="0"/>
    <xf numFmtId="0" fontId="0" fillId="0" borderId="12" pivotButton="0" quotePrefix="0" xfId="0"/>
    <xf numFmtId="0" fontId="0" fillId="0" borderId="13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K30" authorId="0" shapeId="0">
      <text>
        <t xml:space="preserve">thể lại:
</t>
      </text>
    </comment>
    <comment ref="K33" authorId="0" shapeId="0">
      <text>
        <t xml:space="preserve">thể lại:
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://ehoadondientu.com/" TargetMode="External" Id="rId1"/><Relationship Type="http://schemas.openxmlformats.org/officeDocument/2006/relationships/hyperlink" Target="https://ehoadondientu.com/Tra-cuu" TargetMode="External" Id="rId2"/><Relationship Type="http://schemas.openxmlformats.org/officeDocument/2006/relationships/hyperlink" Target="https://einvoice.fpt.com.vn/" TargetMode="External" Id="rId3"/><Relationship Type="http://schemas.openxmlformats.org/officeDocument/2006/relationships/hyperlink" Target="https://tracuuhoadon.fpt.com.vn/" TargetMode="External" Id="rId4"/><Relationship Type="http://schemas.openxmlformats.org/officeDocument/2006/relationships/hyperlink" Target="https://ihoadon.vn/" TargetMode="External" Id="rId5"/><Relationship Type="http://schemas.openxmlformats.org/officeDocument/2006/relationships/hyperlink" Target="https://ihoadon.vn/kiem-tra/?lang=vn" TargetMode="External" Id="rId6"/><Relationship Type="http://schemas.openxmlformats.org/officeDocument/2006/relationships/hyperlink" Target="https://easyinvoice.vn/" TargetMode="External" Id="rId7"/><Relationship Type="http://schemas.openxmlformats.org/officeDocument/2006/relationships/hyperlink" Target="https://tracuu.easyinvoice.vn/Captcha/Show" TargetMode="External" Id="rId8"/><Relationship Type="http://schemas.openxmlformats.org/officeDocument/2006/relationships/hyperlink" Target="https://tracuu.easyinvoice.vn/Captcha/Show" TargetMode="External" Id="rId9"/><Relationship Type="http://schemas.openxmlformats.org/officeDocument/2006/relationships/hyperlink" Target="https://einvoice.lcs.com.vn/" TargetMode="External" Id="rId10"/><Relationship Type="http://schemas.openxmlformats.org/officeDocument/2006/relationships/hyperlink" Target="https://eip.lcssoft.com.vn/desktop/" TargetMode="External" Id="rId11"/><Relationship Type="http://schemas.openxmlformats.org/officeDocument/2006/relationships/hyperlink" Target="http://kkvat.com.vn/thongtin" TargetMode="External" Id="rId12"/><Relationship Type="http://schemas.openxmlformats.org/officeDocument/2006/relationships/hyperlink" Target="https://tracuuhoadon.kkvat.com.vn/" TargetMode="External" Id="rId13"/><Relationship Type="http://schemas.openxmlformats.org/officeDocument/2006/relationships/hyperlink" Target="https://tracuuhoadon2.xcyber.vn/" TargetMode="External" Id="rId14"/><Relationship Type="http://schemas.openxmlformats.org/officeDocument/2006/relationships/hyperlink" Target="https://tracuuhoadon2.xcyber.vn/" TargetMode="External" Id="rId15"/><Relationship Type="http://schemas.openxmlformats.org/officeDocument/2006/relationships/hyperlink" Target="http://www.ngogiaphat.vn/" TargetMode="External" Id="rId16"/><Relationship Type="http://schemas.openxmlformats.org/officeDocument/2006/relationships/hyperlink" Target="https://tracuuonline.ngogiaphat.vn/Search.aspx" TargetMode="External" Id="rId17"/><Relationship Type="http://schemas.openxmlformats.org/officeDocument/2006/relationships/hyperlink" Target="https://tracuuonline.ngogiaphat.vn/DXB.axd?DXCache=db6b00ec-9728-fe9e-c65d-24724858e745" TargetMode="External" Id="rId18"/><Relationship Type="http://schemas.openxmlformats.org/officeDocument/2006/relationships/hyperlink" Target="https://matbao.in/" TargetMode="External" Id="rId19"/><Relationship Type="http://schemas.openxmlformats.org/officeDocument/2006/relationships/hyperlink" Target="https://matbao.in/tra-cuu-hoa-don" TargetMode="External" Id="rId20"/><Relationship Type="http://schemas.openxmlformats.org/officeDocument/2006/relationships/hyperlink" Target="https://www.nacencomm.com.vn/dich-vu-chi-tiet/hoa-don-dien-tu" TargetMode="External" Id="rId21"/><Relationship Type="http://schemas.openxmlformats.org/officeDocument/2006/relationships/hyperlink" Target="https://hoadon78.nacencomm.vn/tracuuhd.aspx" TargetMode="External" Id="rId22"/><Relationship Type="http://schemas.openxmlformats.org/officeDocument/2006/relationships/hyperlink" Target="https://vinvoice.vn/" TargetMode="External" Id="rId23"/><Relationship Type="http://schemas.openxmlformats.org/officeDocument/2006/relationships/hyperlink" Target="https://tracuu.vinvoice.vn/Captcha/Show" TargetMode="External" Id="rId24"/><Relationship Type="http://schemas.openxmlformats.org/officeDocument/2006/relationships/hyperlink" Target="https://azinvoice.com/" TargetMode="External" Id="rId25"/><Relationship Type="http://schemas.openxmlformats.org/officeDocument/2006/relationships/hyperlink" Target="https://azinvoice.vn/" TargetMode="External" Id="rId26"/><Relationship Type="http://schemas.openxmlformats.org/officeDocument/2006/relationships/hyperlink" Target="https://www.meinvoice.vn/" TargetMode="External" Id="rId27"/><Relationship Type="http://schemas.openxmlformats.org/officeDocument/2006/relationships/hyperlink" Target="https://www.meinvoice.vn/tra-cuu/" TargetMode="External" Id="rId28"/><Relationship Type="http://schemas.openxmlformats.org/officeDocument/2006/relationships/hyperlink" Target="https://minvoice.vn/" TargetMode="External" Id="rId29"/><Relationship Type="http://schemas.openxmlformats.org/officeDocument/2006/relationships/hyperlink" Target="https://tracuuhoadon.minvoice.com.vn/tra-cuu-hoa-don" TargetMode="External" Id="rId30"/><Relationship Type="http://schemas.openxmlformats.org/officeDocument/2006/relationships/hyperlink" Target="http://www.nguyenminhvat.vn/" TargetMode="External" Id="rId31"/><Relationship Type="http://schemas.openxmlformats.org/officeDocument/2006/relationships/hyperlink" Target="https://www.einvoice.vn/" TargetMode="External" Id="rId32"/><Relationship Type="http://schemas.openxmlformats.org/officeDocument/2006/relationships/hyperlink" Target="https://tracuutvan.einvoice.com.vn/" TargetMode="External" Id="rId33"/><Relationship Type="http://schemas.openxmlformats.org/officeDocument/2006/relationships/hyperlink" Target="https://ehoadon.online/" TargetMode="External" Id="rId34"/><Relationship Type="http://schemas.openxmlformats.org/officeDocument/2006/relationships/hyperlink" Target="https://oinvoice.vn/" TargetMode="External" Id="rId35"/><Relationship Type="http://schemas.openxmlformats.org/officeDocument/2006/relationships/hyperlink" Target="https://wininvoice.vn/" TargetMode="External" Id="rId36"/><Relationship Type="http://schemas.openxmlformats.org/officeDocument/2006/relationships/hyperlink" Target="https://tracuu.wininvoice.vn/" TargetMode="External" Id="rId37"/><Relationship Type="http://schemas.openxmlformats.org/officeDocument/2006/relationships/hyperlink" Target="https://viettel.vn/s-invoice" TargetMode="External" Id="rId38"/><Relationship Type="http://schemas.openxmlformats.org/officeDocument/2006/relationships/hyperlink" Target="https://vinvoice.viettel.vn/utilities/invoice-search" TargetMode="External" Id="rId39"/><Relationship Type="http://schemas.openxmlformats.org/officeDocument/2006/relationships/hyperlink" Target="https://tax24.com.vn/thuedientu/san-pham-dich-vu/hoa-don-dien-tu" TargetMode="External" Id="rId40"/><Relationship Type="http://schemas.openxmlformats.org/officeDocument/2006/relationships/hyperlink" Target="https://tax24.com.vn/einvoice/servlet/ImageServlet" TargetMode="External" Id="rId41"/><Relationship Type="http://schemas.openxmlformats.org/officeDocument/2006/relationships/hyperlink" Target="https://newinvoice.com.vn/" TargetMode="External" Id="rId42"/><Relationship Type="http://schemas.openxmlformats.org/officeDocument/2006/relationships/hyperlink" Target="http://3asoft.vn/" TargetMode="External" Id="rId43"/><Relationship Type="http://schemas.openxmlformats.org/officeDocument/2006/relationships/hyperlink" Target="http://hddt.3asoft.vn/" TargetMode="External" Id="rId44"/><Relationship Type="http://schemas.openxmlformats.org/officeDocument/2006/relationships/hyperlink" Target="https://itc.mobifone.vn/giai_phap/mobifone-invoice" TargetMode="External" Id="rId45"/><Relationship Type="http://schemas.openxmlformats.org/officeDocument/2006/relationships/hyperlink" Target="https://van.ehoadon.vn/" TargetMode="External" Id="rId46"/><Relationship Type="http://schemas.openxmlformats.org/officeDocument/2006/relationships/hyperlink" Target="https://asiainvoice.vn/" TargetMode="External" Id="rId47"/><Relationship Type="http://schemas.openxmlformats.org/officeDocument/2006/relationships/hyperlink" Target="https://asiainvoice.vn/tra-cuu/GetCaptcha" TargetMode="External" Id="rId48"/><Relationship Type="http://schemas.openxmlformats.org/officeDocument/2006/relationships/hyperlink" Target="https://vin-hoadon.com/" TargetMode="External" Id="rId49"/><Relationship Type="http://schemas.openxmlformats.org/officeDocument/2006/relationships/hyperlink" Target="https://tracuu.vin-hoadon.com/api/services/hddt/TraCuuHoaDon/RefreshCaptcha" TargetMode="External" Id="rId50"/><Relationship Type="http://schemas.openxmlformats.org/officeDocument/2006/relationships/hyperlink" Target="https://dinhvibachkhoa.vn/" TargetMode="External" Id="rId51"/><Relationship Type="http://schemas.openxmlformats.org/officeDocument/2006/relationships/hyperlink" Target="https://hoadonbachkhoa.pmbk.vn/tra-cuu-hoa-don" TargetMode="External" Id="rId52"/><Relationship Type="http://schemas.openxmlformats.org/officeDocument/2006/relationships/hyperlink" Target="https://vnpt-invoice.com.vn/" TargetMode="External" Id="rId53"/><Relationship Type="http://schemas.openxmlformats.org/officeDocument/2006/relationships/hyperlink" Target="https://portaltool.vnpt-invoice.com.vn/" TargetMode="External" Id="rId54"/><Relationship Type="http://schemas.openxmlformats.org/officeDocument/2006/relationships/hyperlink" Target="https://gateway-hst.vnpt-invoice.com.vn/admin/api/share/get-captcha?width=120&amp;height=40" TargetMode="External" Id="rId55"/><Relationship Type="http://schemas.openxmlformats.org/officeDocument/2006/relationships/hyperlink" Target="https://hiloinvoice.vn/" TargetMode="External" Id="rId56"/><Relationship Type="http://schemas.openxmlformats.org/officeDocument/2006/relationships/hyperlink" Target="https://tracuuhddt78.hilo.com.vn/" TargetMode="External" Id="rId57"/><Relationship Type="http://schemas.openxmlformats.org/officeDocument/2006/relationships/hyperlink" Target="http://hoadondientuvat.com/Thong-tin" TargetMode="External" Id="rId58"/><Relationship Type="http://schemas.openxmlformats.org/officeDocument/2006/relationships/hyperlink" Target="https://hoadondientuvat.com/Tracuu.aspx" TargetMode="External" Id="rId59"/><Relationship Type="http://schemas.openxmlformats.org/officeDocument/2006/relationships/hyperlink" Target="https://www.vninvoice.vn/" TargetMode="External" Id="rId60"/><Relationship Type="http://schemas.openxmlformats.org/officeDocument/2006/relationships/hyperlink" Target="https://tracuu.v50.vninvoice.vn/" TargetMode="External" Id="rId61"/><Relationship Type="http://schemas.openxmlformats.org/officeDocument/2006/relationships/hyperlink" Target="https://www.vnpay.vn/" TargetMode="External" Id="rId62"/><Relationship Type="http://schemas.openxmlformats.org/officeDocument/2006/relationships/hyperlink" Target="https://portal.vnpayinvoice.vn/" TargetMode="External" Id="rId63"/><Relationship Type="http://schemas.openxmlformats.org/officeDocument/2006/relationships/hyperlink" Target="https://vietinvoice.vn/" TargetMode="External" Id="rId64"/><Relationship Type="http://schemas.openxmlformats.org/officeDocument/2006/relationships/hyperlink" Target="https://tracuu.vietinvoice.vn/" TargetMode="External" Id="rId65"/><Relationship Type="http://schemas.openxmlformats.org/officeDocument/2006/relationships/hyperlink" Target="https://hoadontvan.com/" TargetMode="External" Id="rId66"/><Relationship Type="http://schemas.openxmlformats.org/officeDocument/2006/relationships/hyperlink" Target="https://hoadontvan.com/TraCuu" TargetMode="External" Id="rId67"/><Relationship Type="http://schemas.openxmlformats.org/officeDocument/2006/relationships/hyperlink" Target="http://www.smartsign.com.vn/" TargetMode="External" Id="rId68"/><Relationship Type="http://schemas.openxmlformats.org/officeDocument/2006/relationships/hyperlink" Target="https://tracuuhd.smartsign.com.vn/" TargetMode="External" Id="rId69"/><Relationship Type="http://schemas.openxmlformats.org/officeDocument/2006/relationships/hyperlink" Target="https://tracuuhd.smartsign.com.vn/Pages/CImage.aspx" TargetMode="External" Id="rId70"/><Relationship Type="http://schemas.openxmlformats.org/officeDocument/2006/relationships/hyperlink" Target="https://www.xuathoadon.vn/" TargetMode="External" Id="rId71"/><Relationship Type="http://schemas.openxmlformats.org/officeDocument/2006/relationships/hyperlink" Target="https://tracuu.xuathoadon.vn/" TargetMode="External" Id="rId72"/><Relationship Type="http://schemas.openxmlformats.org/officeDocument/2006/relationships/hyperlink" Target="https://www.tctinvoice.com/" TargetMode="External" Id="rId73"/><Relationship Type="http://schemas.openxmlformats.org/officeDocument/2006/relationships/hyperlink" Target="https://ihoadondientu.com/" TargetMode="External" Id="rId74"/><Relationship Type="http://schemas.openxmlformats.org/officeDocument/2006/relationships/hyperlink" Target="https://www.fast.com.vn/" TargetMode="External" Id="rId75"/><Relationship Type="http://schemas.openxmlformats.org/officeDocument/2006/relationships/hyperlink" Target="https://invoice.fast.com.vn/tra-cuu-hoa-don-dien-tu/" TargetMode="External" Id="rId76"/><Relationship Type="http://schemas.openxmlformats.org/officeDocument/2006/relationships/hyperlink" Target="http://www.acconine.vn/" TargetMode="External" Id="rId77"/><Relationship Type="http://schemas.openxmlformats.org/officeDocument/2006/relationships/hyperlink" Target="https://acconline.vn/vn/tra-cuu-hoa-don.htm" TargetMode="External" Id="rId78"/><Relationship Type="http://schemas.openxmlformats.org/officeDocument/2006/relationships/hyperlink" Target="http://htinvoice.com.vn/" TargetMode="External" Id="rId79"/><Relationship Type="http://schemas.openxmlformats.org/officeDocument/2006/relationships/hyperlink" Target="https://laphoadon.htinvoice.vn/TraCuu" TargetMode="External" Id="rId80"/><Relationship Type="http://schemas.openxmlformats.org/officeDocument/2006/relationships/hyperlink" Target="https://cloudinvoice.vn/" TargetMode="External" Id="rId81"/><Relationship Type="http://schemas.openxmlformats.org/officeDocument/2006/relationships/hyperlink" Target="https://tracuu.cloudinvoice.vn/" TargetMode="External" Id="rId82"/><Relationship Type="http://schemas.openxmlformats.org/officeDocument/2006/relationships/hyperlink" Target="https://hoadon30s.vn/" TargetMode="External" Id="rId83"/><Relationship Type="http://schemas.openxmlformats.org/officeDocument/2006/relationships/hyperlink" Target="https://tracuu.hoadon30s.vn/" TargetMode="External" Id="rId84"/><Relationship Type="http://schemas.openxmlformats.org/officeDocument/2006/relationships/hyperlink" Target="https://vnisc.com.vn/" TargetMode="External" Id="rId85"/><Relationship Type="http://schemas.openxmlformats.org/officeDocument/2006/relationships/hyperlink" Target="https://invoice.abcsys.vn/Invoice/Search" TargetMode="External" Id="rId86"/><Relationship Type="http://schemas.openxmlformats.org/officeDocument/2006/relationships/hyperlink" Target="https://invoice.abcsys.vn/Capchar/ShowCaptchaImage" TargetMode="External" Id="rId87"/><Relationship Type="http://schemas.openxmlformats.org/officeDocument/2006/relationships/hyperlink" Target="https://hoadondientuvn.info/" TargetMode="External" Id="rId88"/><Relationship Type="http://schemas.openxmlformats.org/officeDocument/2006/relationships/hyperlink" Target="https://tracuu.hoadondientuvn.info/" TargetMode="External" Id="rId89"/><Relationship Type="http://schemas.openxmlformats.org/officeDocument/2006/relationships/hyperlink" Target="https://bill2app.xcyber.vn/api/services/hddt/TraCuuHoaDon/RefreshCaptcha" TargetMode="External" Id="rId90"/><Relationship Type="http://schemas.openxmlformats.org/officeDocument/2006/relationships/hyperlink" Target="https://www.safeinvoice.vn/" TargetMode="External" Id="rId91"/><Relationship Type="http://schemas.openxmlformats.org/officeDocument/2006/relationships/hyperlink" Target="https://www.safecert.com.vn/search_certificate" TargetMode="External" Id="rId92"/><Relationship Type="http://schemas.openxmlformats.org/officeDocument/2006/relationships/hyperlink" Target="http://www.spc-technology.com/" TargetMode="External" Id="rId93"/><Relationship Type="http://schemas.openxmlformats.org/officeDocument/2006/relationships/hyperlink" Target="https://dailychukyso.com.vn/mst/tools/read-xml.php" TargetMode="External" Id="rId94"/><Relationship Type="http://schemas.openxmlformats.org/officeDocument/2006/relationships/hyperlink" Target="https://hoadondientu.lienson.vn/" TargetMode="External" Id="rId95"/><Relationship Type="http://schemas.openxmlformats.org/officeDocument/2006/relationships/hyperlink" Target="https://tracuu.lienson.vn/" TargetMode="External" Id="rId96"/><Relationship Type="http://schemas.openxmlformats.org/officeDocument/2006/relationships/hyperlink" Target="https://onlinevina.com.vn/" TargetMode="External" Id="rId97"/><Relationship Type="http://schemas.openxmlformats.org/officeDocument/2006/relationships/hyperlink" Target="https://hoadondientu-ptp.vn/" TargetMode="External" Id="rId98"/><Relationship Type="http://schemas.openxmlformats.org/officeDocument/2006/relationships/hyperlink" Target="https://hoadondientu-ptp.vn/tra-cuu/" TargetMode="External" Id="rId99"/><Relationship Type="http://schemas.openxmlformats.org/officeDocument/2006/relationships/hyperlink" Target="http://e-invoicetuanchau.com/" TargetMode="External" Id="rId100"/><Relationship Type="http://schemas.openxmlformats.org/officeDocument/2006/relationships/hyperlink" Target="https://hoadonminhthuvungtau.com/" TargetMode="External" Id="rId101"/><Relationship Type="http://schemas.openxmlformats.org/officeDocument/2006/relationships/hyperlink" Target="https://www.acman.vn/hoa-don-dien-tu.html" TargetMode="External" Id="rId102"/><Relationship Type="http://schemas.openxmlformats.org/officeDocument/2006/relationships/hyperlink" Target="https://hoadondientu.acman.vn/tra-cuu/hoa-don.html" TargetMode="External" Id="rId103"/><Relationship Type="http://schemas.openxmlformats.org/officeDocument/2006/relationships/hyperlink" Target="https://hoadonsovn.net/" TargetMode="External" Id="rId104"/><Relationship Type="http://schemas.openxmlformats.org/officeDocument/2006/relationships/hyperlink" Target="http://hoadonsovn.evat.vn/" TargetMode="External" Id="rId105"/><Relationship Type="http://schemas.openxmlformats.org/officeDocument/2006/relationships/hyperlink" Target="http://voice.hoadondientu.net.vn/" TargetMode="External" Id="rId106"/><Relationship Type="http://schemas.openxmlformats.org/officeDocument/2006/relationships/hyperlink" Target="http://voice.hoadondientu.net.vn/tra-cuu" TargetMode="External" Id="rId107"/><Relationship Type="http://schemas.openxmlformats.org/officeDocument/2006/relationships/hyperlink" Target="http://congtyinhoadon.com/" TargetMode="External" Id="rId108"/><Relationship Type="http://schemas.openxmlformats.org/officeDocument/2006/relationships/hyperlink" Target="https://tvl.evat.vn/" TargetMode="External" Id="rId109"/><Relationship Type="http://schemas.openxmlformats.org/officeDocument/2006/relationships/hyperlink" Target="https://ahoadon.com/" TargetMode="External" Id="rId110"/><Relationship Type="http://schemas.openxmlformats.org/officeDocument/2006/relationships/hyperlink" Target="http://ameinvoice.com.vn/" TargetMode="External" Id="rId111"/><Relationship Type="http://schemas.openxmlformats.org/officeDocument/2006/relationships/hyperlink" Target="https://ameinvoice.vn/invoice-inquiry/" TargetMode="External" Id="rId112"/><Relationship Type="http://schemas.openxmlformats.org/officeDocument/2006/relationships/hyperlink" Target="https://www.fts.com.vn/phan-mem-hoa-don-dien-tu/" TargetMode="External" Id="rId113"/><Relationship Type="http://schemas.openxmlformats.org/officeDocument/2006/relationships/hyperlink" Target="https://invoice.fast.com.vn/tra-cuu-hoa-don-dien-tu/" TargetMode="External" Id="rId114"/><Relationship Type="http://schemas.openxmlformats.org/officeDocument/2006/relationships/hyperlink" Target="https://hoadon.biz/" TargetMode="External" Id="rId115"/><Relationship Type="http://schemas.openxmlformats.org/officeDocument/2006/relationships/hyperlink" Target="https://ketoanvlc.com/" TargetMode="External" Id="rId116"/><Relationship Type="http://schemas.openxmlformats.org/officeDocument/2006/relationships/hyperlink" Target="https://vlc.evat.vn/" TargetMode="External" Id="rId117"/><Relationship Type="http://schemas.openxmlformats.org/officeDocument/2006/relationships/hyperlink" Target="http://tamvietgroup.vn/" TargetMode="External" Id="rId118"/><Relationship Type="http://schemas.openxmlformats.org/officeDocument/2006/relationships/hyperlink" Target="http://hoadondientu.link/" TargetMode="External" Id="rId119"/><Relationship Type="http://schemas.openxmlformats.org/officeDocument/2006/relationships/hyperlink" Target="https://hoadondientu.link/tracuutt78" TargetMode="External" Id="rId120"/><Relationship Type="http://schemas.openxmlformats.org/officeDocument/2006/relationships/hyperlink" Target="http://tracuuhoadon.benthanhvoice.vn/" TargetMode="External" Id="rId121"/><Relationship Type="http://schemas.openxmlformats.org/officeDocument/2006/relationships/hyperlink" Target="https://tracuuhoadon.benthanhvoice.vn/" TargetMode="External" Id="rId122"/><Relationship Type="http://schemas.openxmlformats.org/officeDocument/2006/relationships/hyperlink" Target="https://koffi.vn/" TargetMode="External" Id="rId123"/><Relationship Type="http://schemas.openxmlformats.org/officeDocument/2006/relationships/hyperlink" Target="https://koffi.vn/outbound/lookup-invoice" TargetMode="External" Id="rId124"/><Relationship Type="http://schemas.openxmlformats.org/officeDocument/2006/relationships/hyperlink" Target="https://hddt.vietinfo.tech/" TargetMode="External" Id="rId125"/><Relationship Type="http://schemas.openxmlformats.org/officeDocument/2006/relationships/hyperlink" Target="https://tracuuhoadon.vietinfo.tech/" TargetMode="External" Id="rId126"/><Relationship Type="http://schemas.openxmlformats.org/officeDocument/2006/relationships/hyperlink" Target="http://www.bitware.vn/services/hoa-don-dien-tu/" TargetMode="External" Id="rId127"/><Relationship Type="http://schemas.openxmlformats.org/officeDocument/2006/relationships/hyperlink" Target="https://www.bitware.vn/tracuuhoadon/" TargetMode="External" Id="rId128"/><Relationship Type="http://schemas.openxmlformats.org/officeDocument/2006/relationships/hyperlink" Target="https://rosysoft.vn/" TargetMode="External" Id="rId129"/><Relationship Type="http://schemas.openxmlformats.org/officeDocument/2006/relationships/hyperlink" Target="https://trandinhtung.evat.vn/" TargetMode="External" Id="rId130"/><Relationship Type="http://schemas.openxmlformats.org/officeDocument/2006/relationships/hyperlink" Target="https://trandinhtung.evat.vn/" TargetMode="External" Id="rId131"/><Relationship Type="http://schemas.openxmlformats.org/officeDocument/2006/relationships/hyperlink" Target="https://store.cmcts.com.vn/" TargetMode="External" Id="rId132"/><Relationship Type="http://schemas.openxmlformats.org/officeDocument/2006/relationships/hyperlink" Target="https://cinvoice.cmctelecom.vn/" TargetMode="External" Id="rId133"/><Relationship Type="http://schemas.openxmlformats.org/officeDocument/2006/relationships/hyperlink" Target="https://phuongnam.evat.vn/log" TargetMode="External" Id="rId134"/><Relationship Type="http://schemas.openxmlformats.org/officeDocument/2006/relationships/hyperlink" Target="https://phuongnam.evat.vn/" TargetMode="External" Id="rId135"/><Relationship Type="http://schemas.openxmlformats.org/officeDocument/2006/relationships/hyperlink" Target="https://ttltax.com/" TargetMode="External" Id="rId136"/><Relationship Type="http://schemas.openxmlformats.org/officeDocument/2006/relationships/hyperlink" Target="https://tracuu.ttltax.com/" TargetMode="External" Id="rId137"/><Relationship Type="http://schemas.openxmlformats.org/officeDocument/2006/relationships/hyperlink" Target="http://hoadondientuvietnam.vn/" TargetMode="External" Id="rId138"/><Relationship Type="http://schemas.openxmlformats.org/officeDocument/2006/relationships/hyperlink" Target="https://invoice.ehcm.vn/" TargetMode="External" Id="rId139"/><Relationship Type="http://schemas.openxmlformats.org/officeDocument/2006/relationships/hyperlink" Target="https://invoice.ehcm.vn/" TargetMode="External" Id="rId140"/><Relationship Type="http://schemas.openxmlformats.org/officeDocument/2006/relationships/hyperlink" Target="http://thanglongsoft.com/index.php/linh-v-c-kinh-doanh/493-l-nh-va-c-kinh-doanh/493-1-l-nh-va-c-kinh-doanh" TargetMode="External" Id="rId141"/><Relationship Type="http://schemas.openxmlformats.org/officeDocument/2006/relationships/hyperlink" Target="http://tigtax.vn/" TargetMode="External" Id="rId142"/><Relationship Type="http://schemas.openxmlformats.org/officeDocument/2006/relationships/hyperlink" Target="https://www.vdsg-invoice.vn/" TargetMode="External" Id="rId143"/><Relationship Type="http://schemas.openxmlformats.org/officeDocument/2006/relationships/hyperlink" Target="https://www.vdsg-invoice.vn/Account/Login" TargetMode="External" Id="rId144"/><Relationship Type="http://schemas.openxmlformats.org/officeDocument/2006/relationships/hyperlink" Target="https://accnet.vn/hoa-don-dien-tu" TargetMode="External" Id="rId145"/><Relationship Type="http://schemas.openxmlformats.org/officeDocument/2006/relationships/hyperlink" Target="https://accnet.vn/tra-cuu-hoa-don-dien-tu" TargetMode="External" Id="rId146"/><Relationship Type="http://schemas.openxmlformats.org/officeDocument/2006/relationships/hyperlink" Target="https://lacviet.hdtt.vn/api/Invoice/get-captcha-image?key=5270d64e-9347-4df4-175d-471e65ead33e&amp;v=1790323334" TargetMode="External" Id="rId147"/><Relationship Type="http://schemas.openxmlformats.org/officeDocument/2006/relationships/hyperlink" Target="https://autoinvoice.vn/" TargetMode="External" Id="rId148"/><Relationship Type="http://schemas.openxmlformats.org/officeDocument/2006/relationships/hyperlink" Target="https://tracuu.autoinvoice.vn/" TargetMode="External" Id="rId149"/><Relationship Type="http://schemas.openxmlformats.org/officeDocument/2006/relationships/hyperlink" Target="https://unit.com.vn/" TargetMode="External" Id="rId150"/><Relationship Type="http://schemas.openxmlformats.org/officeDocument/2006/relationships/hyperlink" Target="https://hoadondientu.pmbk.vn/" TargetMode="External" Id="rId151"/><Relationship Type="http://schemas.openxmlformats.org/officeDocument/2006/relationships/hyperlink" Target="https://hdbk.pmbk.vn/tra-cuu-hoa-don" TargetMode="External" Id="rId152"/><Relationship Type="http://schemas.openxmlformats.org/officeDocument/2006/relationships/hyperlink" Target="https://mysoftware.vn/" TargetMode="External" Id="rId153"/><Relationship Type="http://schemas.openxmlformats.org/officeDocument/2006/relationships/hyperlink" Target="https://tracuu.myinvoice.vn/" TargetMode="External" Id="rId154"/><Relationship Type="http://schemas.openxmlformats.org/officeDocument/2006/relationships/hyperlink" Target="http://ihoadondientu.net/" TargetMode="External" Id="rId155"/><Relationship Type="http://schemas.openxmlformats.org/officeDocument/2006/relationships/hyperlink" Target="https://einvoice.webcashvietnam.com/" TargetMode="External" Id="rId156"/><Relationship Type="http://schemas.openxmlformats.org/officeDocument/2006/relationships/hyperlink" Target="https://wetax.com.vn/tra-cuu" TargetMode="External" Id="rId157"/><Relationship Type="http://schemas.openxmlformats.org/officeDocument/2006/relationships/hyperlink" Target="https://e-invoices.vn/" TargetMode="External" Id="rId158"/><Relationship Type="http://schemas.openxmlformats.org/officeDocument/2006/relationships/hyperlink" Target="https://e-invoices.vn/User/Search" TargetMode="External" Id="rId159"/><Relationship Type="http://schemas.openxmlformats.org/officeDocument/2006/relationships/hyperlink" Target="http://brightbrain.vn/hoa-don-dien-tu/" TargetMode="External" Id="rId160"/><Relationship Type="http://schemas.openxmlformats.org/officeDocument/2006/relationships/hyperlink" Target="https://www.cloudteam.vn/" TargetMode="External" Id="rId161"/><Relationship Type="http://schemas.openxmlformats.org/officeDocument/2006/relationships/hyperlink" Target="https://chanel-eportal.cloudteam.vn/" TargetMode="External" Id="rId162"/><Relationship Type="http://schemas.openxmlformats.org/officeDocument/2006/relationships/hyperlink" Target="https://vininvoice.vn/" TargetMode="External" Id="rId163"/><Relationship Type="http://schemas.openxmlformats.org/officeDocument/2006/relationships/hyperlink" Target="https://tracuu.vininvoice.vn/" TargetMode="External" Id="rId164"/><Relationship Type="http://schemas.openxmlformats.org/officeDocument/2006/relationships/hyperlink" Target="http://hoadonct.gov.vn/" TargetMode="External" Id="rId165"/><Relationship Type="http://schemas.openxmlformats.org/officeDocument/2006/relationships/hyperlink" Target="https://vetc.com.vn/" TargetMode="External" Id="rId166"/><Relationship Type="http://schemas.openxmlformats.org/officeDocument/2006/relationships/hyperlink" Target="https://tracuuhoadon.vetc.com.vn/" TargetMode="External" Id="rId167"/><Relationship Type="http://schemas.openxmlformats.org/officeDocument/2006/relationships/hyperlink" Target="https://pvssolution.com/" TargetMode="External" Id="rId168"/><Relationship Type="http://schemas.openxmlformats.org/officeDocument/2006/relationships/hyperlink" Target="https://invoice.pvssolution.com/" TargetMode="External" Id="rId169"/><Relationship Type="http://schemas.openxmlformats.org/officeDocument/2006/relationships/hyperlink" Target="https://news.yoinvoice.vn/" TargetMode="External" Id="rId170"/><Relationship Type="http://schemas.openxmlformats.org/officeDocument/2006/relationships/hyperlink" Target="https://ecount.com/" TargetMode="External" Id="rId171"/><Relationship Type="http://schemas.openxmlformats.org/officeDocument/2006/relationships/hyperlink" Target="https://atis.com.vn/hoa-don-dien-tu" TargetMode="External" Id="rId172"/><Relationship Type="http://schemas.openxmlformats.org/officeDocument/2006/relationships/hyperlink" Target="https://tracuuhoadon.atis.com.vn/" TargetMode="External" Id="rId173"/><Relationship Type="http://schemas.openxmlformats.org/officeDocument/2006/relationships/hyperlink" Target="https://kaike.vn/hoa-don-dien-tu" TargetMode="External" Id="rId174"/><Relationship Type="http://schemas.openxmlformats.org/officeDocument/2006/relationships/hyperlink" Target="https://tracuu.kaike.vn/" TargetMode="External" Id="rId175"/><Relationship Type="http://schemas.openxmlformats.org/officeDocument/2006/relationships/hyperlink" Target="https://aits.vn/" TargetMode="External" Id="rId176"/><Relationship Type="http://schemas.openxmlformats.org/officeDocument/2006/relationships/hyperlink" Target="https://bizzi.vn/" TargetMode="External" Id="rId177"/><Relationship Type="http://schemas.openxmlformats.org/officeDocument/2006/relationships/hyperlink" Target="https://tchd.bizzi.vn/" TargetMode="External" Id="rId178"/><Relationship Type="http://schemas.openxmlformats.org/officeDocument/2006/relationships/hyperlink" Target="http://beetek.vn/" TargetMode="External" Id="rId179"/><Relationship Type="http://schemas.openxmlformats.org/officeDocument/2006/relationships/hyperlink" Target="https://mont-e.com/" TargetMode="External" Id="rId180"/><Relationship Type="http://schemas.openxmlformats.org/officeDocument/2006/relationships/hyperlink" Target="https://homecasta.vn/" TargetMode="External" Id="rId181"/><Relationship Type="http://schemas.openxmlformats.org/officeDocument/2006/relationships/hyperlink" Target="https://tracuu.homecasta.vn/" TargetMode="External" Id="rId182"/><Relationship Type="http://schemas.openxmlformats.org/officeDocument/2006/relationships/hyperlink" Target="https://sonphat.vn/" TargetMode="External" Id="rId183"/><Relationship Type="http://schemas.openxmlformats.org/officeDocument/2006/relationships/hyperlink" Target="https://tracuuhoadon.sonphat.vn/" TargetMode="External" Id="rId184"/><Relationship Type="http://schemas.openxmlformats.org/officeDocument/2006/relationships/hyperlink" Target="https://hoadondientu.kiotviet.vn/" TargetMode="External" Id="rId185"/><Relationship Type="http://schemas.openxmlformats.org/officeDocument/2006/relationships/hyperlink" Target="https://tracuuhoadon.kiotviet.vn/" TargetMode="External" Id="rId186"/><Relationship Type="http://schemas.openxmlformats.org/officeDocument/2006/relationships/hyperlink" Target="https://haravan.com/pages/giai-phap-xuat-hoa-don-dien-tu" TargetMode="External" Id="rId187"/><Relationship Type="http://schemas.openxmlformats.org/officeDocument/2006/relationships/hyperlink" Target="https://e-invoices.haravan.app/" TargetMode="External" Id="rId188"/><Relationship Type="http://schemas.openxmlformats.org/officeDocument/2006/relationships/hyperlink" Target="https://ipos.vn/" TargetMode="External" Id="rId189"/><Relationship Type="http://schemas.openxmlformats.org/officeDocument/2006/relationships/hyperlink" Target="https://tracuuhoadon.ipos.vn/" TargetMode="External" Id="rId190"/><Relationship Type="http://schemas.openxmlformats.org/officeDocument/2006/relationships/hyperlink" Target="https://intrustdss.vn/san-pham/chi-tiet/4" TargetMode="External" Id="rId191"/><Relationship Type="http://schemas.openxmlformats.org/officeDocument/2006/relationships/hyperlink" Target="https://lookupeinvoice.intrustdss.vn/" TargetMode="External" Id="rId192"/><Relationship Type="http://schemas.openxmlformats.org/officeDocument/2006/relationships/hyperlink" Target="https://yoyoin.yoyoschool.vn/" TargetMode="External" Id="rId193"/><Relationship Type="http://schemas.openxmlformats.org/officeDocument/2006/relationships/hyperlink" Target="https://lookupeinvoice.intrustdss.vn/" TargetMode="External" Id="rId194"/><Relationship Type="http://schemas.openxmlformats.org/officeDocument/2006/relationships/hyperlink" Target="https://www.sapo.vn/blog/sapo-invoice" TargetMode="External" Id="rId195"/><Relationship Type="http://schemas.openxmlformats.org/officeDocument/2006/relationships/hyperlink" Target="https://www.sapo.vn/tra-cuu-sapo-invoice.html" TargetMode="External" Id="rId196"/><Relationship Type="http://schemas.openxmlformats.org/officeDocument/2006/relationships/hyperlink" Target="https://pos.pancake.vn/e-invoice" TargetMode="External" Id="rId197"/><Relationship Type="http://schemas.openxmlformats.org/officeDocument/2006/relationships/hyperlink" Target="https://tracuu.pancake.vn/" TargetMode="External" Id="rId198"/><Relationship Type="http://schemas.openxmlformats.org/officeDocument/2006/relationships/hyperlink" Target="https://netacom.vn/neta-einvoice.html" TargetMode="External" Id="rId199"/><Relationship Type="http://schemas.openxmlformats.org/officeDocument/2006/relationships/hyperlink" Target="https://0109045760hd.easyinvoice.vn/Search/Index" TargetMode="External" Id="rId200"/><Relationship Type="http://schemas.openxmlformats.org/officeDocument/2006/relationships/hyperlink" Target="https://hoadon.igas.vn/" TargetMode="External" Id="rId201"/><Relationship Type="http://schemas.openxmlformats.org/officeDocument/2006/relationships/hyperlink" Target="https://tracuu.igas.vn/" TargetMode="External" Id="rId202"/><Relationship Type="http://schemas.openxmlformats.org/officeDocument/2006/relationships/hyperlink" Target="https://invoi.vn/" TargetMode="External" Id="rId203"/><Relationship Type="http://schemas.openxmlformats.org/officeDocument/2006/relationships/hyperlink" Target="https://ttc.t-hoadon.vn/" TargetMode="External" Id="rId204"/><Relationship Type="http://schemas.openxmlformats.org/officeDocument/2006/relationships/hyperlink" Target="https://tracuu.t-hoadon.vn/" TargetMode="External" Id="rId205"/><Relationship Type="http://schemas.openxmlformats.org/officeDocument/2006/relationships/hyperlink" Target="https://invoice.iamsoftware.com.vn/" TargetMode="External" Id="rId206"/><Relationship Type="http://schemas.openxmlformats.org/officeDocument/2006/relationships/hyperlink" Target="https://tracuu.iamsoftware.com.vn/" TargetMode="External" Id="rId207"/><Relationship Type="http://schemas.openxmlformats.org/officeDocument/2006/relationships/hyperlink" Target="https://sfin.vn/" TargetMode="External" Id="rId208"/><Relationship Type="http://schemas.openxmlformats.org/officeDocument/2006/relationships/hyperlink" Target="https://smartinvoice.vn/" TargetMode="External" Id="rId209"/><Relationship Type="http://schemas.openxmlformats.org/officeDocument/2006/relationships/hyperlink" Target="https://tracuu-hddt.sctv.vn/" TargetMode="External" Id="rId210"/><Relationship Type="http://schemas.openxmlformats.org/officeDocument/2006/relationships/hyperlink" Target="https://mmhoadon.vn/" TargetMode="External" Id="rId211"/><Relationship Type="http://schemas.openxmlformats.org/officeDocument/2006/relationships/hyperlink" Target="https://tracuu.mmhoadon.vn/" TargetMode="External" Id="rId212"/><Relationship Type="http://schemas.openxmlformats.org/officeDocument/2006/relationships/hyperlink" Target="https://gohoadon.vn/" TargetMode="External" Id="rId213"/><Relationship Type="http://schemas.openxmlformats.org/officeDocument/2006/relationships/hyperlink" Target="https://tracuu.gohoadon.vn/" TargetMode="External" Id="rId214"/><Relationship Type="http://schemas.openxmlformats.org/officeDocument/2006/relationships/hyperlink" Target="https://taxnet.vn/" TargetMode="External" Id="rId215"/><Relationship Type="http://schemas.openxmlformats.org/officeDocument/2006/relationships/hyperlink" Target="https://tracuuhoadon.taxnet.vn/" TargetMode="External" Id="rId216"/><Relationship Type="http://schemas.openxmlformats.org/officeDocument/2006/relationships/hyperlink" Target="https://hoadon.aibat.vn/" TargetMode="External" Id="rId217"/><Relationship Type="http://schemas.openxmlformats.org/officeDocument/2006/relationships/hyperlink" Target="https://dangky.nhanh.vn/xuat_hoa_don_dien_tu" TargetMode="External" Id="rId218"/><Relationship Type="http://schemas.openxmlformats.org/officeDocument/2006/relationships/hyperlink" Target="https://nc-ca.com.vn/" TargetMode="External" Id="rId219"/><Relationship Type="http://schemas.openxmlformats.org/officeDocument/2006/relationships/hyperlink" Target="https://hddt.hddt-nc.vn/" TargetMode="External" Id="rId220"/><Relationship Type="http://schemas.openxmlformats.org/officeDocument/2006/relationships/hyperlink" Target="https://vuhai.co/" TargetMode="External" Id="rId221"/><Relationship Type="http://schemas.openxmlformats.org/officeDocument/2006/relationships/hyperlink" Target="https://hoadon.vuhai.co/" TargetMode="External" Id="rId222"/><Relationship Type="http://schemas.openxmlformats.org/officeDocument/2006/relationships/hyperlink" Target="https://wiinvoice.vn/" TargetMode="External" Id="rId223"/><Relationship Type="http://schemas.openxmlformats.org/officeDocument/2006/relationships/hyperlink" Target="https://tracuu.wininvoice.vn/" TargetMode="External" Id="rId224"/><Relationship Type="http://schemas.openxmlformats.org/officeDocument/2006/relationships/hyperlink" Target="https://xinvoice.vn/" TargetMode="External" Id="rId225"/><Relationship Type="http://schemas.openxmlformats.org/officeDocument/2006/relationships/hyperlink" Target="https://www.epayjsc.com/" TargetMode="External" Id="rId226"/><Relationship Type="http://schemas.openxmlformats.org/officeDocument/2006/relationships/hyperlink" Target="https://tracuuhoadon.epayjsc.com/" TargetMode="External" Id="rId227"/><Relationship Type="http://schemas.openxmlformats.org/officeDocument/2006/relationships/hyperlink" Target="https://1invoice.vn/" TargetMode="External" Id="rId228"/><Relationship Type="http://schemas.openxmlformats.org/officeDocument/2006/relationships/hyperlink" Target="https://tracuuhoadon.1invoice.vn/tra-cuu-hoa-don" TargetMode="External" Id="rId229"/><Relationship Type="http://schemas.openxmlformats.org/officeDocument/2006/relationships/hyperlink" Target="https://bado.vn/hoa-don-dien-tu" TargetMode="External" Id="rId230"/><Relationship Type="http://schemas.openxmlformats.org/officeDocument/2006/relationships/hyperlink" Target="https://tracuu.bado.vn/" TargetMode="External" Id="rId231"/><Relationship Type="http://schemas.openxmlformats.org/officeDocument/2006/relationships/hyperlink" Target="https://bado.vn/hoa-don-dien-tu" TargetMode="External" Id="rId232"/><Relationship Type="http://schemas.openxmlformats.org/officeDocument/2006/relationships/hyperlink" Target="https://tracuuhoadon.vnpost.vn/" TargetMode="External" Id="rId233"/><Relationship Type="http://schemas.openxmlformats.org/officeDocument/2006/relationships/hyperlink" Target="https://hoadon.ontik.vn/" TargetMode="External" Id="rId234"/><Relationship Type="http://schemas.openxmlformats.org/officeDocument/2006/relationships/hyperlink" Target="https://hoadon.ontik.vn/" TargetMode="External" Id="rId235"/><Relationship Type="http://schemas.openxmlformats.org/officeDocument/2006/relationships/hyperlink" Target="https://trustedbilling.mobile-id.vn/" TargetMode="External" Id="rId236"/><Relationship Type="http://schemas.openxmlformats.org/officeDocument/2006/relationships/hyperlink" Target="https://trustedbilling.mobile-id.vn/invoice-inquiry/?language=vi" TargetMode="External" Id="rId237"/><Relationship Type="http://schemas.openxmlformats.org/officeDocument/2006/relationships/hyperlink" Target="https://suninvoice.vn/" TargetMode="External" Id="rId238"/><Relationship Type="http://schemas.openxmlformats.org/officeDocument/2006/relationships/hyperlink" Target="https://tracuu.suninvoice.vn/" TargetMode="External" Id="rId239"/><Relationship Type="http://schemas.openxmlformats.org/officeDocument/2006/relationships/hyperlink" Target="https://salework.net/" TargetMode="External" Id="rId240"/><Relationship Type="http://schemas.openxmlformats.org/officeDocument/2006/relationships/hyperlink" Target="https://winvoice.vn/" TargetMode="External" Id="rId241"/><Relationship Type="http://schemas.openxmlformats.org/officeDocument/2006/relationships/hyperlink" Target="https://winvoice.vn/tra-cuu" TargetMode="External" Id="rId242"/><Relationship Type="http://schemas.openxmlformats.org/officeDocument/2006/relationships/hyperlink" Target="https://limibiz.vn/" TargetMode="External" Id="rId243"/><Relationship Type="http://schemas.openxmlformats.org/officeDocument/2006/relationships/hyperlink" Target="https://hoadon.pvoil.vn/" TargetMode="External" Id="rId244"/><Relationship Type="http://schemas.openxmlformats.org/officeDocument/2006/relationships/hyperlink" Target="https://hoadon.pvoil.vn/Captcha/Show" TargetMode="External" Id="rId245"/><Relationship Type="http://schemas.openxmlformats.org/officeDocument/2006/relationships/hyperlink" Target="https://tracuuhoadon2.xcyber.vn/" TargetMode="External" Id="rId246"/><Relationship Type="http://schemas.openxmlformats.org/officeDocument/2006/relationships/hyperlink" Target="https://hoadondientu.gdt.gov.vn/" TargetMode="External" Id="rId247"/><Relationship Type="http://schemas.openxmlformats.org/officeDocument/2006/relationships/hyperlink" Target="https://dichvucong.gdt.gov.vn/tthc/login" TargetMode="External" Id="rId248"/><Relationship Type="http://schemas.openxmlformats.org/officeDocument/2006/relationships/hyperlink" Target="https://dichvucong.gdt.gov.vn/tthc/login/getCaptcha?1791513055506" TargetMode="External" Id="rId24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tware.vn/tracuuhoadon/captcha/image/565360b73037ec023deb6be3801aa58ea7fede16/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0"/>
  <sheetViews>
    <sheetView showGridLines="0" workbookViewId="0">
      <selection activeCell="A1" sqref="A1"/>
    </sheetView>
  </sheetViews>
  <sheetFormatPr baseColWidth="8" defaultColWidth="14.453125" defaultRowHeight="15" customHeight="1"/>
  <cols>
    <col width="7" customWidth="1" min="1" max="1"/>
    <col width="60" customWidth="1" min="2" max="2"/>
    <col width="16" customWidth="1" min="3" max="3"/>
    <col width="60" customWidth="1" min="4" max="5"/>
    <col width="14.453125" customWidth="1" min="6" max="6"/>
  </cols>
  <sheetData>
    <row r="1" ht="14.25" customHeight="1">
      <c r="A1" s="2" t="inlineStr">
        <is>
          <t>TỔNG QUÁT DANH SÁCH CÔNG TY / COMPANY LIST OVERVIEW</t>
        </is>
      </c>
    </row>
    <row r="2" ht="14.25" customHeight="1">
      <c r="A2" s="3" t="inlineStr">
        <is>
          <t>Nguồn: Sheet1 (cột F "Loại", cột H "Trạng thái lấy mẫu captcha" = "Xong") / Source: Sheet1</t>
        </is>
      </c>
    </row>
    <row r="3" ht="14.25" customHeight="1"/>
    <row r="4" ht="33.75" customHeight="1">
      <c r="A4" s="5" t="inlineStr">
        <is>
          <t>STT
No.</t>
        </is>
      </c>
      <c r="B4" s="5" t="inlineStr">
        <is>
          <t>Loại
Type</t>
        </is>
      </c>
      <c r="C4" s="5" t="inlineStr">
        <is>
          <t>Số công ty
Companies</t>
        </is>
      </c>
      <c r="D4" s="5" t="inlineStr">
        <is>
          <t>Đã lấy mẫu captcha (Xong)
Captcha sampled</t>
        </is>
      </c>
      <c r="E4" s="5" t="inlineStr">
        <is>
          <t>Chưa làm
Not yet</t>
        </is>
      </c>
    </row>
    <row r="5" ht="14.25" customHeight="1">
      <c r="A5" s="8" t="n">
        <v>1</v>
      </c>
      <c r="B5" s="10" t="inlineStr">
        <is>
          <t>Không có captcha</t>
        </is>
      </c>
      <c r="C5" s="8" t="n">
        <v>90</v>
      </c>
      <c r="D5" s="8">
        <f>COUNTIFS('Chi tiết'!$F$2:$F$1000,B5,'Chi tiết'!$I$2:$I$1000,"Xong")</f>
        <v/>
      </c>
      <c r="E5" s="8">
        <f>C5-D5</f>
        <v/>
      </c>
    </row>
    <row r="6" ht="14.25" customHeight="1">
      <c r="A6" s="8" t="n">
        <v>2</v>
      </c>
      <c r="B6" s="10" t="inlineStr">
        <is>
          <t>có captcha</t>
        </is>
      </c>
      <c r="C6" s="8">
        <f>COUNTIF('Chi tiết'!$F$2:$F$1000,B6)</f>
        <v/>
      </c>
      <c r="D6" s="8">
        <f>COUNTIFS('Chi tiết'!$F$2:$F$1000,B6,'Chi tiết'!$I$2:$I$1000,"Xong")</f>
        <v/>
      </c>
      <c r="E6" s="8">
        <f>C6-D6</f>
        <v/>
      </c>
    </row>
    <row r="7" ht="14.25" customHeight="1">
      <c r="A7" s="8" t="n">
        <v>3</v>
      </c>
      <c r="B7" s="10" t="inlineStr">
        <is>
          <t>captcha dạng tích</t>
        </is>
      </c>
      <c r="C7" s="8">
        <f>COUNTIF('Chi tiết'!$F$2:$F$1000,B7)</f>
        <v/>
      </c>
      <c r="D7" s="8">
        <f>COUNTIFS('Chi tiết'!$F$2:$F$1000,B7,'Chi tiết'!$I$2:$I$1000,"Xong")</f>
        <v/>
      </c>
      <c r="E7" s="8">
        <f>C7-D7</f>
        <v/>
      </c>
    </row>
    <row r="8" ht="14.25" customHeight="1">
      <c r="A8" s="8" t="n">
        <v>4</v>
      </c>
      <c r="B8" s="10" t="inlineStr">
        <is>
          <t>domain không phân giải</t>
        </is>
      </c>
      <c r="C8" s="8" t="n">
        <v>5</v>
      </c>
      <c r="D8" s="8">
        <f>COUNTIFS('Chi tiết'!$F$2:$F$1000,B8,'Chi tiết'!$I$2:$I$1000,"Xong")</f>
        <v/>
      </c>
      <c r="E8" s="8">
        <f>C8-D8</f>
        <v/>
      </c>
    </row>
    <row r="9" ht="14.25" customHeight="1">
      <c r="A9" s="8" t="n">
        <v>5</v>
      </c>
      <c r="B9" s="10" t="inlineStr">
        <is>
          <t>đăng nhập mới xem hóa đơn</t>
        </is>
      </c>
      <c r="C9" s="8">
        <f>COUNTIF('Chi tiết'!$F$2:$F$1000,B9)</f>
        <v/>
      </c>
      <c r="D9" s="8">
        <f>COUNTIFS('Chi tiết'!$F$2:$F$1000,B9,'Chi tiết'!$I$2:$I$1000,"Xong")</f>
        <v/>
      </c>
      <c r="E9" s="8">
        <f>C9-D9</f>
        <v/>
      </c>
    </row>
    <row r="10" ht="14.25" customHeight="1">
      <c r="A10" s="8" t="n">
        <v>6</v>
      </c>
      <c r="B10" s="10" t="inlineStr">
        <is>
          <t>lỗi máy chủ</t>
        </is>
      </c>
      <c r="C10" s="8">
        <f>COUNTIF('Chi tiết'!$F$2:$F$1000,B10)</f>
        <v/>
      </c>
      <c r="D10" s="8">
        <f>COUNTIFS('Chi tiết'!$F$2:$F$1000,B10,'Chi tiết'!$I$2:$I$1000,"Xong")</f>
        <v/>
      </c>
      <c r="E10" s="8">
        <f>C10-D10</f>
        <v/>
      </c>
    </row>
    <row r="11" ht="14.25" customHeight="1">
      <c r="A11" s="8" t="n">
        <v>7</v>
      </c>
      <c r="B11" s="10" t="inlineStr">
        <is>
          <t>dạng hình ảnh</t>
        </is>
      </c>
      <c r="C11" s="8">
        <f>COUNTIF('Chi tiết'!$F$2:$F$1000,B11)</f>
        <v/>
      </c>
      <c r="D11" s="8">
        <f>COUNTIFS('Chi tiết'!$F$2:$F$1000,B11,'Chi tiết'!$I$2:$I$1000,"Xong")</f>
        <v/>
      </c>
      <c r="E11" s="8">
        <f>C11-D11</f>
        <v/>
      </c>
    </row>
    <row r="12" ht="14.25" customHeight="1">
      <c r="A12" s="8" t="n">
        <v>8</v>
      </c>
      <c r="B12" s="10" t="inlineStr">
        <is>
          <t>site đã đổi chủ (redirect sang sanmuasam.com)</t>
        </is>
      </c>
      <c r="C12" s="8">
        <f>COUNTIF('Chi tiết'!$F$2:$F$1000,B12)</f>
        <v/>
      </c>
      <c r="D12" s="8">
        <f>COUNTIFS('Chi tiết'!$F$2:$F$1000,B12,'Chi tiết'!$I$2:$I$1000,"Xong")</f>
        <v/>
      </c>
      <c r="E12" s="8">
        <f>C12-D12</f>
        <v/>
      </c>
    </row>
    <row r="13" ht="14.25" customHeight="1">
      <c r="A13" s="8" t="n">
        <v>9</v>
      </c>
      <c r="B13" s="10" t="inlineStr">
        <is>
          <t>đọc xml</t>
        </is>
      </c>
      <c r="C13" s="8">
        <f>COUNTIF('Chi tiết'!$F$2:$F$1000,B13)</f>
        <v/>
      </c>
      <c r="D13" s="8">
        <f>COUNTIFS('Chi tiết'!$F$2:$F$1000,B13,'Chi tiết'!$I$2:$I$1000,"Xong")</f>
        <v/>
      </c>
      <c r="E13" s="8">
        <f>C13-D13</f>
        <v/>
      </c>
    </row>
    <row r="14" ht="14.25" customHeight="1">
      <c r="A14" s="8" t="n">
        <v>10</v>
      </c>
      <c r="B14" s="10" t="inlineStr">
        <is>
          <t>site đã đổi chủ (redirect sang trang cờ bạc)</t>
        </is>
      </c>
      <c r="C14" s="8">
        <f>COUNTIF('Chi tiết'!$F$2:$F$1000,B14)</f>
        <v/>
      </c>
      <c r="D14" s="8">
        <f>COUNTIFS('Chi tiết'!$F$2:$F$1000,B14,'Chi tiết'!$I$2:$I$1000,"Xong")</f>
        <v/>
      </c>
      <c r="E14" s="8">
        <f>C14-D14</f>
        <v/>
      </c>
    </row>
    <row r="15" ht="14.25" customHeight="1">
      <c r="A15" s="8" t="n">
        <v>11</v>
      </c>
      <c r="B15" s="10" t="inlineStr">
        <is>
          <t>site lỗi 503</t>
        </is>
      </c>
      <c r="C15" s="8">
        <f>COUNTIF('Chi tiết'!$F$2:$F$1000,B15)</f>
        <v/>
      </c>
      <c r="D15" s="8">
        <f>COUNTIFS('Chi tiết'!$F$2:$F$1000,B15,'Chi tiết'!$I$2:$I$1000,"Xong")</f>
        <v/>
      </c>
      <c r="E15" s="8">
        <f>C15-D15</f>
        <v/>
      </c>
    </row>
    <row r="16" ht="14.25" customHeight="1">
      <c r="A16" s="40" t="n"/>
      <c r="B16" s="41" t="inlineStr">
        <is>
          <t>TỔNG / TOTAL</t>
        </is>
      </c>
      <c r="C16" s="40">
        <f>SUM(C5:C15)</f>
        <v/>
      </c>
      <c r="D16" s="40">
        <f>SUM(D5:D15)</f>
        <v/>
      </c>
      <c r="E16" s="40">
        <f>SUM(E5:E15)</f>
        <v/>
      </c>
    </row>
    <row r="17" ht="14.25" customHeight="1"/>
    <row r="18" ht="14.25" customHeight="1">
      <c r="B18" s="42" t="inlineStr">
        <is>
          <t>NHÓM CÓ CAPTCHA / CAPTCHA GROUP TRAINING AI</t>
        </is>
      </c>
    </row>
    <row r="19" ht="14.25" customHeight="1">
      <c r="B19" s="43" t="inlineStr">
        <is>
          <t>Loại / Type</t>
        </is>
      </c>
      <c r="C19" s="43" t="inlineStr">
        <is>
          <t>Số công ty / Companies</t>
        </is>
      </c>
      <c r="D19" s="43" t="inlineStr">
        <is>
          <t>Đã làm / Done</t>
        </is>
      </c>
      <c r="E19" s="43" t="inlineStr">
        <is>
          <t>Tỷ lệ / %</t>
        </is>
      </c>
    </row>
    <row r="20" ht="14.25" customHeight="1">
      <c r="B20" s="10" t="inlineStr">
        <is>
          <t>có captcha</t>
        </is>
      </c>
      <c r="C20" s="8">
        <f>COUNTIF('Chi tiết'!$F$2:$F$1000,B20)</f>
        <v/>
      </c>
      <c r="D20" s="8" t="n">
        <v>11</v>
      </c>
      <c r="E20" s="45">
        <f>IF(C20=0,0,D20/C20)</f>
        <v/>
      </c>
    </row>
    <row r="21" ht="14.25" customHeight="1">
      <c r="B21" s="10" t="inlineStr">
        <is>
          <t>captcha dạng tích</t>
        </is>
      </c>
      <c r="C21" s="8">
        <f>COUNTIF('Chi tiết'!$F$2:$F$1000,B21)</f>
        <v/>
      </c>
      <c r="D21" s="8">
        <f>COUNTIFS('Chi tiết'!$F$2:$F$1000,B21,'Chi tiết'!$I$2:$I$1000,"Xong")</f>
        <v/>
      </c>
      <c r="E21" s="45">
        <f>IF(C21=0,0,D21/C21)</f>
        <v/>
      </c>
    </row>
    <row r="22" ht="14.25" customHeight="1">
      <c r="B22" s="10" t="inlineStr">
        <is>
          <t>dạng hình ảnh</t>
        </is>
      </c>
      <c r="C22" s="8">
        <f>COUNTIF('Chi tiết'!$F$2:$F$1000,B22)</f>
        <v/>
      </c>
      <c r="D22" s="8">
        <f>COUNTIFS('Chi tiết'!$F$2:$F$1000,B22,'Chi tiết'!$I$2:$I$1000,"Xong")</f>
        <v/>
      </c>
      <c r="E22" s="45">
        <f>IF(C22=0,0,D22/C22)</f>
        <v/>
      </c>
    </row>
    <row r="23" ht="14.25" customHeight="1">
      <c r="B23" s="41" t="inlineStr">
        <is>
          <t>Tổng nhóm captcha / Group total</t>
        </is>
      </c>
      <c r="C23" s="40">
        <f>SUM(C20:C22)</f>
        <v/>
      </c>
      <c r="D23" s="40">
        <f>SUM(D20:D22)</f>
        <v/>
      </c>
      <c r="E23" s="52">
        <f>IF(C23=0,0,D23/C23)</f>
        <v/>
      </c>
    </row>
    <row r="24" ht="14.25" customHeight="1"/>
    <row r="25" ht="14.25" customHeight="1">
      <c r="B25" s="42" t="inlineStr">
        <is>
          <t>Ghi chú / Notes:</t>
        </is>
      </c>
    </row>
    <row r="26" ht="14.25" customHeight="1">
      <c r="B26" s="3" t="inlineStr">
        <is>
          <t>"Không có captcha" và "không có captcha" (khác hoa/thường) được gộp làm một. / Case variants merged.</t>
        </is>
      </c>
    </row>
    <row r="27" ht="14.25" customHeight="1">
      <c r="B27" s="3" t="inlineStr">
        <is>
          <t>Nhóm captcha giả định gồm: có captcha, captcha dạng tích, dạng hình ảnh. / Assumed captcha group.</t>
        </is>
      </c>
    </row>
    <row r="28" ht="14.25" customHeight="1">
      <c r="B28" s="3" t="inlineStr">
        <is>
          <t xml:space="preserve">Đối chiếu tổng số dòng Sheet1 (cột B): </t>
        </is>
      </c>
      <c r="E28" s="56">
        <f>COUNTA('Chi tiết'!$B$2:$B$1000)</f>
        <v/>
      </c>
    </row>
    <row r="29" ht="14.25" customHeight="1"/>
    <row r="30" ht="14.25" customHeight="1">
      <c r="A30" s="1" t="n"/>
      <c r="B30" s="2" t="inlineStr">
        <is>
          <t>KHẢO SÁT FORM TRA CỨU HÓA ĐƠN / LOOKUP FORM SURVEY</t>
        </is>
      </c>
      <c r="C30" s="1" t="n"/>
      <c r="D30" s="1" t="n"/>
      <c r="E30" s="1" t="n"/>
      <c r="F30" s="1" t="n"/>
      <c r="G30" s="1" t="n"/>
    </row>
    <row r="31" ht="14.25" customHeight="1">
      <c r="A31" s="1" t="n"/>
      <c r="B31" s="1" t="inlineStr">
        <is>
          <t>Nguồn: sheet 'Chi tiết' cột M–AB (khảo sát 14/10/2026, ✓ = tham số của form tra cứu mặc định). Số liệu là công thức, tự cập nhật.</t>
        </is>
      </c>
      <c r="C31" s="1" t="n"/>
      <c r="D31" s="1" t="n"/>
      <c r="E31" s="1" t="n"/>
      <c r="F31" s="1" t="n"/>
      <c r="G31" s="1" t="n"/>
    </row>
    <row r="32" ht="14.25" customHeight="1">
      <c r="A32" s="1" t="n"/>
      <c r="B32" s="1" t="n"/>
      <c r="C32" s="1" t="n"/>
      <c r="D32" s="1" t="n"/>
      <c r="E32" s="1" t="n"/>
      <c r="F32" s="1" t="n"/>
      <c r="G32" s="1" t="n"/>
    </row>
    <row r="33" ht="14.25" customHeight="1">
      <c r="A33" s="1" t="n"/>
      <c r="B33" s="42" t="inlineStr">
        <is>
          <t>1. Trạng thái kiểm tra form / Check status</t>
        </is>
      </c>
      <c r="C33" s="1" t="n"/>
      <c r="D33" s="1" t="n"/>
      <c r="E33" s="1" t="n"/>
      <c r="F33" s="1" t="n"/>
      <c r="G33" s="1" t="n"/>
    </row>
    <row r="34" ht="14.25" customHeight="1">
      <c r="A34" s="1" t="n"/>
      <c r="B34" s="5" t="inlineStr">
        <is>
          <t>Trạng thái / Status</t>
        </is>
      </c>
      <c r="C34" s="5" t="inlineStr">
        <is>
          <t>Số công ty / Companies</t>
        </is>
      </c>
      <c r="D34" s="5" t="inlineStr">
        <is>
          <t>Tỷ lệ / %</t>
        </is>
      </c>
      <c r="E34" s="1" t="n"/>
      <c r="F34" s="1" t="n"/>
      <c r="G34" s="1" t="n"/>
    </row>
    <row r="35" ht="14.25" customHeight="1">
      <c r="A35" s="1" t="n">
        <v>1</v>
      </c>
      <c r="B35" s="58" t="inlineStr">
        <is>
          <t>OK</t>
        </is>
      </c>
      <c r="C35" s="10">
        <f>COUNTIF('Chi tiết'!$N$2:$N$1000,B35)</f>
        <v/>
      </c>
      <c r="D35" s="61">
        <f>IF($C$40=0,0,C35/$C$40)</f>
        <v/>
      </c>
      <c r="E35" s="1" t="n"/>
      <c r="F35" s="1" t="n"/>
      <c r="G35" s="1" t="n"/>
    </row>
    <row r="36" ht="14.25" customHeight="1">
      <c r="A36" s="1" t="n">
        <v>2</v>
      </c>
      <c r="B36" s="58" t="inlineStr">
        <is>
          <t>Cần đăng nhập</t>
        </is>
      </c>
      <c r="C36" s="10">
        <f>COUNTIF('Chi tiết'!$N$2:$N$1000,B36)</f>
        <v/>
      </c>
      <c r="D36" s="61">
        <f>IF($C$40=0,0,C36/$C$40)</f>
        <v/>
      </c>
      <c r="E36" s="1" t="n"/>
      <c r="F36" s="1" t="n"/>
      <c r="G36" s="1" t="n"/>
    </row>
    <row r="37" ht="14.25" customHeight="1">
      <c r="A37" s="1" t="n">
        <v>3</v>
      </c>
      <c r="B37" s="58" t="inlineStr">
        <is>
          <t>Site chết</t>
        </is>
      </c>
      <c r="C37" s="10">
        <f>COUNTIF('Chi tiết'!$N$2:$N$1000,B37)</f>
        <v/>
      </c>
      <c r="D37" s="61">
        <f>IF($C$40=0,0,C37/$C$40)</f>
        <v/>
      </c>
      <c r="E37" s="1" t="n"/>
      <c r="F37" s="1" t="n"/>
      <c r="G37" s="1" t="n"/>
    </row>
    <row r="38" ht="14.25" customHeight="1">
      <c r="A38" s="1" t="n">
        <v>4</v>
      </c>
      <c r="B38" s="58" t="inlineStr">
        <is>
          <t>Site lỗi</t>
        </is>
      </c>
      <c r="C38" s="10">
        <f>COUNTIF('Chi tiết'!$N$2:$N$1000,B38)</f>
        <v/>
      </c>
      <c r="D38" s="61">
        <f>IF($C$40=0,0,C38/$C$40)</f>
        <v/>
      </c>
      <c r="E38" s="1" t="n"/>
      <c r="F38" s="1" t="n"/>
      <c r="G38" s="1" t="n"/>
    </row>
    <row r="39" ht="14.25" customHeight="1">
      <c r="A39" s="1" t="n">
        <v>5</v>
      </c>
      <c r="B39" s="58" t="inlineStr">
        <is>
          <t>Không xác định</t>
        </is>
      </c>
      <c r="C39" s="10">
        <f>COUNTIF('Chi tiết'!$N$2:$N$1000,B39)</f>
        <v/>
      </c>
      <c r="D39" s="61">
        <f>IF($C$40=0,0,C39/$C$40)</f>
        <v/>
      </c>
      <c r="E39" s="1" t="n"/>
      <c r="F39" s="1" t="n"/>
      <c r="G39" s="1" t="n"/>
    </row>
    <row r="40" ht="14.25" customHeight="1">
      <c r="A40" s="1" t="n"/>
      <c r="B40" s="41" t="inlineStr">
        <is>
          <t>Tổng đã kiểm tra / Checked</t>
        </is>
      </c>
      <c r="C40" s="41">
        <f>SUM(C35:C39)</f>
        <v/>
      </c>
      <c r="D40" s="64">
        <f>IF(C40=0,0,1)</f>
        <v/>
      </c>
      <c r="E40" s="1" t="n"/>
      <c r="F40" s="1" t="n"/>
      <c r="G40" s="1" t="n"/>
    </row>
    <row r="41" ht="14.25" customHeight="1">
      <c r="A41" s="1" t="n"/>
      <c r="B41" s="1" t="n"/>
      <c r="C41" s="1" t="n"/>
      <c r="D41" s="1" t="n"/>
      <c r="E41" s="1" t="n"/>
      <c r="F41" s="1" t="n"/>
      <c r="G41" s="1" t="n"/>
    </row>
    <row r="42" ht="14.25" customHeight="1">
      <c r="A42" s="1" t="n"/>
      <c r="B42" s="42" t="inlineStr">
        <is>
          <t>2. Tham số form yêu cầu (trên các site OK) / Required inputs</t>
        </is>
      </c>
      <c r="C42" s="1" t="n"/>
      <c r="D42" s="1" t="n"/>
      <c r="E42" s="1" t="n"/>
      <c r="F42" s="1" t="n"/>
      <c r="G42" s="1" t="n"/>
    </row>
    <row r="43" ht="14.25" customHeight="1">
      <c r="A43" s="1" t="n"/>
      <c r="B43" s="5" t="inlineStr">
        <is>
          <t>Tham số / Input</t>
        </is>
      </c>
      <c r="C43" s="5" t="inlineStr">
        <is>
          <t>Số công ty / Companies</t>
        </is>
      </c>
      <c r="D43" s="5" t="inlineStr">
        <is>
          <t>Tỷ lệ trên site OK / % of OK</t>
        </is>
      </c>
      <c r="E43" s="1" t="n"/>
      <c r="F43" s="1" t="n"/>
      <c r="G43" s="1" t="n"/>
    </row>
    <row r="44" ht="14.25" customHeight="1">
      <c r="A44" s="1" t="n">
        <v>1</v>
      </c>
      <c r="B44" s="58" t="inlineStr">
        <is>
          <t>Mã tra cứu</t>
        </is>
      </c>
      <c r="C44" s="10">
        <f>COUNTIFS('Chi tiết'!$N$2:$N$1000,"OK",'Chi tiết'!$O$2:$O$1000,"✓")</f>
        <v/>
      </c>
      <c r="D44" s="61">
        <f>IF($C$35=0,0,C44/$C$35)</f>
        <v/>
      </c>
      <c r="E44" s="1" t="n"/>
      <c r="F44" s="1" t="n"/>
      <c r="G44" s="1" t="n"/>
    </row>
    <row r="45" ht="14.25" customHeight="1">
      <c r="A45" s="1" t="n">
        <v>2</v>
      </c>
      <c r="B45" s="58" t="inlineStr">
        <is>
          <t>MST người bán</t>
        </is>
      </c>
      <c r="C45" s="10">
        <f>COUNTIFS('Chi tiết'!$N$2:$N$1000,"OK",'Chi tiết'!$P$2:$P$1000,"✓")</f>
        <v/>
      </c>
      <c r="D45" s="61">
        <f>IF($C$35=0,0,C45/$C$35)</f>
        <v/>
      </c>
      <c r="E45" s="1" t="n"/>
      <c r="F45" s="1" t="n"/>
      <c r="G45" s="1" t="n"/>
    </row>
    <row r="46" ht="14.25" customHeight="1">
      <c r="A46" s="1" t="n">
        <v>3</v>
      </c>
      <c r="B46" s="58" t="inlineStr">
        <is>
          <t>MST người mua</t>
        </is>
      </c>
      <c r="C46" s="10">
        <f>COUNTIFS('Chi tiết'!$N$2:$N$1000,"OK",'Chi tiết'!$Q$2:$Q$1000,"✓")</f>
        <v/>
      </c>
      <c r="D46" s="61">
        <f>IF($C$35=0,0,C46/$C$35)</f>
        <v/>
      </c>
      <c r="E46" s="1" t="n"/>
      <c r="F46" s="1" t="n"/>
      <c r="G46" s="1" t="n"/>
    </row>
    <row r="47" ht="14.25" customHeight="1">
      <c r="A47" s="1" t="n">
        <v>4</v>
      </c>
      <c r="B47" s="58" t="inlineStr">
        <is>
          <t>Mẫu số / Ký hiệu</t>
        </is>
      </c>
      <c r="C47" s="10">
        <f>COUNTIFS('Chi tiết'!$N$2:$N$1000,"OK",'Chi tiết'!$R$2:$R$1000,"✓")</f>
        <v/>
      </c>
      <c r="D47" s="61">
        <f>IF($C$35=0,0,C47/$C$35)</f>
        <v/>
      </c>
      <c r="E47" s="1" t="n"/>
      <c r="F47" s="1" t="n"/>
      <c r="G47" s="1" t="n"/>
    </row>
    <row r="48" ht="14.25" customHeight="1">
      <c r="A48" s="1" t="n">
        <v>5</v>
      </c>
      <c r="B48" s="58" t="inlineStr">
        <is>
          <t>Số HĐ</t>
        </is>
      </c>
      <c r="C48" s="10">
        <f>COUNTIFS('Chi tiết'!$N$2:$N$1000,"OK",'Chi tiết'!$S$2:$S$1000,"✓")</f>
        <v/>
      </c>
      <c r="D48" s="61">
        <f>IF($C$35=0,0,C48/$C$35)</f>
        <v/>
      </c>
      <c r="E48" s="1" t="n"/>
      <c r="F48" s="1" t="n"/>
      <c r="G48" s="1" t="n"/>
    </row>
    <row r="49" ht="14.25" customHeight="1">
      <c r="A49" s="1" t="n">
        <v>6</v>
      </c>
      <c r="B49" s="58" t="inlineStr">
        <is>
          <t>Ngày lập</t>
        </is>
      </c>
      <c r="C49" s="10">
        <f>COUNTIFS('Chi tiết'!$N$2:$N$1000,"OK",'Chi tiết'!$T$2:$T$1000,"✓")</f>
        <v/>
      </c>
      <c r="D49" s="61">
        <f>IF($C$35=0,0,C49/$C$35)</f>
        <v/>
      </c>
      <c r="E49" s="1" t="n"/>
      <c r="F49" s="1" t="n"/>
      <c r="G49" s="1" t="n"/>
    </row>
    <row r="50" ht="14.25" customHeight="1">
      <c r="A50" s="1" t="n">
        <v>7</v>
      </c>
      <c r="B50" s="58" t="inlineStr">
        <is>
          <t>Tổng tiền</t>
        </is>
      </c>
      <c r="C50" s="10">
        <f>COUNTIFS('Chi tiết'!$N$2:$N$1000,"OK",'Chi tiết'!$U$2:$U$1000,"✓")</f>
        <v/>
      </c>
      <c r="D50" s="61">
        <f>IF($C$35=0,0,C50/$C$35)</f>
        <v/>
      </c>
      <c r="E50" s="1" t="n"/>
      <c r="F50" s="1" t="n"/>
      <c r="G50" s="1" t="n"/>
    </row>
    <row r="51" ht="14.25" customHeight="1">
      <c r="A51" s="1" t="n">
        <v>8</v>
      </c>
      <c r="B51" s="58" t="inlineStr">
        <is>
          <t>Mã CQT</t>
        </is>
      </c>
      <c r="C51" s="10">
        <f>COUNTIFS('Chi tiết'!$N$2:$N$1000,"OK",'Chi tiết'!$V$2:$V$1000,"✓")</f>
        <v/>
      </c>
      <c r="D51" s="61">
        <f>IF($C$35=0,0,C51/$C$35)</f>
        <v/>
      </c>
      <c r="E51" s="1" t="n"/>
      <c r="F51" s="1" t="n"/>
      <c r="G51" s="1" t="n"/>
    </row>
    <row r="52" ht="14.25" customHeight="1">
      <c r="A52" s="1" t="n">
        <v>9</v>
      </c>
      <c r="B52" s="58" t="inlineStr">
        <is>
          <t>Upload XML</t>
        </is>
      </c>
      <c r="C52" s="10">
        <f>COUNTIFS('Chi tiết'!$N$2:$N$1000,"OK",'Chi tiết'!$W$2:$W$1000,"✓")</f>
        <v/>
      </c>
      <c r="D52" s="61">
        <f>IF($C$35=0,0,C52/$C$35)</f>
        <v/>
      </c>
      <c r="E52" s="1" t="n"/>
      <c r="F52" s="1" t="n"/>
      <c r="G52" s="1" t="n"/>
    </row>
    <row r="53" ht="14.25" customHeight="1">
      <c r="A53" s="1" t="n">
        <v>10</v>
      </c>
      <c r="B53" s="58" t="inlineStr">
        <is>
          <t>Captcha ảnh</t>
        </is>
      </c>
      <c r="C53" s="10">
        <f>COUNTIFS('Chi tiết'!$N$2:$N$1000,"OK",'Chi tiết'!$X$2:$X$1000,"✓")</f>
        <v/>
      </c>
      <c r="D53" s="61">
        <f>IF($C$35=0,0,C53/$C$35)</f>
        <v/>
      </c>
      <c r="E53" s="1" t="n"/>
      <c r="F53" s="1" t="n"/>
      <c r="G53" s="1" t="n"/>
    </row>
    <row r="54" ht="14.25" customHeight="1">
      <c r="A54" s="1" t="n">
        <v>11</v>
      </c>
      <c r="B54" s="58" t="inlineStr">
        <is>
          <t>Captcha dạng tích</t>
        </is>
      </c>
      <c r="C54" s="10">
        <f>COUNTIFS('Chi tiết'!$N$2:$N$1000,"OK",'Chi tiết'!$Y$2:$Y$1000,"✓")</f>
        <v/>
      </c>
      <c r="D54" s="61">
        <f>IF($C$35=0,0,C54/$C$35)</f>
        <v/>
      </c>
      <c r="E54" s="1" t="n"/>
      <c r="F54" s="1" t="n"/>
      <c r="G54" s="1" t="n"/>
    </row>
    <row r="55" ht="14.25" customHeight="1">
      <c r="A55" s="1" t="n">
        <v>12</v>
      </c>
      <c r="B55" s="58" t="inlineStr">
        <is>
          <t>Captcha khác (slider/hình)</t>
        </is>
      </c>
      <c r="C55" s="10">
        <f>COUNTIFS('Chi tiết'!$N$2:$N$1000,"OK",'Chi tiết'!$Z$2:$Z$1000,"✓")</f>
        <v/>
      </c>
      <c r="D55" s="61">
        <f>IF($C$35=0,0,C55/$C$35)</f>
        <v/>
      </c>
      <c r="E55" s="1" t="n"/>
      <c r="F55" s="1" t="n"/>
      <c r="G55" s="1" t="n"/>
    </row>
    <row r="56" ht="14.25" customHeight="1">
      <c r="A56" s="1" t="n">
        <v>13</v>
      </c>
      <c r="B56" s="58" t="inlineStr">
        <is>
          <t>Đăng nhập</t>
        </is>
      </c>
      <c r="C56" s="10">
        <f>COUNTIFS('Chi tiết'!$N$2:$N$1000,"OK",'Chi tiết'!$AA$2:$AA$1000,"✓")</f>
        <v/>
      </c>
      <c r="D56" s="61">
        <f>IF($C$35=0,0,C56/$C$35)</f>
        <v/>
      </c>
      <c r="E56" s="1" t="n"/>
      <c r="F56" s="1" t="n"/>
      <c r="G56" s="1" t="n"/>
    </row>
    <row r="57" ht="14.25" customHeight="1">
      <c r="A57" s="1" t="n">
        <v>14</v>
      </c>
      <c r="B57" s="58" t="inlineStr">
        <is>
          <t>Email/SĐT/OTP</t>
        </is>
      </c>
      <c r="C57" s="10">
        <f>COUNTIFS('Chi tiết'!$N$2:$N$1000,"OK",'Chi tiết'!$AB$2:$AB$1000,"✓")</f>
        <v/>
      </c>
      <c r="D57" s="61">
        <f>IF($C$35=0,0,C57/$C$35)</f>
        <v/>
      </c>
      <c r="E57" s="1" t="n"/>
      <c r="F57" s="1" t="n"/>
      <c r="G57" s="1" t="n"/>
    </row>
    <row r="58" ht="14.25" customHeight="1">
      <c r="A58" s="1" t="n"/>
      <c r="B58" s="1" t="n"/>
      <c r="C58" s="1" t="n"/>
      <c r="D58" s="1" t="n"/>
      <c r="E58" s="1" t="n"/>
      <c r="F58" s="1" t="n"/>
      <c r="G58" s="1" t="n"/>
    </row>
    <row r="59" ht="14.25" customHeight="1">
      <c r="A59" s="1" t="n"/>
      <c r="B59" s="42" t="inlineStr">
        <is>
          <t>3. Số tham số phải nhập (kể cả captcha) / Number of inputs</t>
        </is>
      </c>
      <c r="C59" s="1" t="n"/>
      <c r="D59" s="1" t="n"/>
      <c r="E59" s="1" t="n"/>
      <c r="F59" s="1" t="n"/>
      <c r="G59" s="1" t="n"/>
    </row>
    <row r="60" ht="14.25" customHeight="1">
      <c r="A60" s="1" t="n"/>
      <c r="B60" s="5" t="inlineStr">
        <is>
          <t>Số tham số / Inputs</t>
        </is>
      </c>
      <c r="C60" s="5" t="inlineStr">
        <is>
          <t>Số công ty / Companies</t>
        </is>
      </c>
      <c r="D60" s="5" t="inlineStr">
        <is>
          <t>Tỷ lệ / %</t>
        </is>
      </c>
      <c r="E60" s="1" t="n"/>
      <c r="F60" s="1" t="n"/>
      <c r="G60" s="1" t="n"/>
    </row>
    <row r="61" ht="14.25" customHeight="1">
      <c r="A61" s="1" t="n">
        <v>1</v>
      </c>
      <c r="B61" s="58" t="inlineStr">
        <is>
          <t>1 tham số</t>
        </is>
      </c>
      <c r="C61" s="10">
        <f>COUNTIFS('Chi tiết'!$N$2:$N$1000,"OK",'Chi tiết'!$AC$2:$AC$1000,1)</f>
        <v/>
      </c>
      <c r="D61" s="61">
        <f>IF($C$35=0,0,C61/$C$35)</f>
        <v/>
      </c>
      <c r="E61" s="1" t="n"/>
      <c r="F61" s="1" t="n"/>
      <c r="G61" s="1" t="n"/>
    </row>
    <row r="62" ht="14.25" customHeight="1">
      <c r="A62" s="1" t="n">
        <v>2</v>
      </c>
      <c r="B62" s="58" t="inlineStr">
        <is>
          <t>2 tham số</t>
        </is>
      </c>
      <c r="C62" s="10">
        <f>COUNTIFS('Chi tiết'!$N$2:$N$1000,"OK",'Chi tiết'!$AC$2:$AC$1000,2)</f>
        <v/>
      </c>
      <c r="D62" s="61">
        <f>IF($C$35=0,0,C62/$C$35)</f>
        <v/>
      </c>
      <c r="E62" s="1" t="n"/>
      <c r="F62" s="1" t="n"/>
      <c r="G62" s="1" t="n"/>
    </row>
    <row r="63" ht="14.25" customHeight="1">
      <c r="A63" s="1" t="n">
        <v>3</v>
      </c>
      <c r="B63" s="58" t="inlineStr">
        <is>
          <t>3 tham số</t>
        </is>
      </c>
      <c r="C63" s="10">
        <f>COUNTIFS('Chi tiết'!$N$2:$N$1000,"OK",'Chi tiết'!$AC$2:$AC$1000,3)</f>
        <v/>
      </c>
      <c r="D63" s="61">
        <f>IF($C$35=0,0,C63/$C$35)</f>
        <v/>
      </c>
      <c r="E63" s="1" t="n"/>
      <c r="F63" s="1" t="n"/>
      <c r="G63" s="1" t="n"/>
    </row>
    <row r="64" ht="14.25" customHeight="1">
      <c r="A64" s="1" t="n">
        <v>4</v>
      </c>
      <c r="B64" s="58" t="inlineStr">
        <is>
          <t>4 tham số</t>
        </is>
      </c>
      <c r="C64" s="10">
        <f>COUNTIFS('Chi tiết'!$N$2:$N$1000,"OK",'Chi tiết'!$AC$2:$AC$1000,4)</f>
        <v/>
      </c>
      <c r="D64" s="61">
        <f>IF($C$35=0,0,C64/$C$35)</f>
        <v/>
      </c>
      <c r="E64" s="1" t="n"/>
      <c r="F64" s="1" t="n"/>
      <c r="G64" s="1" t="n"/>
    </row>
    <row r="65" ht="14.25" customHeight="1">
      <c r="A65" s="1" t="n">
        <v>5</v>
      </c>
      <c r="B65" s="58" t="inlineStr">
        <is>
          <t>≥ 5 tham số</t>
        </is>
      </c>
      <c r="C65" s="10">
        <f>COUNTIFS('Chi tiết'!$N$2:$N$1000,"OK",'Chi tiết'!$AC$2:$AC$1000,"&gt;=5")</f>
        <v/>
      </c>
      <c r="D65" s="61">
        <f>IF($C$35=0,0,C65/$C$35)</f>
        <v/>
      </c>
      <c r="E65" s="1" t="n"/>
      <c r="F65" s="1" t="n"/>
      <c r="G65" s="1" t="n"/>
    </row>
    <row r="66" ht="14.25" customHeight="1">
      <c r="A66" s="1" t="n"/>
      <c r="B66" s="41" t="inlineStr">
        <is>
          <t>Tổng / Total</t>
        </is>
      </c>
      <c r="C66" s="41">
        <f>SUM(C61:C65)</f>
        <v/>
      </c>
      <c r="D66" s="1" t="n"/>
      <c r="E66" s="1" t="n"/>
      <c r="F66" s="1" t="n"/>
      <c r="G66" s="1" t="n"/>
    </row>
    <row r="67" ht="14.25" customHeight="1">
      <c r="A67" s="1" t="n"/>
      <c r="B67" s="1" t="n"/>
      <c r="C67" s="1" t="n"/>
      <c r="D67" s="1" t="n"/>
      <c r="E67" s="1" t="n"/>
      <c r="F67" s="1" t="n"/>
      <c r="G67" s="1" t="n"/>
    </row>
    <row r="68" ht="14.25" customHeight="1">
      <c r="A68" s="1" t="n"/>
      <c r="B68" s="42" t="inlineStr">
        <is>
          <t>4. Các kiểu tra cứu (đủ mọi tổ hợp tham số) / All lookup patterns</t>
        </is>
      </c>
      <c r="C68" s="1" t="n"/>
      <c r="D68" s="1" t="n"/>
      <c r="E68" s="1" t="n"/>
      <c r="F68" s="1" t="n"/>
      <c r="G68" s="1" t="n"/>
    </row>
    <row r="69" ht="14.25" customHeight="1">
      <c r="A69" s="1" t="n"/>
      <c r="B69" s="5" t="inlineStr">
        <is>
          <t>Cần nhập / Inputs</t>
        </is>
      </c>
      <c r="C69" s="5" t="inlineStr">
        <is>
          <t>Số công ty / Companies</t>
        </is>
      </c>
      <c r="D69" s="5" t="inlineStr">
        <is>
          <t>Tỷ lệ / %</t>
        </is>
      </c>
      <c r="E69" s="5" t="inlineStr">
        <is>
          <t>Công ty / Companies</t>
        </is>
      </c>
      <c r="F69" s="1" t="n"/>
      <c r="G69" s="1" t="n"/>
    </row>
    <row r="70" ht="14.25" customHeight="1">
      <c r="A70" s="1" t="n">
        <v>1</v>
      </c>
      <c r="B70" s="58" t="inlineStr">
        <is>
          <t>Mã tra cứu</t>
        </is>
      </c>
      <c r="C70" s="10">
        <f>COUNTIFS('Chi tiết'!$N$2:$N$1000,"OK",'Chi tiết'!$O$2:$O$1000,"✓",'Chi tiết'!$AC$2:$AC$1000,1)</f>
        <v/>
      </c>
      <c r="D70" s="61">
        <f>IF($C$35=0,0,C70/$C$35)</f>
        <v/>
      </c>
      <c r="E70" s="58" t="inlineStr">
        <is>
          <t>49 công ty — lọc ở sheet 'Chi tiết'</t>
        </is>
      </c>
      <c r="F70" s="1" t="n"/>
      <c r="G70" s="1" t="n"/>
    </row>
    <row r="71" ht="14.25" customHeight="1">
      <c r="A71" s="1" t="n">
        <v>2</v>
      </c>
      <c r="B71" s="58" t="inlineStr">
        <is>
          <t>Mã tra cứu + Captcha ảnh</t>
        </is>
      </c>
      <c r="C71" s="10">
        <f>COUNTIFS('Chi tiết'!$N$2:$N$1000,"OK",'Chi tiết'!$O$2:$O$1000,"✓",'Chi tiết'!$X$2:$X$1000,"✓",'Chi tiết'!$AC$2:$AC$1000,2)</f>
        <v/>
      </c>
      <c r="D71" s="61">
        <f>IF($C$35=0,0,C71/$C$35)</f>
        <v/>
      </c>
      <c r="E71" s="58" t="inlineStr">
        <is>
          <t>18 công ty — lọc ở sheet 'Chi tiết'</t>
        </is>
      </c>
      <c r="F71" s="1" t="n"/>
      <c r="G71" s="1" t="n"/>
    </row>
    <row r="72" ht="14.25" customHeight="1">
      <c r="A72" s="1" t="n">
        <v>3</v>
      </c>
      <c r="B72" s="58" t="inlineStr">
        <is>
          <t>Mã tra cứu + MST người bán</t>
        </is>
      </c>
      <c r="C72" s="10">
        <f>COUNTIFS('Chi tiết'!$N$2:$N$1000,"OK",'Chi tiết'!$O$2:$O$1000,"✓",'Chi tiết'!$P$2:$P$1000,"✓",'Chi tiết'!$AC$2:$AC$1000,2)</f>
        <v/>
      </c>
      <c r="D72" s="61">
        <f>IF($C$35=0,0,C72/$C$35)</f>
        <v/>
      </c>
      <c r="E72" s="58" t="inlineStr">
        <is>
          <t>15 công ty — lọc ở sheet 'Chi tiết'</t>
        </is>
      </c>
      <c r="F72" s="1" t="n"/>
      <c r="G72" s="1" t="n"/>
    </row>
    <row r="73" ht="14.25" customHeight="1">
      <c r="A73" s="1" t="n">
        <v>4</v>
      </c>
      <c r="B73" s="58" t="inlineStr">
        <is>
          <t>Mã tra cứu + Captcha dạng tích</t>
        </is>
      </c>
      <c r="C73" s="10">
        <f>COUNTIFS('Chi tiết'!$N$2:$N$1000,"OK",'Chi tiết'!$O$2:$O$1000,"✓",'Chi tiết'!$Y$2:$Y$1000,"✓",'Chi tiết'!$AC$2:$AC$1000,2)</f>
        <v/>
      </c>
      <c r="D73" s="61">
        <f>IF($C$35=0,0,C73/$C$35)</f>
        <v/>
      </c>
      <c r="E73" s="58" t="inlineStr">
        <is>
          <t>8 công ty — lọc ở sheet 'Chi tiết'</t>
        </is>
      </c>
      <c r="F73" s="1" t="n"/>
      <c r="G73" s="1" t="n"/>
    </row>
    <row r="74" ht="14.25" customHeight="1">
      <c r="A74" s="1" t="n">
        <v>5</v>
      </c>
      <c r="B74" s="58" t="inlineStr">
        <is>
          <t>Mã tra cứu + MST người bán + Captcha ảnh</t>
        </is>
      </c>
      <c r="C74" s="10">
        <f>COUNTIFS('Chi tiết'!$N$2:$N$1000,"OK",'Chi tiết'!$O$2:$O$1000,"✓",'Chi tiết'!$P$2:$P$1000,"✓",'Chi tiết'!$X$2:$X$1000,"✓",'Chi tiết'!$AC$2:$AC$1000,3)</f>
        <v/>
      </c>
      <c r="D74" s="61">
        <f>IF($C$35=0,0,C74/$C$35)</f>
        <v/>
      </c>
      <c r="E74" s="58" t="inlineStr">
        <is>
          <t>Công ty Cổ phần Đầu tư công nghệ và thương mại Softdreams; Công ty TNHH Phát triển công nghệ Thái Sơn; Công ty Cổ phần phát triển phần mềm và công nghệ Bitware</t>
        </is>
      </c>
      <c r="F74" s="1" t="n"/>
      <c r="G74" s="1" t="n"/>
    </row>
    <row r="75" ht="14.25" customHeight="1">
      <c r="A75" s="1" t="n">
        <v>6</v>
      </c>
      <c r="B75" s="58" t="inlineStr">
        <is>
          <t>Mã tra cứu + MST người bán + Captcha dạng tích</t>
        </is>
      </c>
      <c r="C75" s="10">
        <f>COUNTIFS('Chi tiết'!$N$2:$N$1000,"OK",'Chi tiết'!$O$2:$O$1000,"✓",'Chi tiết'!$P$2:$P$1000,"✓",'Chi tiết'!$Y$2:$Y$1000,"✓",'Chi tiết'!$AC$2:$AC$1000,3)</f>
        <v/>
      </c>
      <c r="D75" s="61">
        <f>IF($C$35=0,0,C75/$C$35)</f>
        <v/>
      </c>
      <c r="E75" s="58" t="inlineStr">
        <is>
          <t>Công ty TNHH Máy tính và truyền thông công nghệ kết nối; Công ty TNHH ACCONLINE.VN</t>
        </is>
      </c>
      <c r="F75" s="1" t="n"/>
      <c r="G75" s="1" t="n"/>
    </row>
    <row r="76" ht="14.25" customHeight="1">
      <c r="A76" s="1" t="n">
        <v>7</v>
      </c>
      <c r="B76" s="58" t="inlineStr">
        <is>
          <t>Mã tra cứu + MST người bán + Ngày lập + Captcha ảnh</t>
        </is>
      </c>
      <c r="C76" s="10">
        <f>COUNTIFS('Chi tiết'!$N$2:$N$1000,"OK",'Chi tiết'!$O$2:$O$1000,"✓",'Chi tiết'!$P$2:$P$1000,"✓",'Chi tiết'!$T$2:$T$1000,"✓",'Chi tiết'!$X$2:$X$1000,"✓",'Chi tiết'!$AC$2:$AC$1000,4)</f>
        <v/>
      </c>
      <c r="D76" s="61">
        <f>IF($C$35=0,0,C76/$C$35)</f>
        <v/>
      </c>
      <c r="E76" s="58" t="inlineStr">
        <is>
          <t>Công ty Cổ phần Giải pháp hóa đơn điện tử Việt Nam; Công ty Cổ phần tích hợp công nghệ VNISC</t>
        </is>
      </c>
      <c r="F76" s="1" t="n"/>
      <c r="G76" s="1" t="n"/>
    </row>
    <row r="77" ht="14.25" customHeight="1">
      <c r="A77" s="1" t="n">
        <v>8</v>
      </c>
      <c r="B77" s="58" t="inlineStr">
        <is>
          <t>Upload XML</t>
        </is>
      </c>
      <c r="C77" s="10">
        <f>COUNTIFS('Chi tiết'!$N$2:$N$1000,"OK",'Chi tiết'!$W$2:$W$1000,"✓",'Chi tiết'!$AC$2:$AC$1000,1)</f>
        <v/>
      </c>
      <c r="D77" s="61">
        <f>IF($C$35=0,0,C77/$C$35)</f>
        <v/>
      </c>
      <c r="E77" s="58" t="inlineStr">
        <is>
          <t>Công ty Cổ phần công nghệ San Phú</t>
        </is>
      </c>
      <c r="F77" s="1" t="n"/>
      <c r="G77" s="1" t="n"/>
    </row>
    <row r="78" ht="14.25" customHeight="1">
      <c r="A78" s="1" t="n">
        <v>9</v>
      </c>
      <c r="B78" s="58" t="inlineStr">
        <is>
          <t>Mã tra cứu + Captcha khác (slider/hình)</t>
        </is>
      </c>
      <c r="C78" s="10">
        <f>COUNTIFS('Chi tiết'!$N$2:$N$1000,"OK",'Chi tiết'!$O$2:$O$1000,"✓",'Chi tiết'!$Z$2:$Z$1000,"✓",'Chi tiết'!$AC$2:$AC$1000,2)</f>
        <v/>
      </c>
      <c r="D78" s="61">
        <f>IF($C$35=0,0,C78/$C$35)</f>
        <v/>
      </c>
      <c r="E78" s="58" t="inlineStr">
        <is>
          <t>Tổng Công ty Bưu điện Việt Nam</t>
        </is>
      </c>
      <c r="F78" s="1" t="n"/>
      <c r="G78" s="1" t="n"/>
    </row>
    <row r="79" ht="14.25" customHeight="1">
      <c r="A79" s="1" t="n">
        <v>10</v>
      </c>
      <c r="B79" s="58" t="inlineStr">
        <is>
          <t>Mã tra cứu + MST người mua</t>
        </is>
      </c>
      <c r="C79" s="10">
        <f>COUNTIFS('Chi tiết'!$N$2:$N$1000,"OK",'Chi tiết'!$O$2:$O$1000,"✓",'Chi tiết'!$Q$2:$Q$1000,"✓",'Chi tiết'!$AC$2:$AC$1000,2)</f>
        <v/>
      </c>
      <c r="D79" s="61">
        <f>IF($C$35=0,0,C79/$C$35)</f>
        <v/>
      </c>
      <c r="E79" s="58" t="inlineStr">
        <is>
          <t>Công ty TNHH Soft Ware KK VAT</t>
        </is>
      </c>
      <c r="F79" s="1" t="n"/>
      <c r="G79" s="1" t="n"/>
    </row>
    <row r="80" ht="14.25" customHeight="1">
      <c r="A80" s="1" t="n">
        <v>11</v>
      </c>
      <c r="B80" s="58" t="inlineStr">
        <is>
          <t>Mã tra cứu + Ngày lập</t>
        </is>
      </c>
      <c r="C80" s="10">
        <f>COUNTIFS('Chi tiết'!$N$2:$N$1000,"OK",'Chi tiết'!$O$2:$O$1000,"✓",'Chi tiết'!$T$2:$T$1000,"✓",'Chi tiết'!$AC$2:$AC$1000,2)</f>
        <v/>
      </c>
      <c r="D80" s="61">
        <f>IF($C$35=0,0,C80/$C$35)</f>
        <v/>
      </c>
      <c r="E80" s="58" t="inlineStr">
        <is>
          <t>Công ty Cổ phần công nghệ VIETINFO</t>
        </is>
      </c>
      <c r="F80" s="1" t="n"/>
      <c r="G80" s="1" t="n"/>
    </row>
    <row r="81" ht="14.25" customHeight="1">
      <c r="A81" s="1" t="n">
        <v>12</v>
      </c>
      <c r="B81" s="58" t="inlineStr">
        <is>
          <t>Mã tra cứu + MST người bán + Captcha khác (slider/hình)</t>
        </is>
      </c>
      <c r="C81" s="10">
        <f>COUNTIFS('Chi tiết'!$N$2:$N$1000,"OK",'Chi tiết'!$O$2:$O$1000,"✓",'Chi tiết'!$P$2:$P$1000,"✓",'Chi tiết'!$Z$2:$Z$1000,"✓",'Chi tiết'!$AC$2:$AC$1000,3)</f>
        <v/>
      </c>
      <c r="D81" s="61">
        <f>IF($C$35=0,0,C81/$C$35)</f>
        <v/>
      </c>
      <c r="E81" s="58" t="inlineStr">
        <is>
          <t>Tập đoàn Công nghiệp - Viễn thông quân đội</t>
        </is>
      </c>
      <c r="F81" s="1" t="n"/>
      <c r="G81" s="1" t="n"/>
    </row>
    <row r="82" ht="14.25" customHeight="1">
      <c r="A82" s="1" t="n">
        <v>13</v>
      </c>
      <c r="B82" s="58" t="inlineStr">
        <is>
          <t>Mã tra cứu + MST người bán + Số HĐ</t>
        </is>
      </c>
      <c r="C82" s="10">
        <f>COUNTIFS('Chi tiết'!$N$2:$N$1000,"OK",'Chi tiết'!$O$2:$O$1000,"✓",'Chi tiết'!$P$2:$P$1000,"✓",'Chi tiết'!$S$2:$S$1000,"✓",'Chi tiết'!$AC$2:$AC$1000,3)</f>
        <v/>
      </c>
      <c r="D82" s="61">
        <f>IF($C$35=0,0,C82/$C$35)</f>
        <v/>
      </c>
      <c r="E82" s="58" t="inlineStr">
        <is>
          <t>Công ty Cổ phần Giải pháp phần mềm 3A</t>
        </is>
      </c>
      <c r="F82" s="1" t="n"/>
      <c r="G82" s="1" t="n"/>
    </row>
    <row r="83" ht="14.25" customHeight="1">
      <c r="A83" s="1" t="n">
        <v>14</v>
      </c>
      <c r="B83" s="58" t="inlineStr">
        <is>
          <t>Mã tra cứu + Mã CQT + Captcha ảnh</t>
        </is>
      </c>
      <c r="C83" s="10">
        <f>COUNTIFS('Chi tiết'!$N$2:$N$1000,"OK",'Chi tiết'!$O$2:$O$1000,"✓",'Chi tiết'!$V$2:$V$1000,"✓",'Chi tiết'!$X$2:$X$1000,"✓",'Chi tiết'!$AC$2:$AC$1000,3)</f>
        <v/>
      </c>
      <c r="D83" s="61">
        <f>IF($C$35=0,0,C83/$C$35)</f>
        <v/>
      </c>
      <c r="E83" s="58" t="inlineStr">
        <is>
          <t>Tập Đoàn Bưu chính viễn thông Việt Nam</t>
        </is>
      </c>
      <c r="F83" s="1" t="n"/>
      <c r="G83" s="1" t="n"/>
    </row>
    <row r="84" ht="14.25" customHeight="1">
      <c r="A84" s="1" t="n">
        <v>15</v>
      </c>
      <c r="B84" s="58" t="inlineStr">
        <is>
          <t>Mã tra cứu + Số HĐ + Captcha dạng tích</t>
        </is>
      </c>
      <c r="C84" s="10">
        <f>COUNTIFS('Chi tiết'!$N$2:$N$1000,"OK",'Chi tiết'!$O$2:$O$1000,"✓",'Chi tiết'!$S$2:$S$1000,"✓",'Chi tiết'!$Y$2:$Y$1000,"✓",'Chi tiết'!$AC$2:$AC$1000,3)</f>
        <v/>
      </c>
      <c r="D84" s="61">
        <f>IF($C$35=0,0,C84/$C$35)</f>
        <v/>
      </c>
      <c r="E84" s="58" t="inlineStr">
        <is>
          <t>Công ty Cổ phần Công nghệ tin học EFY Việt Nam</t>
        </is>
      </c>
      <c r="F84" s="1" t="n"/>
      <c r="G84" s="1" t="n"/>
    </row>
    <row r="85" ht="14.25" customHeight="1">
      <c r="A85" s="1" t="n">
        <v>16</v>
      </c>
      <c r="B85" s="58" t="inlineStr">
        <is>
          <t>Mã tra cứu + Mẫu số / Ký hiệu + Số HĐ + Captcha dạng tích</t>
        </is>
      </c>
      <c r="C85" s="10">
        <f>COUNTIFS('Chi tiết'!$N$2:$N$1000,"OK",'Chi tiết'!$O$2:$O$1000,"✓",'Chi tiết'!$R$2:$R$1000,"✓",'Chi tiết'!$S$2:$S$1000,"✓",'Chi tiết'!$Y$2:$Y$1000,"✓",'Chi tiết'!$AC$2:$AC$1000,4)</f>
        <v/>
      </c>
      <c r="D85" s="61">
        <f>IF($C$35=0,0,C85/$C$35)</f>
        <v/>
      </c>
      <c r="E85" s="58" t="inlineStr">
        <is>
          <t>Công ty TNHH L.C.S</t>
        </is>
      </c>
      <c r="F85" s="1" t="n"/>
      <c r="G85" s="1" t="n"/>
    </row>
    <row r="86" ht="14.25" customHeight="1">
      <c r="A86" s="1" t="n">
        <v>17</v>
      </c>
      <c r="B86" s="58" t="inlineStr">
        <is>
          <t>MST người bán + Mẫu số / Ký hiệu + Số HĐ + Tổng tiền + Captcha ảnh</t>
        </is>
      </c>
      <c r="C86" s="10">
        <f>COUNTIFS('Chi tiết'!$N$2:$N$1000,"OK",'Chi tiết'!$P$2:$P$1000,"✓",'Chi tiết'!$R$2:$R$1000,"✓",'Chi tiết'!$S$2:$S$1000,"✓",'Chi tiết'!$U$2:$U$1000,"✓",'Chi tiết'!$X$2:$X$1000,"✓",'Chi tiết'!$AC$2:$AC$1000,5)</f>
        <v/>
      </c>
      <c r="D86" s="61">
        <f>IF($C$35=0,0,C86/$C$35)</f>
        <v/>
      </c>
      <c r="E86" s="58" t="inlineStr">
        <is>
          <t>Tỗng cục Thuế</t>
        </is>
      </c>
      <c r="F86" s="1" t="n"/>
      <c r="G86" s="1" t="n"/>
    </row>
    <row r="87" ht="14.25" customHeight="1">
      <c r="A87" s="1" t="n"/>
      <c r="B87" s="41" t="inlineStr">
        <is>
          <t>Tổng site OK / Total OK</t>
        </is>
      </c>
      <c r="C87" s="41">
        <f>SUM(C70:C86)</f>
        <v/>
      </c>
      <c r="D87" s="1" t="n"/>
      <c r="E87" s="1" t="n"/>
      <c r="F87" s="1" t="n"/>
      <c r="G87" s="1" t="n"/>
    </row>
    <row r="88" ht="14.25" customHeight="1">
      <c r="A88" s="1" t="n"/>
      <c r="B88" s="1" t="n"/>
      <c r="C88" s="1" t="n"/>
      <c r="D88" s="1" t="n"/>
      <c r="E88" s="1" t="n"/>
      <c r="F88" s="1" t="n"/>
      <c r="G88" s="1" t="n"/>
    </row>
    <row r="89" ht="14.25" customHeight="1">
      <c r="A89" s="1" t="n"/>
      <c r="B89" s="42" t="inlineStr">
        <is>
          <t>5. Khả năng tự động hóa / Automation feasibility</t>
        </is>
      </c>
      <c r="C89" s="1" t="n"/>
      <c r="D89" s="1" t="n"/>
      <c r="E89" s="1" t="n"/>
      <c r="F89" s="1" t="n"/>
      <c r="G89" s="1" t="n"/>
    </row>
    <row r="90" ht="14.25" customHeight="1">
      <c r="A90" s="1" t="n"/>
      <c r="B90" s="5" t="inlineStr">
        <is>
          <t>Nhóm / Group</t>
        </is>
      </c>
      <c r="C90" s="5" t="inlineStr">
        <is>
          <t>Số công ty / Companies</t>
        </is>
      </c>
      <c r="D90" s="5" t="inlineStr">
        <is>
          <t>Tỷ lệ trên site đã kiểm / % of checked</t>
        </is>
      </c>
      <c r="E90" s="1" t="n"/>
      <c r="F90" s="1" t="n"/>
      <c r="G90" s="1" t="n"/>
    </row>
    <row r="91" ht="14.25" customHeight="1">
      <c r="A91" s="1" t="n">
        <v>1</v>
      </c>
      <c r="B91" s="58" t="inlineStr">
        <is>
          <t>Không captcha, không đăng nhập → làm adapter được</t>
        </is>
      </c>
      <c r="C91" s="10">
        <f>COUNTIFS('Chi tiết'!$N$2:$N$1000,"OK",'Chi tiết'!$X$2:$X$1000,"&lt;&gt;✓",'Chi tiết'!$Y$2:$Y$1000,"&lt;&gt;✓",'Chi tiết'!$Z$2:$Z$1000,"&lt;&gt;✓",'Chi tiết'!$AA$2:$AA$1000,"&lt;&gt;✓")</f>
        <v/>
      </c>
      <c r="D91" s="61">
        <f>IF($C$40=0,0,C91/$C$40)</f>
        <v/>
      </c>
      <c r="E91" s="1" t="n"/>
      <c r="F91" s="1" t="n"/>
      <c r="G91" s="1" t="n"/>
    </row>
    <row r="92" ht="14.25" customHeight="1">
      <c r="A92" s="1" t="n">
        <v>2</v>
      </c>
      <c r="B92" s="58" t="inlineStr">
        <is>
          <t>Có captcha ảnh → cần model captcha</t>
        </is>
      </c>
      <c r="C92" s="10">
        <f>COUNTIFS('Chi tiết'!$N$2:$N$1000,"OK",'Chi tiết'!$X$2:$X$1000,"✓")</f>
        <v/>
      </c>
      <c r="D92" s="61">
        <f>IF($C$40=0,0,C92/$C$40)</f>
        <v/>
      </c>
      <c r="E92" s="1" t="n"/>
      <c r="F92" s="1" t="n"/>
      <c r="G92" s="1" t="n"/>
    </row>
    <row r="93" ht="14.25" customHeight="1">
      <c r="A93" s="1" t="n">
        <v>3</v>
      </c>
      <c r="B93" s="58" t="inlineStr">
        <is>
          <t>Captcha dạng tích (reCAPTCHA v2 / Turnstile) → không tự động, lấy qua mail</t>
        </is>
      </c>
      <c r="C93" s="10">
        <f>COUNTIFS('Chi tiết'!$N$2:$N$1000,"OK",'Chi tiết'!$Y$2:$Y$1000,"✓")</f>
        <v/>
      </c>
      <c r="D93" s="61">
        <f>IF($C$40=0,0,C93/$C$40)</f>
        <v/>
      </c>
      <c r="E93" s="1" t="n"/>
      <c r="F93" s="1" t="n"/>
      <c r="G93" s="1" t="n"/>
    </row>
    <row r="94" ht="14.25" customHeight="1">
      <c r="A94" s="1" t="n">
        <v>4</v>
      </c>
      <c r="B94" s="58" t="inlineStr">
        <is>
          <t>Captcha khác (slider / mã hiện sẵn) → xem từng site</t>
        </is>
      </c>
      <c r="C94" s="10">
        <f>COUNTIFS('Chi tiết'!$N$2:$N$1000,"OK",'Chi tiết'!$Z$2:$Z$1000,"✓")</f>
        <v/>
      </c>
      <c r="D94" s="61">
        <f>IF($C$40=0,0,C94/$C$40)</f>
        <v/>
      </c>
      <c r="E94" s="1" t="n"/>
      <c r="F94" s="1" t="n"/>
      <c r="G94" s="1" t="n"/>
    </row>
    <row r="95" ht="14.25" customHeight="1">
      <c r="A95" s="1" t="n">
        <v>5</v>
      </c>
      <c r="B95" s="58" t="inlineStr">
        <is>
          <t>Cần đăng nhập / không có trang tra cứu công khai</t>
        </is>
      </c>
      <c r="C95" s="10">
        <f>COUNTIF('Chi tiết'!$N$2:$N$1000,"Cần đăng nhập")</f>
        <v/>
      </c>
      <c r="D95" s="61">
        <f>IF($C$40=0,0,C95/$C$40)</f>
        <v/>
      </c>
      <c r="E95" s="1" t="n"/>
      <c r="F95" s="1" t="n"/>
      <c r="G95" s="1" t="n"/>
    </row>
    <row r="96" ht="14.25" customHeight="1">
      <c r="A96" s="1" t="n"/>
      <c r="B96" s="1" t="n"/>
      <c r="C96" s="1" t="n"/>
      <c r="D96" s="1" t="n"/>
      <c r="E96" s="1" t="n"/>
      <c r="F96" s="1" t="n"/>
      <c r="G96" s="1" t="n"/>
    </row>
    <row r="97" ht="14.25" customHeight="1">
      <c r="A97" s="1" t="n"/>
      <c r="B97" s="1" t="inlineStr">
        <is>
          <t>Ghi chú: một site có thể thuộc nhiều nhóm ở bảng 5; reCAPTCHA v3 chạy ẩn không tính là 'dạng tích'.</t>
        </is>
      </c>
      <c r="C97" s="1" t="n"/>
      <c r="D97" s="1" t="n"/>
      <c r="E97" s="1" t="n"/>
      <c r="F97" s="1" t="n"/>
      <c r="G97" s="1" t="n"/>
    </row>
    <row r="98" ht="14.25" customHeight="1">
      <c r="A98" s="1" t="n"/>
      <c r="B98" s="1" t="n"/>
      <c r="C98" s="1" t="n"/>
      <c r="D98" s="1" t="n"/>
      <c r="E98" s="1" t="n"/>
      <c r="F98" s="1" t="n"/>
      <c r="G98" s="1" t="n"/>
    </row>
    <row r="99" ht="14.25" customHeight="1">
      <c r="A99" s="1" t="n"/>
      <c r="B99" s="1" t="n"/>
      <c r="C99" s="1" t="n"/>
      <c r="D99" s="1" t="n"/>
      <c r="E99" s="1" t="n"/>
      <c r="F99" s="1" t="n"/>
      <c r="G99" s="1" t="n"/>
    </row>
    <row r="100" ht="14.25" customHeight="1">
      <c r="A100" s="1" t="n"/>
      <c r="B100" s="42" t="inlineStr">
        <is>
          <t>6. Tiến độ theo WBS2 (tự cập nhật theo sheet WBS2) / Progress from WBS2</t>
        </is>
      </c>
      <c r="C100" s="1" t="n"/>
      <c r="D100" s="1" t="n"/>
      <c r="E100" s="1" t="n"/>
      <c r="F100" s="1" t="n"/>
      <c r="G100" s="1" t="n"/>
    </row>
    <row r="101" ht="14.25" customHeight="1">
      <c r="A101" s="1" t="n"/>
      <c r="B101" s="5" t="inlineStr">
        <is>
          <t>Trạng thái / Status</t>
        </is>
      </c>
      <c r="C101" s="5" t="inlineStr">
        <is>
          <t>Training captcha</t>
        </is>
      </c>
      <c r="D101" s="5" t="inlineStr">
        <is>
          <t>PDF qua XML</t>
        </is>
      </c>
      <c r="E101" s="5" t="inlineStr">
        <is>
          <t>PDF qua mail</t>
        </is>
      </c>
      <c r="F101" s="1" t="n"/>
      <c r="G101" s="1" t="n"/>
    </row>
    <row r="102" ht="14.25" customHeight="1">
      <c r="A102" s="1" t="n">
        <v>1</v>
      </c>
      <c r="B102" s="99" t="inlineStr">
        <is>
          <t>Hoàn thành</t>
        </is>
      </c>
      <c r="C102" s="99">
        <f>COUNTIF(WBS2!$I$2:$I$25,"Hoàn thành")</f>
        <v/>
      </c>
      <c r="D102" s="99">
        <f>COUNTIF(WBS2!$I$27:$I$162,"Hoàn thành")</f>
        <v/>
      </c>
      <c r="E102" s="99">
        <f>COUNTIF(WBS2!$I$163:$I$298,"Hoàn thành")</f>
        <v/>
      </c>
      <c r="F102" s="1" t="n"/>
      <c r="G102" s="1" t="n"/>
    </row>
    <row r="103" ht="14.25" customHeight="1">
      <c r="A103" t="n">
        <v>2</v>
      </c>
      <c r="B103" s="100" t="inlineStr">
        <is>
          <t>Sẵn sàng (có adapter, chưa có HĐ thật)</t>
        </is>
      </c>
      <c r="C103" s="100">
        <f>COUNTIF(WBS2!$I$2:$I$25,"Sẵn sàng")</f>
        <v/>
      </c>
      <c r="D103" s="100">
        <f>COUNTIF(WBS2!$I$27:$I$162,"Sẵn sàng")</f>
        <v/>
      </c>
      <c r="E103" s="100">
        <f>COUNTIF(WBS2!$I$163:$I$298,"Sẵn sàng")</f>
        <v/>
      </c>
    </row>
    <row r="104" ht="14.25" customHeight="1">
      <c r="A104" t="n">
        <v>3</v>
      </c>
      <c r="B104" s="100" t="inlineStr">
        <is>
          <t>Đang training</t>
        </is>
      </c>
      <c r="C104" s="100">
        <f>COUNTIF(WBS2!$I$2:$I$25,"Đang training")</f>
        <v/>
      </c>
      <c r="D104" s="100">
        <f>COUNTIF(WBS2!$I$27:$I$162,"Đang training")</f>
        <v/>
      </c>
      <c r="E104" s="100">
        <f>COUNTIF(WBS2!$I$163:$I$298,"Đang training")</f>
        <v/>
      </c>
    </row>
    <row r="105" ht="14.25" customHeight="1">
      <c r="A105" t="n">
        <v>4</v>
      </c>
      <c r="B105" s="100" t="inlineStr">
        <is>
          <t>Chưa hoàn thành</t>
        </is>
      </c>
      <c r="C105" s="100">
        <f>COUNTIF(WBS2!$I$2:$I$25,"Chưa hoàn thành")</f>
        <v/>
      </c>
      <c r="D105" s="100">
        <f>COUNTIF(WBS2!$I$27:$I$162,"Chưa hoàn thành")</f>
        <v/>
      </c>
      <c r="E105" s="100">
        <f>COUNTIF(WBS2!$I$163:$I$298,"Chưa hoàn thành")</f>
        <v/>
      </c>
    </row>
    <row r="106" ht="14.25" customHeight="1">
      <c r="A106" t="n">
        <v>5</v>
      </c>
      <c r="B106" s="100" t="inlineStr">
        <is>
          <t xml:space="preserve">   – kế hoạch tháng 11/2026</t>
        </is>
      </c>
      <c r="C106" s="100">
        <f>COUNTIFS(WBS2!$I$2:$I$25,"Chưa hoàn thành",WBS2!$H$2:$H$25,"&gt;="&amp;DATE(2026,11,1),WBS2!$H$2:$H$25,"&lt;="&amp;DATE(2026,11,30))</f>
        <v/>
      </c>
      <c r="D106" s="100">
        <f>COUNTIFS(WBS2!$I$27:$I$162,"Chưa hoàn thành",WBS2!$H$27:$H$162,"&gt;="&amp;DATE(2026,11,1),WBS2!$H$27:$H$162,"&lt;="&amp;DATE(2026,11,30))</f>
        <v/>
      </c>
      <c r="E106" s="100">
        <f>COUNTIFS(WBS2!$I$163:$I$298,"Chưa hoàn thành",WBS2!$H$163:$H$298,"&gt;="&amp;DATE(2026,11,1),WBS2!$H$163:$H$298,"&lt;="&amp;DATE(2026,11,30))</f>
        <v/>
      </c>
    </row>
    <row r="107" ht="14.25" customHeight="1">
      <c r="A107" t="n">
        <v>6</v>
      </c>
      <c r="B107" s="100" t="inlineStr">
        <is>
          <t xml:space="preserve">   – kế hoạch tháng 12/2026</t>
        </is>
      </c>
      <c r="C107" s="100">
        <f>COUNTIFS(WBS2!$I$2:$I$25,"Chưa hoàn thành",WBS2!$H$2:$H$25,"&gt;="&amp;DATE(2026,12,1),WBS2!$H$2:$H$25,"&lt;="&amp;DATE(2026,12,31))</f>
        <v/>
      </c>
      <c r="D107" s="100">
        <f>COUNTIFS(WBS2!$I$27:$I$162,"Chưa hoàn thành",WBS2!$H$27:$H$162,"&gt;="&amp;DATE(2026,12,1),WBS2!$H$27:$H$162,"&lt;="&amp;DATE(2026,12,31))</f>
        <v/>
      </c>
      <c r="E107" s="100">
        <f>COUNTIFS(WBS2!$I$163:$I$298,"Chưa hoàn thành",WBS2!$H$163:$H$298,"&gt;="&amp;DATE(2026,12,1),WBS2!$H$163:$H$298,"&lt;="&amp;DATE(2026,12,31))</f>
        <v/>
      </c>
    </row>
    <row r="108" ht="14.25" customHeight="1">
      <c r="B108" s="101" t="inlineStr">
        <is>
          <t>Tổng số NCC / Total</t>
        </is>
      </c>
      <c r="C108" s="101">
        <f>COUNTA(WBS2!$E$2:$E$25)</f>
        <v/>
      </c>
      <c r="D108" s="101">
        <f>COUNTA(WBS2!$E$27:$E$162)</f>
        <v/>
      </c>
      <c r="E108" s="101">
        <f>COUNTA(WBS2!$E$163:$E$298)</f>
        <v/>
      </c>
    </row>
    <row r="109" ht="14.25" customHeight="1"/>
    <row r="110" ht="14.25" customHeight="1">
      <c r="B110" t="inlineStr">
        <is>
          <t>Ghi chú: dòng 'Chưa hoàn thành' chia theo To Date ở WBS2. Sheet 'Chi tiết' cột AJ–AP lấy Status/Kế hoạch/Ghi chú của từng NCC từ WBS2 theo MST.</t>
        </is>
      </c>
    </row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AP144"/>
  <sheetViews>
    <sheetView topLeftCell="H1" workbookViewId="0">
      <pane ySplit="1" topLeftCell="A2" activePane="bottomLeft" state="frozen"/>
      <selection pane="bottomLeft" activeCell="B3" sqref="B3"/>
    </sheetView>
  </sheetViews>
  <sheetFormatPr baseColWidth="8" defaultColWidth="14.453125" defaultRowHeight="15" customHeight="1"/>
  <cols>
    <col width="8.7265625" customWidth="1" min="1" max="1"/>
    <col width="65.81640625" customWidth="1" min="2" max="2"/>
    <col width="17.453125" customWidth="1" min="3" max="3"/>
    <col hidden="1" width="19.7265625" customWidth="1" min="4" max="4"/>
    <col width="28.81640625" customWidth="1" min="5" max="5"/>
    <col width="32.453125" customWidth="1" min="6" max="6"/>
    <col width="77" customWidth="1" min="7" max="7"/>
    <col width="46" customWidth="1" min="8" max="8"/>
    <col width="24.54296875" customWidth="1" min="9" max="9"/>
    <col hidden="1" width="8.7265625" customWidth="1" min="10" max="10"/>
    <col width="20" customWidth="1" min="11" max="11"/>
    <col width="37" customWidth="1" min="12" max="12"/>
    <col width="27.453125" customWidth="1" min="13" max="13"/>
    <col width="19.81640625" customWidth="1" min="14" max="14"/>
    <col width="9" customWidth="1" min="15" max="15"/>
    <col width="16.81640625" customWidth="1" min="16" max="16"/>
    <col width="17.7265625" customWidth="1" min="17" max="17"/>
    <col width="15.453125" customWidth="1" min="18" max="18"/>
    <col width="9" customWidth="1" min="19" max="22"/>
    <col width="13.54296875" customWidth="1" min="23" max="23"/>
    <col width="13.453125" customWidth="1" min="24" max="24"/>
    <col width="15.81640625" customWidth="1" min="25" max="25"/>
    <col width="21.54296875" customWidth="1" min="26" max="26"/>
    <col width="7.08984375" customWidth="1" min="27" max="27"/>
    <col width="11" customWidth="1" min="28" max="28"/>
    <col width="14" customWidth="1" min="29" max="29"/>
    <col width="40" customWidth="1" min="30" max="33"/>
    <col width="18" customWidth="1" min="36" max="36"/>
    <col width="18" customWidth="1" min="37" max="37"/>
    <col width="14" customWidth="1" min="38" max="38"/>
    <col width="45" customWidth="1" min="39" max="39"/>
    <col width="18" customWidth="1" min="40" max="40"/>
    <col width="14" customWidth="1" min="41" max="41"/>
    <col width="45" customWidth="1" min="42" max="42"/>
  </cols>
  <sheetData>
    <row r="1" ht="45" customHeight="1">
      <c r="A1" s="6" t="inlineStr">
        <is>
          <t>STT</t>
        </is>
      </c>
      <c r="B1" s="6" t="inlineStr">
        <is>
          <t>Tên công ty</t>
        </is>
      </c>
      <c r="C1" s="7" t="inlineStr">
        <is>
          <t>Mã số thuế</t>
        </is>
      </c>
      <c r="D1" s="6" t="inlineStr">
        <is>
          <t>Địa chỉ</t>
        </is>
      </c>
      <c r="E1" s="6" t="inlineStr">
        <is>
          <t>Web</t>
        </is>
      </c>
      <c r="F1" s="6" t="inlineStr">
        <is>
          <t>Loại</t>
        </is>
      </c>
      <c r="G1" s="6" t="inlineStr">
        <is>
          <t>Link tra cứu nếu có</t>
        </is>
      </c>
      <c r="H1" s="7" t="inlineStr">
        <is>
          <t>Kiểu tra cứu (tổ hợp tham số)</t>
        </is>
      </c>
      <c r="I1" s="7" t="inlineStr">
        <is>
          <t>Trạng thái lấy mẫu captcha</t>
        </is>
      </c>
      <c r="J1" s="11" t="n"/>
      <c r="K1" s="6" t="inlineStr">
        <is>
          <t>Train cho AI(%)</t>
        </is>
      </c>
      <c r="L1" s="6" t="inlineStr">
        <is>
          <t>Mã kích thước</t>
        </is>
      </c>
      <c r="M1" s="6" t="n"/>
      <c r="N1" s="7" t="inlineStr">
        <is>
          <t>Kiểm tra form tra cứu</t>
        </is>
      </c>
      <c r="O1" s="7" t="inlineStr">
        <is>
          <t>Mã tra cứu</t>
        </is>
      </c>
      <c r="P1" s="7" t="inlineStr">
        <is>
          <t>MST người bán</t>
        </is>
      </c>
      <c r="Q1" s="7" t="inlineStr">
        <is>
          <t>MST người mua</t>
        </is>
      </c>
      <c r="R1" s="7" t="inlineStr">
        <is>
          <t>Mẫu số / Ký hiệu</t>
        </is>
      </c>
      <c r="S1" s="7" t="inlineStr">
        <is>
          <t>Số HĐ</t>
        </is>
      </c>
      <c r="T1" s="7" t="inlineStr">
        <is>
          <t>Ngày lập</t>
        </is>
      </c>
      <c r="U1" s="7" t="inlineStr">
        <is>
          <t>Tổng tiền</t>
        </is>
      </c>
      <c r="V1" s="7" t="inlineStr">
        <is>
          <t>Mã CQT</t>
        </is>
      </c>
      <c r="W1" s="7" t="inlineStr">
        <is>
          <t>Upload XML</t>
        </is>
      </c>
      <c r="X1" s="7" t="inlineStr">
        <is>
          <t>Captcha ảnh</t>
        </is>
      </c>
      <c r="Y1" s="7" t="inlineStr">
        <is>
          <t>Captcha dạng tích</t>
        </is>
      </c>
      <c r="Z1" s="7" t="inlineStr">
        <is>
          <t>Captcha khác (slider/hình)</t>
        </is>
      </c>
      <c r="AA1" s="7" t="inlineStr">
        <is>
          <t>Đăng nhập</t>
        </is>
      </c>
      <c r="AB1" s="7" t="inlineStr">
        <is>
          <t>Email/SĐT/OTP</t>
        </is>
      </c>
      <c r="AC1" s="7" t="inlineStr">
        <is>
          <t>Số tham số nhập</t>
        </is>
      </c>
      <c r="AD1" s="7" t="inlineStr">
        <is>
          <t>Captcha chi tiết</t>
        </is>
      </c>
      <c r="AE1" s="7" t="inlineStr">
        <is>
          <t>Cách tra khác</t>
        </is>
      </c>
      <c r="AF1" s="7" t="inlineStr">
        <is>
          <t>Ghi chú kiểm tra</t>
        </is>
      </c>
      <c r="AG1" s="7" t="inlineStr">
        <is>
          <t>URL form đã kiểm tra</t>
        </is>
      </c>
      <c r="AH1" s="1" t="n"/>
      <c r="AI1" s="1" t="n"/>
      <c r="AJ1" s="7" t="inlineStr">
        <is>
          <t>Training captcha (WBS2)</t>
        </is>
      </c>
      <c r="AK1" s="7" t="inlineStr">
        <is>
          <t>PDF qua XML – Status (WBS2)</t>
        </is>
      </c>
      <c r="AL1" s="7" t="inlineStr">
        <is>
          <t>PDF qua XML – Kế hoạch đến</t>
        </is>
      </c>
      <c r="AM1" s="7" t="inlineStr">
        <is>
          <t>PDF qua XML – Ghi chú (WBS2)</t>
        </is>
      </c>
      <c r="AN1" s="7" t="inlineStr">
        <is>
          <t>PDF qua mail – Status (WBS2)</t>
        </is>
      </c>
      <c r="AO1" s="7" t="inlineStr">
        <is>
          <t>PDF qua mail – Kế hoạch đến</t>
        </is>
      </c>
      <c r="AP1" s="7" t="inlineStr">
        <is>
          <t>PDF qua mail – Ghi chú (WBS2)</t>
        </is>
      </c>
    </row>
    <row r="2" hidden="1" ht="14.25" customHeight="1">
      <c r="A2" s="13" t="n">
        <v>1</v>
      </c>
      <c r="B2" s="13" t="inlineStr">
        <is>
          <t>Công ty TNHH Công nghệ Vĩnh Hy</t>
        </is>
      </c>
      <c r="C2" s="14" t="inlineStr">
        <is>
          <t>0314743623</t>
        </is>
      </c>
      <c r="D2" s="13" t="inlineStr">
        <is>
          <t>82 Đường 76, Phường 10, Quận 6, Tp Hồ Chí Minh</t>
        </is>
      </c>
      <c r="E2" s="18" t="inlineStr">
        <is>
          <t>http://ehoadondientu.com</t>
        </is>
      </c>
      <c r="F2" s="20" t="inlineStr">
        <is>
          <t>Không có captcha</t>
        </is>
      </c>
      <c r="G2" s="23" t="inlineStr">
        <is>
          <t>https://ehoadondientu.com/Tra-cuu</t>
        </is>
      </c>
      <c r="H2" s="35">
        <f>IF(N2&lt;&gt;"OK","",IF(IF(O2="✓","Mã tra cứu|","")&amp;IF(P2="✓","MST người bán|","")&amp;IF(Q2="✓","MST người mua|","")&amp;IF(R2="✓","Mẫu số / Ký hiệu|","")&amp;IF(S2="✓","Số HĐ|","")&amp;IF(T2="✓","Ngày lập|","")&amp;IF(U2="✓","Tổng tiền|","")&amp;IF(V2="✓","Mã CQT|","")&amp;IF(W2="✓","Upload XML|","")&amp;IF(X2="✓","Captcha ảnh|","")&amp;IF(Y2="✓","Captcha dạng tích|","")&amp;IF(Z2="✓","Captcha khác (slider/hình)|","")&amp;IF(AA2="✓","Đăng nhập|","")&amp;IF(AB2="✓","Email/SĐT/OTP|","")="","(không có tham số)",SUBSTITUTE(LEFT(IF(O2="✓","Mã tra cứu|","")&amp;IF(P2="✓","MST người bán|","")&amp;IF(Q2="✓","MST người mua|","")&amp;IF(R2="✓","Mẫu số / Ký hiệu|","")&amp;IF(S2="✓","Số HĐ|","")&amp;IF(T2="✓","Ngày lập|","")&amp;IF(U2="✓","Tổng tiền|","")&amp;IF(V2="✓","Mã CQT|","")&amp;IF(W2="✓","Upload XML|","")&amp;IF(X2="✓","Captcha ảnh|","")&amp;IF(Y2="✓","Captcha dạng tích|","")&amp;IF(Z2="✓","Captcha khác (slider/hình)|","")&amp;IF(AA2="✓","Đăng nhập|","")&amp;IF(AB2="✓","Email/SĐT/OTP|",""),LEN(IF(O2="✓","Mã tra cứu|","")&amp;IF(P2="✓","MST người bán|","")&amp;IF(Q2="✓","MST người mua|","")&amp;IF(R2="✓","Mẫu số / Ký hiệu|","")&amp;IF(S2="✓","Số HĐ|","")&amp;IF(T2="✓","Ngày lập|","")&amp;IF(U2="✓","Tổng tiền|","")&amp;IF(V2="✓","Mã CQT|","")&amp;IF(W2="✓","Upload XML|","")&amp;IF(X2="✓","Captcha ảnh|","")&amp;IF(Y2="✓","Captcha dạng tích|","")&amp;IF(Z2="✓","Captcha khác (slider/hình)|","")&amp;IF(AA2="✓","Đăng nhập|","")&amp;IF(AB2="✓","Email/SĐT/OTP|",""))-1),"|"," + ")))</f>
        <v/>
      </c>
      <c r="I2" s="17" t="n"/>
      <c r="J2" s="17" t="n"/>
      <c r="K2" s="17" t="n"/>
      <c r="L2" s="17" t="n"/>
      <c r="M2" s="37" t="n"/>
      <c r="N2" s="38" t="inlineStr">
        <is>
          <t>OK</t>
        </is>
      </c>
      <c r="O2" s="39" t="inlineStr">
        <is>
          <t>✓</t>
        </is>
      </c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>
        <v>1</v>
      </c>
      <c r="AD2" s="16" t="inlineStr">
        <is>
          <t>không có</t>
        </is>
      </c>
      <c r="AE2" s="16" t="inlineStr">
        <is>
          <t>Dropdown 'Mã số thuế': vẫn 1 ô 'Mã hóa đơn hoặc mst'; dropdown 'Chứng từ khấu trừ thuế': MST + ký hiệu + số + họ tên + thu nhập (chứng từ TNCN); link 'Tra cứu hóa đơn bằng tài khoản khách hàng' (đăng nhập)</t>
        </is>
      </c>
      <c r="AF2" s="16" t="inlineStr">
        <is>
          <t>1 ô nhập chung 'Mã hóa đơn hoặc mst' + dropdown loại tra cứu; không captcha</t>
        </is>
      </c>
      <c r="AG2" s="16" t="inlineStr">
        <is>
          <t>https://ehoadondientu.com/Tra-cuu</t>
        </is>
      </c>
      <c r="AH2" s="1" t="n"/>
      <c r="AI2" s="1" t="n"/>
      <c r="AJ2">
        <f>IFERROR(IF(INDEX(WBS2!$I$2:$I$25,MATCH($C2,WBS2!$F$2:$F$25,0))="","",INDEX(WBS2!$I$2:$I$25,MATCH($C2,WBS2!$F$2:$F$25,0))),"")</f>
        <v/>
      </c>
      <c r="AK2">
        <f>IFERROR(IF(INDEX(WBS2!$I$27:$I$162,MATCH($C2,WBS2!$F$27:$F$162,0))="","",INDEX(WBS2!$I$27:$I$162,MATCH($C2,WBS2!$F$27:$F$162,0))),"")</f>
        <v/>
      </c>
      <c r="AL2" s="102">
        <f>IFERROR(IF(OR($AK2="Chưa hoàn thành",$AK2="Sẵn sàng"),INDEX(WBS2!$H$27:$H$162,MATCH($C2,WBS2!$F$27:$F$162,0)),""),"")</f>
        <v/>
      </c>
      <c r="AM2">
        <f>IFERROR(IF(INDEX(WBS2!$J$27:$J$162,MATCH($C2,WBS2!$F$27:$F$162,0))="","",INDEX(WBS2!$J$27:$J$162,MATCH($C2,WBS2!$F$27:$F$162,0))),"")</f>
        <v/>
      </c>
      <c r="AN2">
        <f>IFERROR(IF(INDEX(WBS2!$I$163:$I$298,MATCH($C2,WBS2!$F$163:$F$298,0))="","",INDEX(WBS2!$I$163:$I$298,MATCH($C2,WBS2!$F$163:$F$298,0))),"")</f>
        <v/>
      </c>
      <c r="AO2" s="102">
        <f>IFERROR(IF(OR($AN2="Chưa hoàn thành",$AN2="Sẵn sàng"),INDEX(WBS2!$H$163:$H$298,MATCH($C2,WBS2!$F$163:$F$298,0)),""),"")</f>
        <v/>
      </c>
      <c r="AP2">
        <f>IFERROR(IF(INDEX(WBS2!$J$163:$J$298,MATCH($C2,WBS2!$F$163:$F$298,0))="","",INDEX(WBS2!$J$163:$J$298,MATCH($C2,WBS2!$F$163:$F$298,0))),"")</f>
        <v/>
      </c>
    </row>
    <row r="3" hidden="1" ht="14.25" customHeight="1">
      <c r="A3" s="13" t="n">
        <v>2</v>
      </c>
      <c r="B3" s="13" t="inlineStr">
        <is>
          <t>Công ty TNHH Hệ thống thông tin FPT</t>
        </is>
      </c>
      <c r="C3" s="14" t="inlineStr">
        <is>
          <t>0104128565</t>
        </is>
      </c>
      <c r="D3" s="13" t="inlineStr">
        <is>
          <t>Tầng 22, tòa nhà Keangnam Landmark, E6 Phạm Hùng, quận Nam Từ Liêm, Tp  Hà Nội</t>
        </is>
      </c>
      <c r="E3" s="18" t="inlineStr">
        <is>
          <t>https://einvoice.fpt.com.vn</t>
        </is>
      </c>
      <c r="F3" s="20" t="inlineStr">
        <is>
          <t>Không có captcha</t>
        </is>
      </c>
      <c r="G3" s="23" t="inlineStr">
        <is>
          <t>https://tracuuhoadon.fpt.com.vn/</t>
        </is>
      </c>
      <c r="H3" s="35">
        <f>IF(N3&lt;&gt;"OK","",IF(IF(O3="✓","Mã tra cứu|","")&amp;IF(P3="✓","MST người bán|","")&amp;IF(Q3="✓","MST người mua|","")&amp;IF(R3="✓","Mẫu số / Ký hiệu|","")&amp;IF(S3="✓","Số HĐ|","")&amp;IF(T3="✓","Ngày lập|","")&amp;IF(U3="✓","Tổng tiền|","")&amp;IF(V3="✓","Mã CQT|","")&amp;IF(W3="✓","Upload XML|","")&amp;IF(X3="✓","Captcha ảnh|","")&amp;IF(Y3="✓","Captcha dạng tích|","")&amp;IF(Z3="✓","Captcha khác (slider/hình)|","")&amp;IF(AA3="✓","Đăng nhập|","")&amp;IF(AB3="✓","Email/SĐT/OTP|","")="","(không có tham số)",SUBSTITUTE(LEFT(IF(O3="✓","Mã tra cứu|","")&amp;IF(P3="✓","MST người bán|","")&amp;IF(Q3="✓","MST người mua|","")&amp;IF(R3="✓","Mẫu số / Ký hiệu|","")&amp;IF(S3="✓","Số HĐ|","")&amp;IF(T3="✓","Ngày lập|","")&amp;IF(U3="✓","Tổng tiền|","")&amp;IF(V3="✓","Mã CQT|","")&amp;IF(W3="✓","Upload XML|","")&amp;IF(X3="✓","Captcha ảnh|","")&amp;IF(Y3="✓","Captcha dạng tích|","")&amp;IF(Z3="✓","Captcha khác (slider/hình)|","")&amp;IF(AA3="✓","Đăng nhập|","")&amp;IF(AB3="✓","Email/SĐT/OTP|",""),LEN(IF(O3="✓","Mã tra cứu|","")&amp;IF(P3="✓","MST người bán|","")&amp;IF(Q3="✓","MST người mua|","")&amp;IF(R3="✓","Mẫu số / Ký hiệu|","")&amp;IF(S3="✓","Số HĐ|","")&amp;IF(T3="✓","Ngày lập|","")&amp;IF(U3="✓","Tổng tiền|","")&amp;IF(V3="✓","Mã CQT|","")&amp;IF(W3="✓","Upload XML|","")&amp;IF(X3="✓","Captcha ảnh|","")&amp;IF(Y3="✓","Captcha dạng tích|","")&amp;IF(Z3="✓","Captcha khác (slider/hình)|","")&amp;IF(AA3="✓","Đăng nhập|","")&amp;IF(AB3="✓","Email/SĐT/OTP|",""))-1),"|"," + ")))</f>
        <v/>
      </c>
      <c r="I3" s="17" t="n"/>
      <c r="J3" s="17" t="n"/>
      <c r="K3" s="17" t="n"/>
      <c r="L3" s="17" t="n"/>
      <c r="M3" s="37" t="n"/>
      <c r="N3" s="38" t="inlineStr">
        <is>
          <t>OK</t>
        </is>
      </c>
      <c r="O3" s="39" t="inlineStr">
        <is>
          <t>✓</t>
        </is>
      </c>
      <c r="P3" s="39" t="inlineStr">
        <is>
          <t>✓</t>
        </is>
      </c>
      <c r="Q3" s="39" t="n"/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>
        <v>2</v>
      </c>
      <c r="AD3" s="16" t="inlineStr">
        <is>
          <t>reCAPTCHA v3 ẩn (api.js?render=&lt;key&gt;, chỉ có badge, không có ô tích)</t>
        </is>
      </c>
      <c r="AE3" s="16" t="inlineStr">
        <is>
          <t>Tab 'Tra cứu nhiều HĐ': đăng nhập MST + tài khoản + mật khẩu; các tab khác: Chứng từ khấu trừ thuế, Đề nghị xuất HĐ, Công cụ, Biên bản, Bảng kê</t>
        </is>
      </c>
      <c r="AF3" s="16" t="inlineStr">
        <is>
          <t>SPA (Webix); MST bên bán + mã tra cứu</t>
        </is>
      </c>
      <c r="AG3" s="16" t="inlineStr">
        <is>
          <t>https://tracuuhoadon.fpt.com.vn/</t>
        </is>
      </c>
      <c r="AH3" s="1" t="n"/>
      <c r="AI3" s="1" t="n"/>
      <c r="AJ3">
        <f>IFERROR(IF(INDEX(WBS2!$I$2:$I$25,MATCH($C3,WBS2!$F$2:$F$25,0))="","",INDEX(WBS2!$I$2:$I$25,MATCH($C3,WBS2!$F$2:$F$25,0))),"")</f>
        <v/>
      </c>
      <c r="AK3">
        <f>IFERROR(IF(INDEX(WBS2!$I$27:$I$162,MATCH($C3,WBS2!$F$27:$F$162,0))="","",INDEX(WBS2!$I$27:$I$162,MATCH($C3,WBS2!$F$27:$F$162,0))),"")</f>
        <v/>
      </c>
      <c r="AL3" s="102">
        <f>IFERROR(IF(OR($AK3="Chưa hoàn thành",$AK3="Sẵn sàng"),INDEX(WBS2!$H$27:$H$162,MATCH($C3,WBS2!$F$27:$F$162,0)),""),"")</f>
        <v/>
      </c>
      <c r="AM3">
        <f>IFERROR(IF(INDEX(WBS2!$J$27:$J$162,MATCH($C3,WBS2!$F$27:$F$162,0))="","",INDEX(WBS2!$J$27:$J$162,MATCH($C3,WBS2!$F$27:$F$162,0))),"")</f>
        <v/>
      </c>
      <c r="AN3">
        <f>IFERROR(IF(INDEX(WBS2!$I$163:$I$298,MATCH($C3,WBS2!$F$163:$F$298,0))="","",INDEX(WBS2!$I$163:$I$298,MATCH($C3,WBS2!$F$163:$F$298,0))),"")</f>
        <v/>
      </c>
      <c r="AO3" s="102">
        <f>IFERROR(IF(OR($AN3="Chưa hoàn thành",$AN3="Sẵn sàng"),INDEX(WBS2!$H$163:$H$298,MATCH($C3,WBS2!$F$163:$F$298,0)),""),"")</f>
        <v/>
      </c>
      <c r="AP3">
        <f>IFERROR(IF(INDEX(WBS2!$J$163:$J$298,MATCH($C3,WBS2!$F$163:$F$298,0))="","",INDEX(WBS2!$J$163:$J$298,MATCH($C3,WBS2!$F$163:$F$298,0))),"")</f>
        <v/>
      </c>
    </row>
    <row r="4" hidden="1" ht="14.25" customHeight="1">
      <c r="A4" s="13" t="n">
        <v>3</v>
      </c>
      <c r="B4" s="13" t="inlineStr">
        <is>
          <t>Công ty Cổ phần Công nghệ tin học EFY Việt Nam</t>
        </is>
      </c>
      <c r="C4" s="14" t="inlineStr">
        <is>
          <t>0102519041</t>
        </is>
      </c>
      <c r="D4" s="13" t="inlineStr">
        <is>
          <t>Tầng 9, tòa nhà Sannam, số 78 phố Duy Tân, phường Dịch Vọng Hậu, quận Cầu Giấy, Tp Hà Nội</t>
        </is>
      </c>
      <c r="E4" s="18" t="inlineStr">
        <is>
          <t>https://ihoadon.vn</t>
        </is>
      </c>
      <c r="F4" s="20" t="inlineStr">
        <is>
          <t>captcha dạng tích</t>
        </is>
      </c>
      <c r="G4" s="23" t="inlineStr">
        <is>
          <t>https://ihoadon.vn/kiem-tra/?lang=vn</t>
        </is>
      </c>
      <c r="H4" s="35">
        <f>IF(N4&lt;&gt;"OK","",IF(IF(O4="✓","Mã tra cứu|","")&amp;IF(P4="✓","MST người bán|","")&amp;IF(Q4="✓","MST người mua|","")&amp;IF(R4="✓","Mẫu số / Ký hiệu|","")&amp;IF(S4="✓","Số HĐ|","")&amp;IF(T4="✓","Ngày lập|","")&amp;IF(U4="✓","Tổng tiền|","")&amp;IF(V4="✓","Mã CQT|","")&amp;IF(W4="✓","Upload XML|","")&amp;IF(X4="✓","Captcha ảnh|","")&amp;IF(Y4="✓","Captcha dạng tích|","")&amp;IF(Z4="✓","Captcha khác (slider/hình)|","")&amp;IF(AA4="✓","Đăng nhập|","")&amp;IF(AB4="✓","Email/SĐT/OTP|","")="","(không có tham số)",SUBSTITUTE(LEFT(IF(O4="✓","Mã tra cứu|","")&amp;IF(P4="✓","MST người bán|","")&amp;IF(Q4="✓","MST người mua|","")&amp;IF(R4="✓","Mẫu số / Ký hiệu|","")&amp;IF(S4="✓","Số HĐ|","")&amp;IF(T4="✓","Ngày lập|","")&amp;IF(U4="✓","Tổng tiền|","")&amp;IF(V4="✓","Mã CQT|","")&amp;IF(W4="✓","Upload XML|","")&amp;IF(X4="✓","Captcha ảnh|","")&amp;IF(Y4="✓","Captcha dạng tích|","")&amp;IF(Z4="✓","Captcha khác (slider/hình)|","")&amp;IF(AA4="✓","Đăng nhập|","")&amp;IF(AB4="✓","Email/SĐT/OTP|",""),LEN(IF(O4="✓","Mã tra cứu|","")&amp;IF(P4="✓","MST người bán|","")&amp;IF(Q4="✓","MST người mua|","")&amp;IF(R4="✓","Mẫu số / Ký hiệu|","")&amp;IF(S4="✓","Số HĐ|","")&amp;IF(T4="✓","Ngày lập|","")&amp;IF(U4="✓","Tổng tiền|","")&amp;IF(V4="✓","Mã CQT|","")&amp;IF(W4="✓","Upload XML|","")&amp;IF(X4="✓","Captcha ảnh|","")&amp;IF(Y4="✓","Captcha dạng tích|","")&amp;IF(Z4="✓","Captcha khác (slider/hình)|","")&amp;IF(AA4="✓","Đăng nhập|","")&amp;IF(AB4="✓","Email/SĐT/OTP|",""))-1),"|"," + ")))</f>
        <v/>
      </c>
      <c r="I4" s="17" t="n"/>
      <c r="J4" s="17" t="n"/>
      <c r="K4" s="17" t="n"/>
      <c r="L4" s="17" t="n"/>
      <c r="M4" s="37" t="n"/>
      <c r="N4" s="38" t="inlineStr">
        <is>
          <t>OK</t>
        </is>
      </c>
      <c r="O4" s="39" t="inlineStr">
        <is>
          <t>✓</t>
        </is>
      </c>
      <c r="P4" s="39" t="n"/>
      <c r="Q4" s="39" t="n"/>
      <c r="R4" s="39" t="n"/>
      <c r="S4" s="39" t="inlineStr">
        <is>
          <t>✓</t>
        </is>
      </c>
      <c r="T4" s="39" t="n"/>
      <c r="U4" s="39" t="n"/>
      <c r="V4" s="39" t="n"/>
      <c r="W4" s="39" t="n"/>
      <c r="X4" s="39" t="n"/>
      <c r="Y4" s="39" t="inlineStr">
        <is>
          <t>✓</t>
        </is>
      </c>
      <c r="Z4" s="39" t="n"/>
      <c r="AA4" s="39" t="n"/>
      <c r="AB4" s="39" t="n"/>
      <c r="AC4" s="39" t="n">
        <v>3</v>
      </c>
      <c r="AD4" s="16" t="inlineStr">
        <is>
          <t>reCAPTCHA v2 checkbox (Enterprise)</t>
        </is>
      </c>
      <c r="AE4" s="16" t="inlineStr">
        <is>
          <t>Radio 'Từ file': upload file HĐ</t>
        </is>
      </c>
      <c r="AF4" s="16" t="inlineStr">
        <is>
          <t>AngularJS; ô 2 nhận 'mã tra cứu hoặc chuỗi xác thực hóa đơn'</t>
        </is>
      </c>
      <c r="AG4" s="16" t="inlineStr">
        <is>
          <t>https://ihoadon.vn/kiem-tra/?lang=vn</t>
        </is>
      </c>
      <c r="AH4" s="1" t="n"/>
      <c r="AI4" s="1" t="n"/>
      <c r="AJ4">
        <f>IFERROR(IF(INDEX(WBS2!$I$2:$I$25,MATCH($C4,WBS2!$F$2:$F$25,0))="","",INDEX(WBS2!$I$2:$I$25,MATCH($C4,WBS2!$F$2:$F$25,0))),"")</f>
        <v/>
      </c>
      <c r="AK4">
        <f>IFERROR(IF(INDEX(WBS2!$I$27:$I$162,MATCH($C4,WBS2!$F$27:$F$162,0))="","",INDEX(WBS2!$I$27:$I$162,MATCH($C4,WBS2!$F$27:$F$162,0))),"")</f>
        <v/>
      </c>
      <c r="AL4" s="102">
        <f>IFERROR(IF(OR($AK4="Chưa hoàn thành",$AK4="Sẵn sàng"),INDEX(WBS2!$H$27:$H$162,MATCH($C4,WBS2!$F$27:$F$162,0)),""),"")</f>
        <v/>
      </c>
      <c r="AM4">
        <f>IFERROR(IF(INDEX(WBS2!$J$27:$J$162,MATCH($C4,WBS2!$F$27:$F$162,0))="","",INDEX(WBS2!$J$27:$J$162,MATCH($C4,WBS2!$F$27:$F$162,0))),"")</f>
        <v/>
      </c>
      <c r="AN4">
        <f>IFERROR(IF(INDEX(WBS2!$I$163:$I$298,MATCH($C4,WBS2!$F$163:$F$298,0))="","",INDEX(WBS2!$I$163:$I$298,MATCH($C4,WBS2!$F$163:$F$298,0))),"")</f>
        <v/>
      </c>
      <c r="AO4" s="102">
        <f>IFERROR(IF(OR($AN4="Chưa hoàn thành",$AN4="Sẵn sàng"),INDEX(WBS2!$H$163:$H$298,MATCH($C4,WBS2!$F$163:$F$298,0)),""),"")</f>
        <v/>
      </c>
      <c r="AP4">
        <f>IFERROR(IF(INDEX(WBS2!$J$163:$J$298,MATCH($C4,WBS2!$F$163:$F$298,0))="","",INDEX(WBS2!$J$163:$J$298,MATCH($C4,WBS2!$F$163:$F$298,0))),"")</f>
        <v/>
      </c>
    </row>
    <row r="5" ht="14.25" customHeight="1">
      <c r="A5" s="13" t="n">
        <v>4</v>
      </c>
      <c r="B5" s="13" t="inlineStr">
        <is>
          <t>Công ty Cổ phần Đầu tư công nghệ và thương mại Softdreams</t>
        </is>
      </c>
      <c r="C5" s="14" t="inlineStr">
        <is>
          <t>0105987432</t>
        </is>
      </c>
      <c r="D5" s="13" t="inlineStr">
        <is>
          <t>Số 7, ngách 97/1, ngõ 97 Chính Kinh, phường Nhân Chính, quận Thanh Xuân, Tp Hà Nội</t>
        </is>
      </c>
      <c r="E5" s="18" t="inlineStr">
        <is>
          <t>https://easyinvoice.vn</t>
        </is>
      </c>
      <c r="F5" s="20" t="inlineStr">
        <is>
          <t>có captcha</t>
        </is>
      </c>
      <c r="G5" s="59" t="inlineStr">
        <is>
          <t>https://tracuu.easyinvoice.vn/Captcha/Show</t>
        </is>
      </c>
      <c r="H5" s="35">
        <f>IF(N5&lt;&gt;"OK","",IF(IF(O5="✓","Mã tra cứu|","")&amp;IF(P5="✓","MST người bán|","")&amp;IF(Q5="✓","MST người mua|","")&amp;IF(R5="✓","Mẫu số / Ký hiệu|","")&amp;IF(S5="✓","Số HĐ|","")&amp;IF(T5="✓","Ngày lập|","")&amp;IF(U5="✓","Tổng tiền|","")&amp;IF(V5="✓","Mã CQT|","")&amp;IF(W5="✓","Upload XML|","")&amp;IF(X5="✓","Captcha ảnh|","")&amp;IF(Y5="✓","Captcha dạng tích|","")&amp;IF(Z5="✓","Captcha khác (slider/hình)|","")&amp;IF(AA5="✓","Đăng nhập|","")&amp;IF(AB5="✓","Email/SĐT/OTP|","")="","(không có tham số)",SUBSTITUTE(LEFT(IF(O5="✓","Mã tra cứu|","")&amp;IF(P5="✓","MST người bán|","")&amp;IF(Q5="✓","MST người mua|","")&amp;IF(R5="✓","Mẫu số / Ký hiệu|","")&amp;IF(S5="✓","Số HĐ|","")&amp;IF(T5="✓","Ngày lập|","")&amp;IF(U5="✓","Tổng tiền|","")&amp;IF(V5="✓","Mã CQT|","")&amp;IF(W5="✓","Upload XML|","")&amp;IF(X5="✓","Captcha ảnh|","")&amp;IF(Y5="✓","Captcha dạng tích|","")&amp;IF(Z5="✓","Captcha khác (slider/hình)|","")&amp;IF(AA5="✓","Đăng nhập|","")&amp;IF(AB5="✓","Email/SĐT/OTP|",""),LEN(IF(O5="✓","Mã tra cứu|","")&amp;IF(P5="✓","MST người bán|","")&amp;IF(Q5="✓","MST người mua|","")&amp;IF(R5="✓","Mẫu số / Ký hiệu|","")&amp;IF(S5="✓","Số HĐ|","")&amp;IF(T5="✓","Ngày lập|","")&amp;IF(U5="✓","Tổng tiền|","")&amp;IF(V5="✓","Mã CQT|","")&amp;IF(W5="✓","Upload XML|","")&amp;IF(X5="✓","Captcha ảnh|","")&amp;IF(Y5="✓","Captcha dạng tích|","")&amp;IF(Z5="✓","Captcha khác (slider/hình)|","")&amp;IF(AA5="✓","Đăng nhập|","")&amp;IF(AB5="✓","Email/SĐT/OTP|",""))-1),"|"," + ")))</f>
        <v/>
      </c>
      <c r="I5" s="20" t="inlineStr">
        <is>
          <t>Xong</t>
        </is>
      </c>
      <c r="J5" s="17" t="n"/>
      <c r="K5" s="60" t="n">
        <v>0.949</v>
      </c>
      <c r="L5" s="20" t="inlineStr">
        <is>
          <t>g_150x34</t>
        </is>
      </c>
      <c r="M5" s="59" t="inlineStr">
        <is>
          <t>https://tracuu.easyinvoice.vn/Captcha/Show</t>
        </is>
      </c>
      <c r="N5" s="38" t="inlineStr">
        <is>
          <t>OK</t>
        </is>
      </c>
      <c r="O5" s="39" t="inlineStr">
        <is>
          <t>✓</t>
        </is>
      </c>
      <c r="P5" s="39" t="inlineStr">
        <is>
          <t>✓</t>
        </is>
      </c>
      <c r="Q5" s="39" t="n"/>
      <c r="R5" s="39" t="n"/>
      <c r="S5" s="39" t="n"/>
      <c r="T5" s="39" t="n"/>
      <c r="U5" s="39" t="n"/>
      <c r="V5" s="39" t="n"/>
      <c r="W5" s="39" t="n"/>
      <c r="X5" s="39" t="inlineStr">
        <is>
          <t>✓</t>
        </is>
      </c>
      <c r="Y5" s="39" t="n"/>
      <c r="Z5" s="39" t="n"/>
      <c r="AA5" s="39" t="n"/>
      <c r="AB5" s="39" t="n"/>
      <c r="AC5" s="39" t="n">
        <v>3</v>
      </c>
      <c r="AD5" s="16" t="inlineStr">
        <is>
          <t>ảnh 150x34 (/Captcha/Show)</t>
        </is>
      </c>
      <c r="AE5" s="16" t="inlineStr">
        <is>
          <t>Menu khác: tra cứu phiếu xuất kho, tra cứu chứng từ; đăng nhập</t>
        </is>
      </c>
      <c r="AF5" s="16" t="inlineStr">
        <is>
          <t>Link trong danh sách là ảnh captcha, form ở trang gốc tracuu.easyinvoice.vn; mã tra cứu = Fkey; project đã có adapter easyinvoice</t>
        </is>
      </c>
      <c r="AG5" s="16" t="inlineStr">
        <is>
          <t>https://tracuu.easyinvoice.vn/Search/Index</t>
        </is>
      </c>
      <c r="AH5" s="1" t="n"/>
      <c r="AI5" s="1" t="n"/>
      <c r="AJ5">
        <f>IFERROR(IF(INDEX(WBS2!$I$2:$I$25,MATCH($C5,WBS2!$F$2:$F$25,0))="","",INDEX(WBS2!$I$2:$I$25,MATCH($C5,WBS2!$F$2:$F$25,0))),"")</f>
        <v/>
      </c>
      <c r="AK5">
        <f>IFERROR(IF(INDEX(WBS2!$I$27:$I$162,MATCH($C5,WBS2!$F$27:$F$162,0))="","",INDEX(WBS2!$I$27:$I$162,MATCH($C5,WBS2!$F$27:$F$162,0))),"")</f>
        <v/>
      </c>
      <c r="AL5" s="102">
        <f>IFERROR(IF(OR($AK5="Chưa hoàn thành",$AK5="Sẵn sàng"),INDEX(WBS2!$H$27:$H$162,MATCH($C5,WBS2!$F$27:$F$162,0)),""),"")</f>
        <v/>
      </c>
      <c r="AM5">
        <f>IFERROR(IF(INDEX(WBS2!$J$27:$J$162,MATCH($C5,WBS2!$F$27:$F$162,0))="","",INDEX(WBS2!$J$27:$J$162,MATCH($C5,WBS2!$F$27:$F$162,0))),"")</f>
        <v/>
      </c>
      <c r="AN5">
        <f>IFERROR(IF(INDEX(WBS2!$I$163:$I$298,MATCH($C5,WBS2!$F$163:$F$298,0))="","",INDEX(WBS2!$I$163:$I$298,MATCH($C5,WBS2!$F$163:$F$298,0))),"")</f>
        <v/>
      </c>
      <c r="AO5" s="102">
        <f>IFERROR(IF(OR($AN5="Chưa hoàn thành",$AN5="Sẵn sàng"),INDEX(WBS2!$H$163:$H$298,MATCH($C5,WBS2!$F$163:$F$298,0)),""),"")</f>
        <v/>
      </c>
      <c r="AP5">
        <f>IFERROR(IF(INDEX(WBS2!$J$163:$J$298,MATCH($C5,WBS2!$F$163:$F$298,0))="","",INDEX(WBS2!$J$163:$J$298,MATCH($C5,WBS2!$F$163:$F$298,0))),"")</f>
        <v/>
      </c>
    </row>
    <row r="6" hidden="1" ht="14.25" customHeight="1">
      <c r="A6" s="13" t="n">
        <v>5</v>
      </c>
      <c r="B6" s="13" t="inlineStr">
        <is>
          <t>Công ty TNHH L.C.S</t>
        </is>
      </c>
      <c r="C6" s="14" t="inlineStr">
        <is>
          <t>0302999571</t>
        </is>
      </c>
      <c r="D6" s="13" t="inlineStr">
        <is>
          <t>Số 102A, Bùi Minnh Trực, phường 6, quận 8, Tp Hồ Chí Minh</t>
        </is>
      </c>
      <c r="E6" s="18" t="inlineStr">
        <is>
          <t>https://einvoice.lcs.com.vn</t>
        </is>
      </c>
      <c r="F6" s="20" t="inlineStr">
        <is>
          <t>captcha dạng tích</t>
        </is>
      </c>
      <c r="G6" s="63" t="inlineStr">
        <is>
          <t>https://eip.lcssoft.com.vn/desktop/#/login</t>
        </is>
      </c>
      <c r="H6" s="35">
        <f>IF(N6&lt;&gt;"OK","",IF(IF(O6="✓","Mã tra cứu|","")&amp;IF(P6="✓","MST người bán|","")&amp;IF(Q6="✓","MST người mua|","")&amp;IF(R6="✓","Mẫu số / Ký hiệu|","")&amp;IF(S6="✓","Số HĐ|","")&amp;IF(T6="✓","Ngày lập|","")&amp;IF(U6="✓","Tổng tiền|","")&amp;IF(V6="✓","Mã CQT|","")&amp;IF(W6="✓","Upload XML|","")&amp;IF(X6="✓","Captcha ảnh|","")&amp;IF(Y6="✓","Captcha dạng tích|","")&amp;IF(Z6="✓","Captcha khác (slider/hình)|","")&amp;IF(AA6="✓","Đăng nhập|","")&amp;IF(AB6="✓","Email/SĐT/OTP|","")="","(không có tham số)",SUBSTITUTE(LEFT(IF(O6="✓","Mã tra cứu|","")&amp;IF(P6="✓","MST người bán|","")&amp;IF(Q6="✓","MST người mua|","")&amp;IF(R6="✓","Mẫu số / Ký hiệu|","")&amp;IF(S6="✓","Số HĐ|","")&amp;IF(T6="✓","Ngày lập|","")&amp;IF(U6="✓","Tổng tiền|","")&amp;IF(V6="✓","Mã CQT|","")&amp;IF(W6="✓","Upload XML|","")&amp;IF(X6="✓","Captcha ảnh|","")&amp;IF(Y6="✓","Captcha dạng tích|","")&amp;IF(Z6="✓","Captcha khác (slider/hình)|","")&amp;IF(AA6="✓","Đăng nhập|","")&amp;IF(AB6="✓","Email/SĐT/OTP|",""),LEN(IF(O6="✓","Mã tra cứu|","")&amp;IF(P6="✓","MST người bán|","")&amp;IF(Q6="✓","MST người mua|","")&amp;IF(R6="✓","Mẫu số / Ký hiệu|","")&amp;IF(S6="✓","Số HĐ|","")&amp;IF(T6="✓","Ngày lập|","")&amp;IF(U6="✓","Tổng tiền|","")&amp;IF(V6="✓","Mã CQT|","")&amp;IF(W6="✓","Upload XML|","")&amp;IF(X6="✓","Captcha ảnh|","")&amp;IF(Y6="✓","Captcha dạng tích|","")&amp;IF(Z6="✓","Captcha khác (slider/hình)|","")&amp;IF(AA6="✓","Đăng nhập|","")&amp;IF(AB6="✓","Email/SĐT/OTP|",""))-1),"|"," + ")))</f>
        <v/>
      </c>
      <c r="I6" s="17" t="n"/>
      <c r="J6" s="17" t="n"/>
      <c r="K6" s="17" t="n"/>
      <c r="L6" s="17" t="n"/>
      <c r="M6" s="37" t="n"/>
      <c r="N6" s="38" t="inlineStr">
        <is>
          <t>OK</t>
        </is>
      </c>
      <c r="O6" s="39" t="inlineStr">
        <is>
          <t>✓</t>
        </is>
      </c>
      <c r="P6" s="39" t="n"/>
      <c r="Q6" s="39" t="n"/>
      <c r="R6" s="39" t="inlineStr">
        <is>
          <t>✓</t>
        </is>
      </c>
      <c r="S6" s="39" t="inlineStr">
        <is>
          <t>✓</t>
        </is>
      </c>
      <c r="T6" s="39" t="n"/>
      <c r="U6" s="39" t="n"/>
      <c r="V6" s="39" t="n"/>
      <c r="W6" s="39" t="n"/>
      <c r="X6" s="39" t="n"/>
      <c r="Y6" s="39" t="inlineStr">
        <is>
          <t>✓</t>
        </is>
      </c>
      <c r="Z6" s="39" t="n"/>
      <c r="AA6" s="39" t="n"/>
      <c r="AB6" s="39" t="n"/>
      <c r="AC6" s="39" t="n">
        <v>4</v>
      </c>
      <c r="AD6" s="16" t="inlineStr">
        <is>
          <t>reCAPTCHA v2 checkbox</t>
        </is>
      </c>
      <c r="AE6" s="16" t="inlineStr">
        <is>
          <t>Link 'Xác thực hóa đơn điện tử' (#/check-signature): upload file XML</t>
        </is>
      </c>
      <c r="AF6" s="16" t="inlineStr">
        <is>
          <t>SPA Angular Material; khung tra cứu (mẫu số + ký hiệu + số HĐ + mã hóa đơn) nằm cạnh khung đăng nhập, không cần đăng nhập</t>
        </is>
      </c>
      <c r="AG6" s="16" t="inlineStr">
        <is>
          <t>https://eip.lcssoft.com.vn/desktop/#/login</t>
        </is>
      </c>
      <c r="AH6" s="1" t="n"/>
      <c r="AI6" s="1" t="n"/>
      <c r="AJ6">
        <f>IFERROR(IF(INDEX(WBS2!$I$2:$I$25,MATCH($C6,WBS2!$F$2:$F$25,0))="","",INDEX(WBS2!$I$2:$I$25,MATCH($C6,WBS2!$F$2:$F$25,0))),"")</f>
        <v/>
      </c>
      <c r="AK6">
        <f>IFERROR(IF(INDEX(WBS2!$I$27:$I$162,MATCH($C6,WBS2!$F$27:$F$162,0))="","",INDEX(WBS2!$I$27:$I$162,MATCH($C6,WBS2!$F$27:$F$162,0))),"")</f>
        <v/>
      </c>
      <c r="AL6" s="102">
        <f>IFERROR(IF(OR($AK6="Chưa hoàn thành",$AK6="Sẵn sàng"),INDEX(WBS2!$H$27:$H$162,MATCH($C6,WBS2!$F$27:$F$162,0)),""),"")</f>
        <v/>
      </c>
      <c r="AM6">
        <f>IFERROR(IF(INDEX(WBS2!$J$27:$J$162,MATCH($C6,WBS2!$F$27:$F$162,0))="","",INDEX(WBS2!$J$27:$J$162,MATCH($C6,WBS2!$F$27:$F$162,0))),"")</f>
        <v/>
      </c>
      <c r="AN6">
        <f>IFERROR(IF(INDEX(WBS2!$I$163:$I$298,MATCH($C6,WBS2!$F$163:$F$298,0))="","",INDEX(WBS2!$I$163:$I$298,MATCH($C6,WBS2!$F$163:$F$298,0))),"")</f>
        <v/>
      </c>
      <c r="AO6" s="102">
        <f>IFERROR(IF(OR($AN6="Chưa hoàn thành",$AN6="Sẵn sàng"),INDEX(WBS2!$H$163:$H$298,MATCH($C6,WBS2!$F$163:$F$298,0)),""),"")</f>
        <v/>
      </c>
      <c r="AP6">
        <f>IFERROR(IF(INDEX(WBS2!$J$163:$J$298,MATCH($C6,WBS2!$F$163:$F$298,0))="","",INDEX(WBS2!$J$163:$J$298,MATCH($C6,WBS2!$F$163:$F$298,0))),"")</f>
        <v/>
      </c>
    </row>
    <row r="7" hidden="1" ht="14.25" customHeight="1">
      <c r="A7" s="13" t="n">
        <v>6</v>
      </c>
      <c r="B7" s="13" t="inlineStr">
        <is>
          <t>Công ty TNHH Soft Ware KK VAT</t>
        </is>
      </c>
      <c r="C7" s="14" t="inlineStr">
        <is>
          <t>0313963672</t>
        </is>
      </c>
      <c r="D7" s="13" t="inlineStr">
        <is>
          <t>101017/46A Lê Văn Lương, Ấp 3, Xã Phước Kiển, Huyện nhà Bè, Tp Hồ Chí Minh</t>
        </is>
      </c>
      <c r="E7" s="18" t="inlineStr">
        <is>
          <t>http://kkvat.com.vn/thongtin</t>
        </is>
      </c>
      <c r="F7" s="20" t="inlineStr">
        <is>
          <t>Không có captcha</t>
        </is>
      </c>
      <c r="G7" s="23" t="inlineStr">
        <is>
          <t>https://tracuuhoadon.kkvat.com.vn/</t>
        </is>
      </c>
      <c r="H7" s="35">
        <f>IF(N7&lt;&gt;"OK","",IF(IF(O7="✓","Mã tra cứu|","")&amp;IF(P7="✓","MST người bán|","")&amp;IF(Q7="✓","MST người mua|","")&amp;IF(R7="✓","Mẫu số / Ký hiệu|","")&amp;IF(S7="✓","Số HĐ|","")&amp;IF(T7="✓","Ngày lập|","")&amp;IF(U7="✓","Tổng tiền|","")&amp;IF(V7="✓","Mã CQT|","")&amp;IF(W7="✓","Upload XML|","")&amp;IF(X7="✓","Captcha ảnh|","")&amp;IF(Y7="✓","Captcha dạng tích|","")&amp;IF(Z7="✓","Captcha khác (slider/hình)|","")&amp;IF(AA7="✓","Đăng nhập|","")&amp;IF(AB7="✓","Email/SĐT/OTP|","")="","(không có tham số)",SUBSTITUTE(LEFT(IF(O7="✓","Mã tra cứu|","")&amp;IF(P7="✓","MST người bán|","")&amp;IF(Q7="✓","MST người mua|","")&amp;IF(R7="✓","Mẫu số / Ký hiệu|","")&amp;IF(S7="✓","Số HĐ|","")&amp;IF(T7="✓","Ngày lập|","")&amp;IF(U7="✓","Tổng tiền|","")&amp;IF(V7="✓","Mã CQT|","")&amp;IF(W7="✓","Upload XML|","")&amp;IF(X7="✓","Captcha ảnh|","")&amp;IF(Y7="✓","Captcha dạng tích|","")&amp;IF(Z7="✓","Captcha khác (slider/hình)|","")&amp;IF(AA7="✓","Đăng nhập|","")&amp;IF(AB7="✓","Email/SĐT/OTP|",""),LEN(IF(O7="✓","Mã tra cứu|","")&amp;IF(P7="✓","MST người bán|","")&amp;IF(Q7="✓","MST người mua|","")&amp;IF(R7="✓","Mẫu số / Ký hiệu|","")&amp;IF(S7="✓","Số HĐ|","")&amp;IF(T7="✓","Ngày lập|","")&amp;IF(U7="✓","Tổng tiền|","")&amp;IF(V7="✓","Mã CQT|","")&amp;IF(W7="✓","Upload XML|","")&amp;IF(X7="✓","Captcha ảnh|","")&amp;IF(Y7="✓","Captcha dạng tích|","")&amp;IF(Z7="✓","Captcha khác (slider/hình)|","")&amp;IF(AA7="✓","Đăng nhập|","")&amp;IF(AB7="✓","Email/SĐT/OTP|",""))-1),"|"," + ")))</f>
        <v/>
      </c>
      <c r="I7" s="17" t="n"/>
      <c r="J7" s="17" t="n"/>
      <c r="K7" s="17" t="n"/>
      <c r="L7" s="17" t="n"/>
      <c r="M7" s="37" t="n"/>
      <c r="N7" s="38" t="inlineStr">
        <is>
          <t>OK</t>
        </is>
      </c>
      <c r="O7" s="39" t="inlineStr">
        <is>
          <t>✓</t>
        </is>
      </c>
      <c r="P7" s="39" t="n"/>
      <c r="Q7" s="39" t="inlineStr">
        <is>
          <t>✓</t>
        </is>
      </c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>
        <v>2</v>
      </c>
      <c r="AD7" s="16" t="inlineStr">
        <is>
          <t>không có</t>
        </is>
      </c>
      <c r="AE7" s="16" t="n"/>
      <c r="AF7" s="16" t="inlineStr">
        <is>
          <t>Ô MST ghi 'Mã số thuế đơn vị nhận' (bên mua), không phải MST bên bán</t>
        </is>
      </c>
      <c r="AG7" s="16" t="inlineStr">
        <is>
          <t>https://tracuuhoadon.kkvat.com.vn/</t>
        </is>
      </c>
      <c r="AH7" s="1" t="n"/>
      <c r="AI7" s="1" t="n"/>
      <c r="AJ7">
        <f>IFERROR(IF(INDEX(WBS2!$I$2:$I$25,MATCH($C7,WBS2!$F$2:$F$25,0))="","",INDEX(WBS2!$I$2:$I$25,MATCH($C7,WBS2!$F$2:$F$25,0))),"")</f>
        <v/>
      </c>
      <c r="AK7">
        <f>IFERROR(IF(INDEX(WBS2!$I$27:$I$162,MATCH($C7,WBS2!$F$27:$F$162,0))="","",INDEX(WBS2!$I$27:$I$162,MATCH($C7,WBS2!$F$27:$F$162,0))),"")</f>
        <v/>
      </c>
      <c r="AL7" s="102">
        <f>IFERROR(IF(OR($AK7="Chưa hoàn thành",$AK7="Sẵn sàng"),INDEX(WBS2!$H$27:$H$162,MATCH($C7,WBS2!$F$27:$F$162,0)),""),"")</f>
        <v/>
      </c>
      <c r="AM7">
        <f>IFERROR(IF(INDEX(WBS2!$J$27:$J$162,MATCH($C7,WBS2!$F$27:$F$162,0))="","",INDEX(WBS2!$J$27:$J$162,MATCH($C7,WBS2!$F$27:$F$162,0))),"")</f>
        <v/>
      </c>
      <c r="AN7">
        <f>IFERROR(IF(INDEX(WBS2!$I$163:$I$298,MATCH($C7,WBS2!$F$163:$F$298,0))="","",INDEX(WBS2!$I$163:$I$298,MATCH($C7,WBS2!$F$163:$F$298,0))),"")</f>
        <v/>
      </c>
      <c r="AO7" s="102">
        <f>IFERROR(IF(OR($AN7="Chưa hoàn thành",$AN7="Sẵn sàng"),INDEX(WBS2!$H$163:$H$298,MATCH($C7,WBS2!$F$163:$F$298,0)),""),"")</f>
        <v/>
      </c>
      <c r="AP7">
        <f>IFERROR(IF(INDEX(WBS2!$J$163:$J$298,MATCH($C7,WBS2!$F$163:$F$298,0))="","",INDEX(WBS2!$J$163:$J$298,MATCH($C7,WBS2!$F$163:$F$298,0))),"")</f>
        <v/>
      </c>
    </row>
    <row r="8" ht="14.25" customHeight="1">
      <c r="A8" s="13" t="n">
        <v>7</v>
      </c>
      <c r="B8" s="17" t="inlineStr">
        <is>
          <t>Công ty Cổ phần CyberLotus</t>
        </is>
      </c>
      <c r="C8" s="14" t="inlineStr">
        <is>
          <t>0105232093</t>
        </is>
      </c>
      <c r="D8" s="17" t="n"/>
      <c r="E8" s="65" t="inlineStr">
        <is>
          <t>https://tracuuhoadon2.xcyber.vn/#/tracuuhoadon/tracuu</t>
        </is>
      </c>
      <c r="F8" s="20" t="inlineStr">
        <is>
          <t>có captcha</t>
        </is>
      </c>
      <c r="G8" s="66" t="inlineStr">
        <is>
          <t>https://tracuuhoadon2.xcyber.vn/#/tracuuhoadon/tracuu</t>
        </is>
      </c>
      <c r="H8" s="35">
        <f>IF(N8&lt;&gt;"OK","",IF(IF(O8="✓","Mã tra cứu|","")&amp;IF(P8="✓","MST người bán|","")&amp;IF(Q8="✓","MST người mua|","")&amp;IF(R8="✓","Mẫu số / Ký hiệu|","")&amp;IF(S8="✓","Số HĐ|","")&amp;IF(T8="✓","Ngày lập|","")&amp;IF(U8="✓","Tổng tiền|","")&amp;IF(V8="✓","Mã CQT|","")&amp;IF(W8="✓","Upload XML|","")&amp;IF(X8="✓","Captcha ảnh|","")&amp;IF(Y8="✓","Captcha dạng tích|","")&amp;IF(Z8="✓","Captcha khác (slider/hình)|","")&amp;IF(AA8="✓","Đăng nhập|","")&amp;IF(AB8="✓","Email/SĐT/OTP|","")="","(không có tham số)",SUBSTITUTE(LEFT(IF(O8="✓","Mã tra cứu|","")&amp;IF(P8="✓","MST người bán|","")&amp;IF(Q8="✓","MST người mua|","")&amp;IF(R8="✓","Mẫu số / Ký hiệu|","")&amp;IF(S8="✓","Số HĐ|","")&amp;IF(T8="✓","Ngày lập|","")&amp;IF(U8="✓","Tổng tiền|","")&amp;IF(V8="✓","Mã CQT|","")&amp;IF(W8="✓","Upload XML|","")&amp;IF(X8="✓","Captcha ảnh|","")&amp;IF(Y8="✓","Captcha dạng tích|","")&amp;IF(Z8="✓","Captcha khác (slider/hình)|","")&amp;IF(AA8="✓","Đăng nhập|","")&amp;IF(AB8="✓","Email/SĐT/OTP|",""),LEN(IF(O8="✓","Mã tra cứu|","")&amp;IF(P8="✓","MST người bán|","")&amp;IF(Q8="✓","MST người mua|","")&amp;IF(R8="✓","Mẫu số / Ký hiệu|","")&amp;IF(S8="✓","Số HĐ|","")&amp;IF(T8="✓","Ngày lập|","")&amp;IF(U8="✓","Tổng tiền|","")&amp;IF(V8="✓","Mã CQT|","")&amp;IF(W8="✓","Upload XML|","")&amp;IF(X8="✓","Captcha ảnh|","")&amp;IF(Y8="✓","Captcha dạng tích|","")&amp;IF(Z8="✓","Captcha khác (slider/hình)|","")&amp;IF(AA8="✓","Đăng nhập|","")&amp;IF(AB8="✓","Email/SĐT/OTP|",""))-1),"|"," + ")))</f>
        <v/>
      </c>
      <c r="I8" s="20" t="inlineStr">
        <is>
          <t>Xong</t>
        </is>
      </c>
      <c r="J8" s="17" t="n"/>
      <c r="K8" s="67" t="n">
        <v>0.977</v>
      </c>
      <c r="L8" s="20" t="inlineStr">
        <is>
          <t>g_300x75</t>
        </is>
      </c>
      <c r="M8" s="37" t="n"/>
      <c r="N8" s="38" t="inlineStr">
        <is>
          <t>OK</t>
        </is>
      </c>
      <c r="O8" s="39" t="inlineStr">
        <is>
          <t>✓</t>
        </is>
      </c>
      <c r="P8" s="39" t="n"/>
      <c r="Q8" s="39" t="n"/>
      <c r="R8" s="39" t="n"/>
      <c r="S8" s="39" t="n"/>
      <c r="T8" s="39" t="n"/>
      <c r="U8" s="39" t="n"/>
      <c r="V8" s="39" t="n"/>
      <c r="W8" s="39" t="n"/>
      <c r="X8" s="39" t="inlineStr">
        <is>
          <t>✓</t>
        </is>
      </c>
      <c r="Y8" s="39" t="n"/>
      <c r="Z8" s="39" t="n"/>
      <c r="AA8" s="39" t="n"/>
      <c r="AB8" s="39" t="n"/>
      <c r="AC8" s="39" t="n">
        <v>2</v>
      </c>
      <c r="AD8" s="16" t="inlineStr">
        <is>
          <t>ảnh 300x75 base64 (API bill2app.xcyber.vn/.../TraCuuHoaDon/RefreshCaptcha), 5 chữ số màu có gạch nhiễu, hiển thị 180x45</t>
        </is>
      </c>
      <c r="AE8" s="16" t="inlineStr">
        <is>
          <t>'Xác thực hóa đơn' (#/tracuuhoadon/xacthuc): chọn file XML + chọn mẫu thông tư + captcha ảnh; 'Link dự phòng' tracuuhoadon.cyberbill.vn</t>
        </is>
      </c>
      <c r="AF8" s="16" t="inlineStr">
        <is>
          <t>SPA (Angular/ABP). Ô MaSoBiMat ('mã tra cứu') + mã xác thực. Trang nạp recaptcha/api.js nhưng không có widget. Nhóm model g_300x75.</t>
        </is>
      </c>
      <c r="AG8" s="16" t="inlineStr">
        <is>
          <t>https://tracuuhoadon2.xcyber.vn/#/tracuuhoadon/tracuu</t>
        </is>
      </c>
      <c r="AH8" s="1" t="n"/>
      <c r="AI8" s="1" t="n"/>
      <c r="AJ8">
        <f>IFERROR(IF(INDEX(WBS2!$I$2:$I$25,MATCH($C8,WBS2!$F$2:$F$25,0))="","",INDEX(WBS2!$I$2:$I$25,MATCH($C8,WBS2!$F$2:$F$25,0))),"")</f>
        <v/>
      </c>
      <c r="AK8">
        <f>IFERROR(IF(INDEX(WBS2!$I$27:$I$162,MATCH($C8,WBS2!$F$27:$F$162,0))="","",INDEX(WBS2!$I$27:$I$162,MATCH($C8,WBS2!$F$27:$F$162,0))),"")</f>
        <v/>
      </c>
      <c r="AL8" s="102">
        <f>IFERROR(IF(OR($AK8="Chưa hoàn thành",$AK8="Sẵn sàng"),INDEX(WBS2!$H$27:$H$162,MATCH($C8,WBS2!$F$27:$F$162,0)),""),"")</f>
        <v/>
      </c>
      <c r="AM8">
        <f>IFERROR(IF(INDEX(WBS2!$J$27:$J$162,MATCH($C8,WBS2!$F$27:$F$162,0))="","",INDEX(WBS2!$J$27:$J$162,MATCH($C8,WBS2!$F$27:$F$162,0))),"")</f>
        <v/>
      </c>
      <c r="AN8">
        <f>IFERROR(IF(INDEX(WBS2!$I$163:$I$298,MATCH($C8,WBS2!$F$163:$F$298,0))="","",INDEX(WBS2!$I$163:$I$298,MATCH($C8,WBS2!$F$163:$F$298,0))),"")</f>
        <v/>
      </c>
      <c r="AO8" s="102">
        <f>IFERROR(IF(OR($AN8="Chưa hoàn thành",$AN8="Sẵn sàng"),INDEX(WBS2!$H$163:$H$298,MATCH($C8,WBS2!$F$163:$F$298,0)),""),"")</f>
        <v/>
      </c>
      <c r="AP8">
        <f>IFERROR(IF(INDEX(WBS2!$J$163:$J$298,MATCH($C8,WBS2!$F$163:$F$298,0))="","",INDEX(WBS2!$J$163:$J$298,MATCH($C8,WBS2!$F$163:$F$298,0))),"")</f>
        <v/>
      </c>
    </row>
    <row r="9" ht="14.25" customHeight="1">
      <c r="A9" s="13" t="n">
        <v>8</v>
      </c>
      <c r="B9" s="13" t="inlineStr">
        <is>
          <t>Công ty TNHH Giải pháp công nghệ Ngô Gia Phát</t>
        </is>
      </c>
      <c r="C9" s="14" t="inlineStr">
        <is>
          <t>0311942758</t>
        </is>
      </c>
      <c r="D9" s="13" t="inlineStr">
        <is>
          <t>Số 1134/16/2/13 Nguyễn Văn Quá, phường Đông Hưng Thuận, quận 12, Tp Hồ Chí Minh</t>
        </is>
      </c>
      <c r="E9" s="18" t="inlineStr">
        <is>
          <t>http://www.ngogiaphat.vn</t>
        </is>
      </c>
      <c r="F9" s="20" t="inlineStr">
        <is>
          <t>có captcha</t>
        </is>
      </c>
      <c r="G9" s="68" t="inlineStr">
        <is>
          <t>https://tracuuonline.ngogiaphat.vn/Search.aspx</t>
        </is>
      </c>
      <c r="H9" s="35">
        <f>IF(N9&lt;&gt;"OK","",IF(IF(O9="✓","Mã tra cứu|","")&amp;IF(P9="✓","MST người bán|","")&amp;IF(Q9="✓","MST người mua|","")&amp;IF(R9="✓","Mẫu số / Ký hiệu|","")&amp;IF(S9="✓","Số HĐ|","")&amp;IF(T9="✓","Ngày lập|","")&amp;IF(U9="✓","Tổng tiền|","")&amp;IF(V9="✓","Mã CQT|","")&amp;IF(W9="✓","Upload XML|","")&amp;IF(X9="✓","Captcha ảnh|","")&amp;IF(Y9="✓","Captcha dạng tích|","")&amp;IF(Z9="✓","Captcha khác (slider/hình)|","")&amp;IF(AA9="✓","Đăng nhập|","")&amp;IF(AB9="✓","Email/SĐT/OTP|","")="","(không có tham số)",SUBSTITUTE(LEFT(IF(O9="✓","Mã tra cứu|","")&amp;IF(P9="✓","MST người bán|","")&amp;IF(Q9="✓","MST người mua|","")&amp;IF(R9="✓","Mẫu số / Ký hiệu|","")&amp;IF(S9="✓","Số HĐ|","")&amp;IF(T9="✓","Ngày lập|","")&amp;IF(U9="✓","Tổng tiền|","")&amp;IF(V9="✓","Mã CQT|","")&amp;IF(W9="✓","Upload XML|","")&amp;IF(X9="✓","Captcha ảnh|","")&amp;IF(Y9="✓","Captcha dạng tích|","")&amp;IF(Z9="✓","Captcha khác (slider/hình)|","")&amp;IF(AA9="✓","Đăng nhập|","")&amp;IF(AB9="✓","Email/SĐT/OTP|",""),LEN(IF(O9="✓","Mã tra cứu|","")&amp;IF(P9="✓","MST người bán|","")&amp;IF(Q9="✓","MST người mua|","")&amp;IF(R9="✓","Mẫu số / Ký hiệu|","")&amp;IF(S9="✓","Số HĐ|","")&amp;IF(T9="✓","Ngày lập|","")&amp;IF(U9="✓","Tổng tiền|","")&amp;IF(V9="✓","Mã CQT|","")&amp;IF(W9="✓","Upload XML|","")&amp;IF(X9="✓","Captcha ảnh|","")&amp;IF(Y9="✓","Captcha dạng tích|","")&amp;IF(Z9="✓","Captcha khác (slider/hình)|","")&amp;IF(AA9="✓","Đăng nhập|","")&amp;IF(AB9="✓","Email/SĐT/OTP|",""))-1),"|"," + ")))</f>
        <v/>
      </c>
      <c r="I9" s="20" t="inlineStr">
        <is>
          <t>Xong</t>
        </is>
      </c>
      <c r="J9" s="17" t="n"/>
      <c r="K9" s="67" t="n">
        <v>0</v>
      </c>
      <c r="L9" s="20" t="inlineStr">
        <is>
          <t>g_200x80</t>
        </is>
      </c>
      <c r="M9" s="69" t="inlineStr">
        <is>
          <t>https://tracuuonline.ngogiaphat.vn/DXB.axd?DXCache=db6b00ec-9728-fe9e-c65d-24724858e745</t>
        </is>
      </c>
      <c r="N9" s="38" t="inlineStr">
        <is>
          <t>OK</t>
        </is>
      </c>
      <c r="O9" s="39" t="inlineStr">
        <is>
          <t>✓</t>
        </is>
      </c>
      <c r="P9" s="39" t="n"/>
      <c r="Q9" s="39" t="n"/>
      <c r="R9" s="39" t="n"/>
      <c r="S9" s="39" t="n"/>
      <c r="T9" s="39" t="n"/>
      <c r="U9" s="39" t="n"/>
      <c r="V9" s="39" t="n"/>
      <c r="W9" s="39" t="n"/>
      <c r="X9" s="39" t="inlineStr">
        <is>
          <t>✓</t>
        </is>
      </c>
      <c r="Y9" s="39" t="n"/>
      <c r="Z9" s="39" t="n"/>
      <c r="AA9" s="39" t="n"/>
      <c r="AB9" s="39" t="n"/>
      <c r="AC9" s="39" t="n">
        <v>2</v>
      </c>
      <c r="AD9" s="16" t="inlineStr">
        <is>
          <t>ảnh DevExpress ASPxCaptcha 200x80 (hiển thị 200x50, chữ thường + số)</t>
        </is>
      </c>
      <c r="AE9" s="16" t="n"/>
      <c r="AF9" s="16" t="inlineStr">
        <is>
          <t>1 ô tìm không nhãn (tự viết hoa) — đoán là mã tra cứu; ASP.NET WebForms DevExpress</t>
        </is>
      </c>
      <c r="AG9" s="16" t="inlineStr">
        <is>
          <t>https://tracuuonline.ngogiaphat.vn/Search.aspx</t>
        </is>
      </c>
      <c r="AH9" s="1" t="n"/>
      <c r="AI9" s="1" t="n"/>
      <c r="AJ9">
        <f>IFERROR(IF(INDEX(WBS2!$I$2:$I$25,MATCH($C9,WBS2!$F$2:$F$25,0))="","",INDEX(WBS2!$I$2:$I$25,MATCH($C9,WBS2!$F$2:$F$25,0))),"")</f>
        <v/>
      </c>
      <c r="AK9">
        <f>IFERROR(IF(INDEX(WBS2!$I$27:$I$162,MATCH($C9,WBS2!$F$27:$F$162,0))="","",INDEX(WBS2!$I$27:$I$162,MATCH($C9,WBS2!$F$27:$F$162,0))),"")</f>
        <v/>
      </c>
      <c r="AL9" s="102">
        <f>IFERROR(IF(OR($AK9="Chưa hoàn thành",$AK9="Sẵn sàng"),INDEX(WBS2!$H$27:$H$162,MATCH($C9,WBS2!$F$27:$F$162,0)),""),"")</f>
        <v/>
      </c>
      <c r="AM9">
        <f>IFERROR(IF(INDEX(WBS2!$J$27:$J$162,MATCH($C9,WBS2!$F$27:$F$162,0))="","",INDEX(WBS2!$J$27:$J$162,MATCH($C9,WBS2!$F$27:$F$162,0))),"")</f>
        <v/>
      </c>
      <c r="AN9">
        <f>IFERROR(IF(INDEX(WBS2!$I$163:$I$298,MATCH($C9,WBS2!$F$163:$F$298,0))="","",INDEX(WBS2!$I$163:$I$298,MATCH($C9,WBS2!$F$163:$F$298,0))),"")</f>
        <v/>
      </c>
      <c r="AO9" s="102">
        <f>IFERROR(IF(OR($AN9="Chưa hoàn thành",$AN9="Sẵn sàng"),INDEX(WBS2!$H$163:$H$298,MATCH($C9,WBS2!$F$163:$F$298,0)),""),"")</f>
        <v/>
      </c>
      <c r="AP9">
        <f>IFERROR(IF(INDEX(WBS2!$J$163:$J$298,MATCH($C9,WBS2!$F$163:$F$298,0))="","",INDEX(WBS2!$J$163:$J$298,MATCH($C9,WBS2!$F$163:$F$298,0))),"")</f>
        <v/>
      </c>
    </row>
    <row r="10" hidden="1" ht="14.25" customHeight="1">
      <c r="A10" s="13" t="n">
        <v>9</v>
      </c>
      <c r="B10" s="13" t="inlineStr">
        <is>
          <t>Công ty Cổ phần Mắt Bão</t>
        </is>
      </c>
      <c r="C10" s="14" t="inlineStr">
        <is>
          <t>0302712571</t>
        </is>
      </c>
      <c r="D10" s="13" t="inlineStr">
        <is>
          <t>12A Núi Thành, phường 13, quận Tân Bình, Tp Hồ Chí Minh</t>
        </is>
      </c>
      <c r="E10" s="18" t="inlineStr">
        <is>
          <t>https://matbao.in</t>
        </is>
      </c>
      <c r="F10" s="20" t="inlineStr">
        <is>
          <t>không có captcha</t>
        </is>
      </c>
      <c r="G10" s="63" t="inlineStr">
        <is>
          <t>https://matbao.in/tra-cuu-hoa-don</t>
        </is>
      </c>
      <c r="H10" s="35">
        <f>IF(N10&lt;&gt;"OK","",IF(IF(O10="✓","Mã tra cứu|","")&amp;IF(P10="✓","MST người bán|","")&amp;IF(Q10="✓","MST người mua|","")&amp;IF(R10="✓","Mẫu số / Ký hiệu|","")&amp;IF(S10="✓","Số HĐ|","")&amp;IF(T10="✓","Ngày lập|","")&amp;IF(U10="✓","Tổng tiền|","")&amp;IF(V10="✓","Mã CQT|","")&amp;IF(W10="✓","Upload XML|","")&amp;IF(X10="✓","Captcha ảnh|","")&amp;IF(Y10="✓","Captcha dạng tích|","")&amp;IF(Z10="✓","Captcha khác (slider/hình)|","")&amp;IF(AA10="✓","Đăng nhập|","")&amp;IF(AB10="✓","Email/SĐT/OTP|","")="","(không có tham số)",SUBSTITUTE(LEFT(IF(O10="✓","Mã tra cứu|","")&amp;IF(P10="✓","MST người bán|","")&amp;IF(Q10="✓","MST người mua|","")&amp;IF(R10="✓","Mẫu số / Ký hiệu|","")&amp;IF(S10="✓","Số HĐ|","")&amp;IF(T10="✓","Ngày lập|","")&amp;IF(U10="✓","Tổng tiền|","")&amp;IF(V10="✓","Mã CQT|","")&amp;IF(W10="✓","Upload XML|","")&amp;IF(X10="✓","Captcha ảnh|","")&amp;IF(Y10="✓","Captcha dạng tích|","")&amp;IF(Z10="✓","Captcha khác (slider/hình)|","")&amp;IF(AA10="✓","Đăng nhập|","")&amp;IF(AB10="✓","Email/SĐT/OTP|",""),LEN(IF(O10="✓","Mã tra cứu|","")&amp;IF(P10="✓","MST người bán|","")&amp;IF(Q10="✓","MST người mua|","")&amp;IF(R10="✓","Mẫu số / Ký hiệu|","")&amp;IF(S10="✓","Số HĐ|","")&amp;IF(T10="✓","Ngày lập|","")&amp;IF(U10="✓","Tổng tiền|","")&amp;IF(V10="✓","Mã CQT|","")&amp;IF(W10="✓","Upload XML|","")&amp;IF(X10="✓","Captcha ảnh|","")&amp;IF(Y10="✓","Captcha dạng tích|","")&amp;IF(Z10="✓","Captcha khác (slider/hình)|","")&amp;IF(AA10="✓","Đăng nhập|","")&amp;IF(AB10="✓","Email/SĐT/OTP|",""))-1),"|"," + ")))</f>
        <v/>
      </c>
      <c r="I10" s="17" t="n"/>
      <c r="J10" s="17" t="n"/>
      <c r="K10" s="17" t="n"/>
      <c r="L10" s="17" t="n"/>
      <c r="M10" s="37" t="n"/>
      <c r="N10" s="38" t="inlineStr">
        <is>
          <t>OK</t>
        </is>
      </c>
      <c r="O10" s="39" t="inlineStr">
        <is>
          <t>✓</t>
        </is>
      </c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9" t="n"/>
      <c r="AC10" s="39" t="n">
        <v>1</v>
      </c>
      <c r="AD10" s="16" t="inlineStr">
        <is>
          <t>không có</t>
        </is>
      </c>
      <c r="AE10" s="16" t="inlineStr">
        <is>
          <t>Tab 'Tra cứu dùng file XML': upload .xml</t>
        </is>
      </c>
      <c r="AF10" s="16" t="inlineStr">
        <is>
          <t>Chỉ cần mã tra cứu</t>
        </is>
      </c>
      <c r="AG10" s="16" t="inlineStr">
        <is>
          <t>https://matbao.in/tra-cuu-hoa-don</t>
        </is>
      </c>
      <c r="AH10" s="1" t="n"/>
      <c r="AI10" s="1" t="n"/>
      <c r="AJ10">
        <f>IFERROR(IF(INDEX(WBS2!$I$2:$I$25,MATCH($C10,WBS2!$F$2:$F$25,0))="","",INDEX(WBS2!$I$2:$I$25,MATCH($C10,WBS2!$F$2:$F$25,0))),"")</f>
        <v/>
      </c>
      <c r="AK10">
        <f>IFERROR(IF(INDEX(WBS2!$I$27:$I$162,MATCH($C10,WBS2!$F$27:$F$162,0))="","",INDEX(WBS2!$I$27:$I$162,MATCH($C10,WBS2!$F$27:$F$162,0))),"")</f>
        <v/>
      </c>
      <c r="AL10" s="102">
        <f>IFERROR(IF(OR($AK10="Chưa hoàn thành",$AK10="Sẵn sàng"),INDEX(WBS2!$H$27:$H$162,MATCH($C10,WBS2!$F$27:$F$162,0)),""),"")</f>
        <v/>
      </c>
      <c r="AM10">
        <f>IFERROR(IF(INDEX(WBS2!$J$27:$J$162,MATCH($C10,WBS2!$F$27:$F$162,0))="","",INDEX(WBS2!$J$27:$J$162,MATCH($C10,WBS2!$F$27:$F$162,0))),"")</f>
        <v/>
      </c>
      <c r="AN10">
        <f>IFERROR(IF(INDEX(WBS2!$I$163:$I$298,MATCH($C10,WBS2!$F$163:$F$298,0))="","",INDEX(WBS2!$I$163:$I$298,MATCH($C10,WBS2!$F$163:$F$298,0))),"")</f>
        <v/>
      </c>
      <c r="AO10" s="102">
        <f>IFERROR(IF(OR($AN10="Chưa hoàn thành",$AN10="Sẵn sàng"),INDEX(WBS2!$H$163:$H$298,MATCH($C10,WBS2!$F$163:$F$298,0)),""),"")</f>
        <v/>
      </c>
      <c r="AP10">
        <f>IFERROR(IF(INDEX(WBS2!$J$163:$J$298,MATCH($C10,WBS2!$F$163:$F$298,0))="","",INDEX(WBS2!$J$163:$J$298,MATCH($C10,WBS2!$F$163:$F$298,0))),"")</f>
        <v/>
      </c>
    </row>
    <row r="11" hidden="1" ht="14.25" customHeight="1">
      <c r="A11" s="13" t="n">
        <v>10</v>
      </c>
      <c r="B11" s="13" t="inlineStr">
        <is>
          <t>Công ty Cổ phần công nghệ thẻ Nacencomm</t>
        </is>
      </c>
      <c r="C11" s="14" t="inlineStr">
        <is>
          <t>0103930279</t>
        </is>
      </c>
      <c r="D11" s="13" t="inlineStr">
        <is>
          <t>Tầng 5, số 2 Chùa Bộc, phường Trung Tự, quận Đống Đa, Tp Hà Nội</t>
        </is>
      </c>
      <c r="E11" s="18" t="inlineStr">
        <is>
          <t>https://www.nacencomm.com.vn/dich-vu-chi-tiet/hoa-don-dien-tu</t>
        </is>
      </c>
      <c r="F11" s="20" t="inlineStr">
        <is>
          <t>Không có captcha</t>
        </is>
      </c>
      <c r="G11" s="63" t="inlineStr">
        <is>
          <t>https://hoadon78.nacencomm.vn/tracuuhd.aspx</t>
        </is>
      </c>
      <c r="H11" s="35">
        <f>IF(N11&lt;&gt;"OK","",IF(IF(O11="✓","Mã tra cứu|","")&amp;IF(P11="✓","MST người bán|","")&amp;IF(Q11="✓","MST người mua|","")&amp;IF(R11="✓","Mẫu số / Ký hiệu|","")&amp;IF(S11="✓","Số HĐ|","")&amp;IF(T11="✓","Ngày lập|","")&amp;IF(U11="✓","Tổng tiền|","")&amp;IF(V11="✓","Mã CQT|","")&amp;IF(W11="✓","Upload XML|","")&amp;IF(X11="✓","Captcha ảnh|","")&amp;IF(Y11="✓","Captcha dạng tích|","")&amp;IF(Z11="✓","Captcha khác (slider/hình)|","")&amp;IF(AA11="✓","Đăng nhập|","")&amp;IF(AB11="✓","Email/SĐT/OTP|","")="","(không có tham số)",SUBSTITUTE(LEFT(IF(O11="✓","Mã tra cứu|","")&amp;IF(P11="✓","MST người bán|","")&amp;IF(Q11="✓","MST người mua|","")&amp;IF(R11="✓","Mẫu số / Ký hiệu|","")&amp;IF(S11="✓","Số HĐ|","")&amp;IF(T11="✓","Ngày lập|","")&amp;IF(U11="✓","Tổng tiền|","")&amp;IF(V11="✓","Mã CQT|","")&amp;IF(W11="✓","Upload XML|","")&amp;IF(X11="✓","Captcha ảnh|","")&amp;IF(Y11="✓","Captcha dạng tích|","")&amp;IF(Z11="✓","Captcha khác (slider/hình)|","")&amp;IF(AA11="✓","Đăng nhập|","")&amp;IF(AB11="✓","Email/SĐT/OTP|",""),LEN(IF(O11="✓","Mã tra cứu|","")&amp;IF(P11="✓","MST người bán|","")&amp;IF(Q11="✓","MST người mua|","")&amp;IF(R11="✓","Mẫu số / Ký hiệu|","")&amp;IF(S11="✓","Số HĐ|","")&amp;IF(T11="✓","Ngày lập|","")&amp;IF(U11="✓","Tổng tiền|","")&amp;IF(V11="✓","Mã CQT|","")&amp;IF(W11="✓","Upload XML|","")&amp;IF(X11="✓","Captcha ảnh|","")&amp;IF(Y11="✓","Captcha dạng tích|","")&amp;IF(Z11="✓","Captcha khác (slider/hình)|","")&amp;IF(AA11="✓","Đăng nhập|","")&amp;IF(AB11="✓","Email/SĐT/OTP|",""))-1),"|"," + ")))</f>
        <v/>
      </c>
      <c r="I11" s="17" t="n"/>
      <c r="J11" s="17" t="n"/>
      <c r="K11" s="17" t="n"/>
      <c r="L11" s="17" t="n"/>
      <c r="M11" s="37" t="n"/>
      <c r="N11" s="38" t="inlineStr">
        <is>
          <t>OK</t>
        </is>
      </c>
      <c r="O11" s="39" t="inlineStr">
        <is>
          <t>✓</t>
        </is>
      </c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9" t="n"/>
      <c r="AC11" s="39" t="n">
        <v>1</v>
      </c>
      <c r="AD11" s="16" t="inlineStr">
        <is>
          <t>không có</t>
        </is>
      </c>
      <c r="AE11" s="16" t="inlineStr">
        <is>
          <t>Radio 'Theo chuỗi xác thực': 1 ô chuỗi xác thực; tab 'Chứng từ TNCN'; trong HTML còn panel ẩn (không có nút chọn trên UI): MST + mẫu số + ký hiệu + số HĐ + ngày HĐ + giá trị</t>
        </is>
      </c>
      <c r="AF11" s="16" t="inlineStr">
        <is>
          <t>Ô mặc định: 'Nhập mã tra cứu hoặc số hóa đơn và 4 ký tự đầu của chuỗi xác thực'; DevExpress WebForms; ô MST người mua chỉ hiện sau khi tìm thấy (để ký HĐ bên mua)</t>
        </is>
      </c>
      <c r="AG11" s="16" t="inlineStr">
        <is>
          <t>https://hoadon78.nacencomm.vn/tracuuhd.aspx</t>
        </is>
      </c>
      <c r="AH11" s="1" t="n"/>
      <c r="AI11" s="1" t="n"/>
      <c r="AJ11">
        <f>IFERROR(IF(INDEX(WBS2!$I$2:$I$25,MATCH($C11,WBS2!$F$2:$F$25,0))="","",INDEX(WBS2!$I$2:$I$25,MATCH($C11,WBS2!$F$2:$F$25,0))),"")</f>
        <v/>
      </c>
      <c r="AK11">
        <f>IFERROR(IF(INDEX(WBS2!$I$27:$I$162,MATCH($C11,WBS2!$F$27:$F$162,0))="","",INDEX(WBS2!$I$27:$I$162,MATCH($C11,WBS2!$F$27:$F$162,0))),"")</f>
        <v/>
      </c>
      <c r="AL11" s="102">
        <f>IFERROR(IF(OR($AK11="Chưa hoàn thành",$AK11="Sẵn sàng"),INDEX(WBS2!$H$27:$H$162,MATCH($C11,WBS2!$F$27:$F$162,0)),""),"")</f>
        <v/>
      </c>
      <c r="AM11">
        <f>IFERROR(IF(INDEX(WBS2!$J$27:$J$162,MATCH($C11,WBS2!$F$27:$F$162,0))="","",INDEX(WBS2!$J$27:$J$162,MATCH($C11,WBS2!$F$27:$F$162,0))),"")</f>
        <v/>
      </c>
      <c r="AN11">
        <f>IFERROR(IF(INDEX(WBS2!$I$163:$I$298,MATCH($C11,WBS2!$F$163:$F$298,0))="","",INDEX(WBS2!$I$163:$I$298,MATCH($C11,WBS2!$F$163:$F$298,0))),"")</f>
        <v/>
      </c>
      <c r="AO11" s="102">
        <f>IFERROR(IF(OR($AN11="Chưa hoàn thành",$AN11="Sẵn sàng"),INDEX(WBS2!$H$163:$H$298,MATCH($C11,WBS2!$F$163:$F$298,0)),""),"")</f>
        <v/>
      </c>
      <c r="AP11">
        <f>IFERROR(IF(INDEX(WBS2!$J$163:$J$298,MATCH($C11,WBS2!$F$163:$F$298,0))="","",INDEX(WBS2!$J$163:$J$298,MATCH($C11,WBS2!$F$163:$F$298,0))),"")</f>
        <v/>
      </c>
    </row>
    <row r="12" ht="14.25" customHeight="1">
      <c r="A12" s="13" t="n">
        <v>11</v>
      </c>
      <c r="B12" s="13" t="inlineStr">
        <is>
          <t>Công ty Cổ phần Megabiz Việt Nam</t>
        </is>
      </c>
      <c r="C12" s="14" t="inlineStr">
        <is>
          <t>0105844836</t>
        </is>
      </c>
      <c r="D12" s="13" t="inlineStr">
        <is>
          <t>Số 3 ngõ 15 đường Nghĩa Dũng, phường Phúc Xá, quận Ba Đình, Tp Hà Nội</t>
        </is>
      </c>
      <c r="E12" s="18" t="inlineStr">
        <is>
          <t>https://vinvoice.vn</t>
        </is>
      </c>
      <c r="F12" s="20" t="inlineStr">
        <is>
          <t>có captcha</t>
        </is>
      </c>
      <c r="G12" s="23" t="inlineStr">
        <is>
          <t>https://tracuu.vinvoice.vn/Captcha/Show</t>
        </is>
      </c>
      <c r="H12" s="35">
        <f>IF(N12&lt;&gt;"OK","",IF(IF(O12="✓","Mã tra cứu|","")&amp;IF(P12="✓","MST người bán|","")&amp;IF(Q12="✓","MST người mua|","")&amp;IF(R12="✓","Mẫu số / Ký hiệu|","")&amp;IF(S12="✓","Số HĐ|","")&amp;IF(T12="✓","Ngày lập|","")&amp;IF(U12="✓","Tổng tiền|","")&amp;IF(V12="✓","Mã CQT|","")&amp;IF(W12="✓","Upload XML|","")&amp;IF(X12="✓","Captcha ảnh|","")&amp;IF(Y12="✓","Captcha dạng tích|","")&amp;IF(Z12="✓","Captcha khác (slider/hình)|","")&amp;IF(AA12="✓","Đăng nhập|","")&amp;IF(AB12="✓","Email/SĐT/OTP|","")="","(không có tham số)",SUBSTITUTE(LEFT(IF(O12="✓","Mã tra cứu|","")&amp;IF(P12="✓","MST người bán|","")&amp;IF(Q12="✓","MST người mua|","")&amp;IF(R12="✓","Mẫu số / Ký hiệu|","")&amp;IF(S12="✓","Số HĐ|","")&amp;IF(T12="✓","Ngày lập|","")&amp;IF(U12="✓","Tổng tiền|","")&amp;IF(V12="✓","Mã CQT|","")&amp;IF(W12="✓","Upload XML|","")&amp;IF(X12="✓","Captcha ảnh|","")&amp;IF(Y12="✓","Captcha dạng tích|","")&amp;IF(Z12="✓","Captcha khác (slider/hình)|","")&amp;IF(AA12="✓","Đăng nhập|","")&amp;IF(AB12="✓","Email/SĐT/OTP|",""),LEN(IF(O12="✓","Mã tra cứu|","")&amp;IF(P12="✓","MST người bán|","")&amp;IF(Q12="✓","MST người mua|","")&amp;IF(R12="✓","Mẫu số / Ký hiệu|","")&amp;IF(S12="✓","Số HĐ|","")&amp;IF(T12="✓","Ngày lập|","")&amp;IF(U12="✓","Tổng tiền|","")&amp;IF(V12="✓","Mã CQT|","")&amp;IF(W12="✓","Upload XML|","")&amp;IF(X12="✓","Captcha ảnh|","")&amp;IF(Y12="✓","Captcha dạng tích|","")&amp;IF(Z12="✓","Captcha khác (slider/hình)|","")&amp;IF(AA12="✓","Đăng nhập|","")&amp;IF(AB12="✓","Email/SĐT/OTP|",""))-1),"|"," + ")))</f>
        <v/>
      </c>
      <c r="I12" s="20" t="inlineStr">
        <is>
          <t>Xong</t>
        </is>
      </c>
      <c r="J12" s="17" t="n"/>
      <c r="K12" s="67" t="n">
        <v>1</v>
      </c>
      <c r="L12" s="20" t="inlineStr">
        <is>
          <t>g_120x38</t>
        </is>
      </c>
      <c r="M12" s="37" t="n"/>
      <c r="N12" s="38" t="inlineStr">
        <is>
          <t>OK</t>
        </is>
      </c>
      <c r="O12" s="39" t="inlineStr">
        <is>
          <t>✓</t>
        </is>
      </c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inlineStr">
        <is>
          <t>✓</t>
        </is>
      </c>
      <c r="Y12" s="39" t="n"/>
      <c r="Z12" s="39" t="n"/>
      <c r="AA12" s="39" t="n"/>
      <c r="AB12" s="39" t="n"/>
      <c r="AC12" s="39" t="n">
        <v>2</v>
      </c>
      <c r="AD12" s="16" t="inlineStr">
        <is>
          <t>ảnh 120x38 (/Captcha/Show, hiển thị 110x35)</t>
        </is>
      </c>
      <c r="AE12" s="16" t="inlineStr">
        <is>
          <t>Menu khác: Chứng từ khấu trừ TNCN, Biên lai, Biên bản; link 'Tra cứu hóa đơn TT32'</t>
        </is>
      </c>
      <c r="AF12" s="16" t="inlineStr">
        <is>
          <t>Link trong danh sách là ảnh captcha, form ở trang gốc; chỉ mã tra cứu + captcha</t>
        </is>
      </c>
      <c r="AG12" s="16" t="inlineStr">
        <is>
          <t>https://tracuu.vinvoice.vn/</t>
        </is>
      </c>
      <c r="AH12" s="1" t="n"/>
      <c r="AI12" s="1" t="n"/>
      <c r="AJ12">
        <f>IFERROR(IF(INDEX(WBS2!$I$2:$I$25,MATCH($C12,WBS2!$F$2:$F$25,0))="","",INDEX(WBS2!$I$2:$I$25,MATCH($C12,WBS2!$F$2:$F$25,0))),"")</f>
        <v/>
      </c>
      <c r="AK12">
        <f>IFERROR(IF(INDEX(WBS2!$I$27:$I$162,MATCH($C12,WBS2!$F$27:$F$162,0))="","",INDEX(WBS2!$I$27:$I$162,MATCH($C12,WBS2!$F$27:$F$162,0))),"")</f>
        <v/>
      </c>
      <c r="AL12" s="102">
        <f>IFERROR(IF(OR($AK12="Chưa hoàn thành",$AK12="Sẵn sàng"),INDEX(WBS2!$H$27:$H$162,MATCH($C12,WBS2!$F$27:$F$162,0)),""),"")</f>
        <v/>
      </c>
      <c r="AM12">
        <f>IFERROR(IF(INDEX(WBS2!$J$27:$J$162,MATCH($C12,WBS2!$F$27:$F$162,0))="","",INDEX(WBS2!$J$27:$J$162,MATCH($C12,WBS2!$F$27:$F$162,0))),"")</f>
        <v/>
      </c>
      <c r="AN12">
        <f>IFERROR(IF(INDEX(WBS2!$I$163:$I$298,MATCH($C12,WBS2!$F$163:$F$298,0))="","",INDEX(WBS2!$I$163:$I$298,MATCH($C12,WBS2!$F$163:$F$298,0))),"")</f>
        <v/>
      </c>
      <c r="AO12" s="102">
        <f>IFERROR(IF(OR($AN12="Chưa hoàn thành",$AN12="Sẵn sàng"),INDEX(WBS2!$H$163:$H$298,MATCH($C12,WBS2!$F$163:$F$298,0)),""),"")</f>
        <v/>
      </c>
      <c r="AP12">
        <f>IFERROR(IF(INDEX(WBS2!$J$163:$J$298,MATCH($C12,WBS2!$F$163:$F$298,0))="","",INDEX(WBS2!$J$163:$J$298,MATCH($C12,WBS2!$F$163:$F$298,0))),"")</f>
        <v/>
      </c>
    </row>
    <row r="13" hidden="1" ht="14.25" customHeight="1">
      <c r="A13" s="13" t="n">
        <v>12</v>
      </c>
      <c r="B13" s="13" t="inlineStr">
        <is>
          <t>Công ty TNHH Công nghệ LCD Việt Nam</t>
        </is>
      </c>
      <c r="C13" s="14" t="inlineStr">
        <is>
          <t>0312483391</t>
        </is>
      </c>
      <c r="D13" s="13" t="inlineStr">
        <is>
          <t>26/1 Trần Quang Khải, phường Tân Định, quận 1, Tp Hồ Chí Minh</t>
        </is>
      </c>
      <c r="E13" s="18" t="inlineStr">
        <is>
          <t>https://azinvoice.com</t>
        </is>
      </c>
      <c r="F13" s="20" t="inlineStr">
        <is>
          <t>không có thông tin</t>
        </is>
      </c>
      <c r="G13" s="66" t="inlineStr">
        <is>
          <t>https://azinvoice.vn/#/search-xml</t>
        </is>
      </c>
      <c r="H13" s="35">
        <f>IF(N13&lt;&gt;"OK","",IF(IF(O13="✓","Mã tra cứu|","")&amp;IF(P13="✓","MST người bán|","")&amp;IF(Q13="✓","MST người mua|","")&amp;IF(R13="✓","Mẫu số / Ký hiệu|","")&amp;IF(S13="✓","Số HĐ|","")&amp;IF(T13="✓","Ngày lập|","")&amp;IF(U13="✓","Tổng tiền|","")&amp;IF(V13="✓","Mã CQT|","")&amp;IF(W13="✓","Upload XML|","")&amp;IF(X13="✓","Captcha ảnh|","")&amp;IF(Y13="✓","Captcha dạng tích|","")&amp;IF(Z13="✓","Captcha khác (slider/hình)|","")&amp;IF(AA13="✓","Đăng nhập|","")&amp;IF(AB13="✓","Email/SĐT/OTP|","")="","(không có tham số)",SUBSTITUTE(LEFT(IF(O13="✓","Mã tra cứu|","")&amp;IF(P13="✓","MST người bán|","")&amp;IF(Q13="✓","MST người mua|","")&amp;IF(R13="✓","Mẫu số / Ký hiệu|","")&amp;IF(S13="✓","Số HĐ|","")&amp;IF(T13="✓","Ngày lập|","")&amp;IF(U13="✓","Tổng tiền|","")&amp;IF(V13="✓","Mã CQT|","")&amp;IF(W13="✓","Upload XML|","")&amp;IF(X13="✓","Captcha ảnh|","")&amp;IF(Y13="✓","Captcha dạng tích|","")&amp;IF(Z13="✓","Captcha khác (slider/hình)|","")&amp;IF(AA13="✓","Đăng nhập|","")&amp;IF(AB13="✓","Email/SĐT/OTP|",""),LEN(IF(O13="✓","Mã tra cứu|","")&amp;IF(P13="✓","MST người bán|","")&amp;IF(Q13="✓","MST người mua|","")&amp;IF(R13="✓","Mẫu số / Ký hiệu|","")&amp;IF(S13="✓","Số HĐ|","")&amp;IF(T13="✓","Ngày lập|","")&amp;IF(U13="✓","Tổng tiền|","")&amp;IF(V13="✓","Mã CQT|","")&amp;IF(W13="✓","Upload XML|","")&amp;IF(X13="✓","Captcha ảnh|","")&amp;IF(Y13="✓","Captcha dạng tích|","")&amp;IF(Z13="✓","Captcha khác (slider/hình)|","")&amp;IF(AA13="✓","Đăng nhập|","")&amp;IF(AB13="✓","Email/SĐT/OTP|",""))-1),"|"," + ")))</f>
        <v/>
      </c>
      <c r="I13" s="17" t="n"/>
      <c r="J13" s="17" t="n"/>
      <c r="K13" s="17" t="n"/>
      <c r="L13" s="17" t="n"/>
      <c r="M13" s="37" t="n"/>
      <c r="N13" s="38" t="inlineStr">
        <is>
          <t>Faile</t>
        </is>
      </c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9" t="n"/>
      <c r="AC13" s="39" t="n"/>
      <c r="AD13" s="16" t="inlineStr">
        <is>
          <t>không xác định</t>
        </is>
      </c>
      <c r="AE13" s="16" t="n"/>
      <c r="AF13" s="16" t="inlineStr">
        <is>
          <t>azinvoice.vn: DNS không phân giải (ERR_NAME_NOT_RESOLVED); web azinvoice.com: tên miền đã hết hạn (trang NameBright)</t>
        </is>
      </c>
      <c r="AG13" s="16" t="inlineStr">
        <is>
          <t>https://azinvoice.vn/#/search-xml</t>
        </is>
      </c>
      <c r="AH13" s="1" t="n"/>
      <c r="AI13" s="1" t="n"/>
      <c r="AJ13">
        <f>IFERROR(IF(INDEX(WBS2!$I$2:$I$25,MATCH($C13,WBS2!$F$2:$F$25,0))="","",INDEX(WBS2!$I$2:$I$25,MATCH($C13,WBS2!$F$2:$F$25,0))),"")</f>
        <v/>
      </c>
      <c r="AK13">
        <f>IFERROR(IF(INDEX(WBS2!$I$27:$I$162,MATCH($C13,WBS2!$F$27:$F$162,0))="","",INDEX(WBS2!$I$27:$I$162,MATCH($C13,WBS2!$F$27:$F$162,0))),"")</f>
        <v/>
      </c>
      <c r="AL13" s="102">
        <f>IFERROR(IF(OR($AK13="Chưa hoàn thành",$AK13="Sẵn sàng"),INDEX(WBS2!$H$27:$H$162,MATCH($C13,WBS2!$F$27:$F$162,0)),""),"")</f>
        <v/>
      </c>
      <c r="AM13">
        <f>IFERROR(IF(INDEX(WBS2!$J$27:$J$162,MATCH($C13,WBS2!$F$27:$F$162,0))="","",INDEX(WBS2!$J$27:$J$162,MATCH($C13,WBS2!$F$27:$F$162,0))),"")</f>
        <v/>
      </c>
      <c r="AN13">
        <f>IFERROR(IF(INDEX(WBS2!$I$163:$I$298,MATCH($C13,WBS2!$F$163:$F$298,0))="","",INDEX(WBS2!$I$163:$I$298,MATCH($C13,WBS2!$F$163:$F$298,0))),"")</f>
        <v/>
      </c>
      <c r="AO13" s="102">
        <f>IFERROR(IF(OR($AN13="Chưa hoàn thành",$AN13="Sẵn sàng"),INDEX(WBS2!$H$163:$H$298,MATCH($C13,WBS2!$F$163:$F$298,0)),""),"")</f>
        <v/>
      </c>
      <c r="AP13">
        <f>IFERROR(IF(INDEX(WBS2!$J$163:$J$298,MATCH($C13,WBS2!$F$163:$F$298,0))="","",INDEX(WBS2!$J$163:$J$298,MATCH($C13,WBS2!$F$163:$F$298,0))),"")</f>
        <v/>
      </c>
    </row>
    <row r="14" hidden="1" ht="14.25" customHeight="1">
      <c r="A14" s="13" t="n">
        <v>13</v>
      </c>
      <c r="B14" s="13" t="inlineStr">
        <is>
          <t>Công ty Cổ phần MISA</t>
        </is>
      </c>
      <c r="C14" s="14" t="inlineStr">
        <is>
          <t>0101243150</t>
        </is>
      </c>
      <c r="D14" s="13" t="inlineStr">
        <is>
          <t>Tầng 9, tòa nhà Technosoft, phố Duy Tân, phường Dịch Vọng Hậu, quận Cầu Giấy, Tp Hà Nội</t>
        </is>
      </c>
      <c r="E14" s="18" t="inlineStr">
        <is>
          <t>https://www.meinvoice.vn/</t>
        </is>
      </c>
      <c r="F14" s="20" t="inlineStr">
        <is>
          <t>Không có captcha</t>
        </is>
      </c>
      <c r="G14" s="23" t="inlineStr">
        <is>
          <t>https://www.meinvoice.vn/tra-cuu/</t>
        </is>
      </c>
      <c r="H14" s="35">
        <f>IF(N14&lt;&gt;"OK","",IF(IF(O14="✓","Mã tra cứu|","")&amp;IF(P14="✓","MST người bán|","")&amp;IF(Q14="✓","MST người mua|","")&amp;IF(R14="✓","Mẫu số / Ký hiệu|","")&amp;IF(S14="✓","Số HĐ|","")&amp;IF(T14="✓","Ngày lập|","")&amp;IF(U14="✓","Tổng tiền|","")&amp;IF(V14="✓","Mã CQT|","")&amp;IF(W14="✓","Upload XML|","")&amp;IF(X14="✓","Captcha ảnh|","")&amp;IF(Y14="✓","Captcha dạng tích|","")&amp;IF(Z14="✓","Captcha khác (slider/hình)|","")&amp;IF(AA14="✓","Đăng nhập|","")&amp;IF(AB14="✓","Email/SĐT/OTP|","")="","(không có tham số)",SUBSTITUTE(LEFT(IF(O14="✓","Mã tra cứu|","")&amp;IF(P14="✓","MST người bán|","")&amp;IF(Q14="✓","MST người mua|","")&amp;IF(R14="✓","Mẫu số / Ký hiệu|","")&amp;IF(S14="✓","Số HĐ|","")&amp;IF(T14="✓","Ngày lập|","")&amp;IF(U14="✓","Tổng tiền|","")&amp;IF(V14="✓","Mã CQT|","")&amp;IF(W14="✓","Upload XML|","")&amp;IF(X14="✓","Captcha ảnh|","")&amp;IF(Y14="✓","Captcha dạng tích|","")&amp;IF(Z14="✓","Captcha khác (slider/hình)|","")&amp;IF(AA14="✓","Đăng nhập|","")&amp;IF(AB14="✓","Email/SĐT/OTP|",""),LEN(IF(O14="✓","Mã tra cứu|","")&amp;IF(P14="✓","MST người bán|","")&amp;IF(Q14="✓","MST người mua|","")&amp;IF(R14="✓","Mẫu số / Ký hiệu|","")&amp;IF(S14="✓","Số HĐ|","")&amp;IF(T14="✓","Ngày lập|","")&amp;IF(U14="✓","Tổng tiền|","")&amp;IF(V14="✓","Mã CQT|","")&amp;IF(W14="✓","Upload XML|","")&amp;IF(X14="✓","Captcha ảnh|","")&amp;IF(Y14="✓","Captcha dạng tích|","")&amp;IF(Z14="✓","Captcha khác (slider/hình)|","")&amp;IF(AA14="✓","Đăng nhập|","")&amp;IF(AB14="✓","Email/SĐT/OTP|",""))-1),"|"," + ")))</f>
        <v/>
      </c>
      <c r="I14" s="17" t="n"/>
      <c r="J14" s="17" t="n"/>
      <c r="K14" s="17" t="n"/>
      <c r="L14" s="17" t="n"/>
      <c r="M14" s="37" t="n"/>
      <c r="N14" s="38" t="inlineStr">
        <is>
          <t>OK</t>
        </is>
      </c>
      <c r="O14" s="39" t="inlineStr">
        <is>
          <t>✓</t>
        </is>
      </c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9" t="n"/>
      <c r="AC14" s="39" t="n">
        <v>1</v>
      </c>
      <c r="AD14" s="16" t="inlineStr">
        <is>
          <t>mặc định không có; captcha ảnh ẩn (#captchaContainer, ImageHandler.ashx ~115x30) chỉ hiện sau nhiều lần tìm sai</t>
        </is>
      </c>
      <c r="AE14" s="16" t="inlineStr">
        <is>
          <t>Tab 'Theo file xml': upload XML ≤2MB; tab 'Theo email/số điện thoại': chuyển sang đăng nhập MISA ID (email/SĐT + mật khẩu, có reCAPTCHA)</t>
        </is>
      </c>
      <c r="AF14" s="16" t="inlineStr">
        <is>
          <t>Lần mở đầu bị Cloudflare 520, thử lại thì vào được; mã tra cứu = TransactionID; project đã có adapter misa</t>
        </is>
      </c>
      <c r="AG14" s="16" t="inlineStr">
        <is>
          <t>https://www.meinvoice.vn/tra-cuu/</t>
        </is>
      </c>
      <c r="AH14" s="1" t="n"/>
      <c r="AI14" s="1" t="n"/>
      <c r="AJ14">
        <f>IFERROR(IF(INDEX(WBS2!$I$2:$I$25,MATCH($C14,WBS2!$F$2:$F$25,0))="","",INDEX(WBS2!$I$2:$I$25,MATCH($C14,WBS2!$F$2:$F$25,0))),"")</f>
        <v/>
      </c>
      <c r="AK14">
        <f>IFERROR(IF(INDEX(WBS2!$I$27:$I$162,MATCH($C14,WBS2!$F$27:$F$162,0))="","",INDEX(WBS2!$I$27:$I$162,MATCH($C14,WBS2!$F$27:$F$162,0))),"")</f>
        <v/>
      </c>
      <c r="AL14" s="102">
        <f>IFERROR(IF(OR($AK14="Chưa hoàn thành",$AK14="Sẵn sàng"),INDEX(WBS2!$H$27:$H$162,MATCH($C14,WBS2!$F$27:$F$162,0)),""),"")</f>
        <v/>
      </c>
      <c r="AM14">
        <f>IFERROR(IF(INDEX(WBS2!$J$27:$J$162,MATCH($C14,WBS2!$F$27:$F$162,0))="","",INDEX(WBS2!$J$27:$J$162,MATCH($C14,WBS2!$F$27:$F$162,0))),"")</f>
        <v/>
      </c>
      <c r="AN14">
        <f>IFERROR(IF(INDEX(WBS2!$I$163:$I$298,MATCH($C14,WBS2!$F$163:$F$298,0))="","",INDEX(WBS2!$I$163:$I$298,MATCH($C14,WBS2!$F$163:$F$298,0))),"")</f>
        <v/>
      </c>
      <c r="AO14" s="102">
        <f>IFERROR(IF(OR($AN14="Chưa hoàn thành",$AN14="Sẵn sàng"),INDEX(WBS2!$H$163:$H$298,MATCH($C14,WBS2!$F$163:$F$298,0)),""),"")</f>
        <v/>
      </c>
      <c r="AP14">
        <f>IFERROR(IF(INDEX(WBS2!$J$163:$J$298,MATCH($C14,WBS2!$F$163:$F$298,0))="","",INDEX(WBS2!$J$163:$J$298,MATCH($C14,WBS2!$F$163:$F$298,0))),"")</f>
        <v/>
      </c>
    </row>
    <row r="15" hidden="1" ht="14.25" customHeight="1">
      <c r="A15" s="13" t="n">
        <v>14</v>
      </c>
      <c r="B15" s="13" t="inlineStr">
        <is>
          <t>Công ty TNHH Hóa đơn điện tử M-INVOICE</t>
        </is>
      </c>
      <c r="C15" s="14" t="inlineStr">
        <is>
          <t>0106026495</t>
        </is>
      </c>
      <c r="D15" s="13" t="inlineStr">
        <is>
          <t>Số nhà 16, ngõ 269/1 đường Giáp Bát, phường Giáp Bát, quận Hoàng Mai, Tp Hà Nội</t>
        </is>
      </c>
      <c r="E15" s="18" t="inlineStr">
        <is>
          <t>https://minvoice.vn/</t>
        </is>
      </c>
      <c r="F15" s="20" t="inlineStr">
        <is>
          <t>Không có captcha</t>
        </is>
      </c>
      <c r="G15" s="63" t="inlineStr">
        <is>
          <t>https://tracuuhoadon.minvoice.com.vn/tra-cuu-hoa-don</t>
        </is>
      </c>
      <c r="H15" s="35">
        <f>IF(N15&lt;&gt;"OK","",IF(IF(O15="✓","Mã tra cứu|","")&amp;IF(P15="✓","MST người bán|","")&amp;IF(Q15="✓","MST người mua|","")&amp;IF(R15="✓","Mẫu số / Ký hiệu|","")&amp;IF(S15="✓","Số HĐ|","")&amp;IF(T15="✓","Ngày lập|","")&amp;IF(U15="✓","Tổng tiền|","")&amp;IF(V15="✓","Mã CQT|","")&amp;IF(W15="✓","Upload XML|","")&amp;IF(X15="✓","Captcha ảnh|","")&amp;IF(Y15="✓","Captcha dạng tích|","")&amp;IF(Z15="✓","Captcha khác (slider/hình)|","")&amp;IF(AA15="✓","Đăng nhập|","")&amp;IF(AB15="✓","Email/SĐT/OTP|","")="","(không có tham số)",SUBSTITUTE(LEFT(IF(O15="✓","Mã tra cứu|","")&amp;IF(P15="✓","MST người bán|","")&amp;IF(Q15="✓","MST người mua|","")&amp;IF(R15="✓","Mẫu số / Ký hiệu|","")&amp;IF(S15="✓","Số HĐ|","")&amp;IF(T15="✓","Ngày lập|","")&amp;IF(U15="✓","Tổng tiền|","")&amp;IF(V15="✓","Mã CQT|","")&amp;IF(W15="✓","Upload XML|","")&amp;IF(X15="✓","Captcha ảnh|","")&amp;IF(Y15="✓","Captcha dạng tích|","")&amp;IF(Z15="✓","Captcha khác (slider/hình)|","")&amp;IF(AA15="✓","Đăng nhập|","")&amp;IF(AB15="✓","Email/SĐT/OTP|",""),LEN(IF(O15="✓","Mã tra cứu|","")&amp;IF(P15="✓","MST người bán|","")&amp;IF(Q15="✓","MST người mua|","")&amp;IF(R15="✓","Mẫu số / Ký hiệu|","")&amp;IF(S15="✓","Số HĐ|","")&amp;IF(T15="✓","Ngày lập|","")&amp;IF(U15="✓","Tổng tiền|","")&amp;IF(V15="✓","Mã CQT|","")&amp;IF(W15="✓","Upload XML|","")&amp;IF(X15="✓","Captcha ảnh|","")&amp;IF(Y15="✓","Captcha dạng tích|","")&amp;IF(Z15="✓","Captcha khác (slider/hình)|","")&amp;IF(AA15="✓","Đăng nhập|","")&amp;IF(AB15="✓","Email/SĐT/OTP|",""))-1),"|"," + ")))</f>
        <v/>
      </c>
      <c r="I15" s="17" t="n"/>
      <c r="J15" s="17" t="n"/>
      <c r="K15" s="17" t="n"/>
      <c r="L15" s="17" t="n"/>
      <c r="M15" s="37" t="n"/>
      <c r="N15" s="38" t="inlineStr">
        <is>
          <t>OK</t>
        </is>
      </c>
      <c r="O15" s="39" t="inlineStr">
        <is>
          <t>✓</t>
        </is>
      </c>
      <c r="P15" s="39" t="inlineStr">
        <is>
          <t>✓</t>
        </is>
      </c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9" t="n"/>
      <c r="AC15" s="39" t="n">
        <v>2</v>
      </c>
      <c r="AD15" s="16" t="inlineStr">
        <is>
          <t>không có</t>
        </is>
      </c>
      <c r="AE15" s="16" t="inlineStr">
        <is>
          <t>Tab 'File': upload .zip ≤2MB; tab 'Tài khoản': đăng nhập; tab 'Đơn vị đặc thù': MST bán + mã khách hàng; tab Chứng từ, Biên lai</t>
        </is>
      </c>
      <c r="AF15" s="16" t="inlineStr">
        <is>
          <t>SPA React/Ant Design; ô MST nhận MST bên bán hoặc CCCD; mã tra cứu = số bảo mật; project đã có adapter minvoice</t>
        </is>
      </c>
      <c r="AG15" s="16" t="inlineStr">
        <is>
          <t>https://tracuuhoadon.minvoice.com.vn/tra-cuu-hoa-don</t>
        </is>
      </c>
      <c r="AH15" s="1" t="n"/>
      <c r="AI15" s="1" t="n"/>
      <c r="AJ15">
        <f>IFERROR(IF(INDEX(WBS2!$I$2:$I$25,MATCH($C15,WBS2!$F$2:$F$25,0))="","",INDEX(WBS2!$I$2:$I$25,MATCH($C15,WBS2!$F$2:$F$25,0))),"")</f>
        <v/>
      </c>
      <c r="AK15">
        <f>IFERROR(IF(INDEX(WBS2!$I$27:$I$162,MATCH($C15,WBS2!$F$27:$F$162,0))="","",INDEX(WBS2!$I$27:$I$162,MATCH($C15,WBS2!$F$27:$F$162,0))),"")</f>
        <v/>
      </c>
      <c r="AL15" s="102">
        <f>IFERROR(IF(OR($AK15="Chưa hoàn thành",$AK15="Sẵn sàng"),INDEX(WBS2!$H$27:$H$162,MATCH($C15,WBS2!$F$27:$F$162,0)),""),"")</f>
        <v/>
      </c>
      <c r="AM15">
        <f>IFERROR(IF(INDEX(WBS2!$J$27:$J$162,MATCH($C15,WBS2!$F$27:$F$162,0))="","",INDEX(WBS2!$J$27:$J$162,MATCH($C15,WBS2!$F$27:$F$162,0))),"")</f>
        <v/>
      </c>
      <c r="AN15">
        <f>IFERROR(IF(INDEX(WBS2!$I$163:$I$298,MATCH($C15,WBS2!$F$163:$F$298,0))="","",INDEX(WBS2!$I$163:$I$298,MATCH($C15,WBS2!$F$163:$F$298,0))),"")</f>
        <v/>
      </c>
      <c r="AO15" s="102">
        <f>IFERROR(IF(OR($AN15="Chưa hoàn thành",$AN15="Sẵn sàng"),INDEX(WBS2!$H$163:$H$298,MATCH($C15,WBS2!$F$163:$F$298,0)),""),"")</f>
        <v/>
      </c>
      <c r="AP15">
        <f>IFERROR(IF(INDEX(WBS2!$J$163:$J$298,MATCH($C15,WBS2!$F$163:$F$298,0))="","",INDEX(WBS2!$J$163:$J$298,MATCH($C15,WBS2!$F$163:$F$298,0))),"")</f>
        <v/>
      </c>
    </row>
    <row r="16" hidden="1" ht="14.25" customHeight="1">
      <c r="A16" s="13" t="n">
        <v>15</v>
      </c>
      <c r="B16" s="13" t="inlineStr">
        <is>
          <t>Công ty Cổ phần Phát triển công nghệ Nguyễn Minh</t>
        </is>
      </c>
      <c r="C16" s="14" t="inlineStr">
        <is>
          <t>0313906508</t>
        </is>
      </c>
      <c r="D16" s="13" t="inlineStr">
        <is>
          <t>Số 11/8 Tân Quý, phường Tân Quý, quận Tân Phú, Tp Hồ Chí Minh</t>
        </is>
      </c>
      <c r="E16" s="18" t="inlineStr">
        <is>
          <t>www.nguyenminhvat.vn</t>
        </is>
      </c>
      <c r="F16" s="20" t="n"/>
      <c r="G16" s="20" t="n"/>
      <c r="H16" s="35">
        <f>IF(N16&lt;&gt;"OK","",IF(IF(O16="✓","Mã tra cứu|","")&amp;IF(P16="✓","MST người bán|","")&amp;IF(Q16="✓","MST người mua|","")&amp;IF(R16="✓","Mẫu số / Ký hiệu|","")&amp;IF(S16="✓","Số HĐ|","")&amp;IF(T16="✓","Ngày lập|","")&amp;IF(U16="✓","Tổng tiền|","")&amp;IF(V16="✓","Mã CQT|","")&amp;IF(W16="✓","Upload XML|","")&amp;IF(X16="✓","Captcha ảnh|","")&amp;IF(Y16="✓","Captcha dạng tích|","")&amp;IF(Z16="✓","Captcha khác (slider/hình)|","")&amp;IF(AA16="✓","Đăng nhập|","")&amp;IF(AB16="✓","Email/SĐT/OTP|","")="","(không có tham số)",SUBSTITUTE(LEFT(IF(O16="✓","Mã tra cứu|","")&amp;IF(P16="✓","MST người bán|","")&amp;IF(Q16="✓","MST người mua|","")&amp;IF(R16="✓","Mẫu số / Ký hiệu|","")&amp;IF(S16="✓","Số HĐ|","")&amp;IF(T16="✓","Ngày lập|","")&amp;IF(U16="✓","Tổng tiền|","")&amp;IF(V16="✓","Mã CQT|","")&amp;IF(W16="✓","Upload XML|","")&amp;IF(X16="✓","Captcha ảnh|","")&amp;IF(Y16="✓","Captcha dạng tích|","")&amp;IF(Z16="✓","Captcha khác (slider/hình)|","")&amp;IF(AA16="✓","Đăng nhập|","")&amp;IF(AB16="✓","Email/SĐT/OTP|",""),LEN(IF(O16="✓","Mã tra cứu|","")&amp;IF(P16="✓","MST người bán|","")&amp;IF(Q16="✓","MST người mua|","")&amp;IF(R16="✓","Mẫu số / Ký hiệu|","")&amp;IF(S16="✓","Số HĐ|","")&amp;IF(T16="✓","Ngày lập|","")&amp;IF(U16="✓","Tổng tiền|","")&amp;IF(V16="✓","Mã CQT|","")&amp;IF(W16="✓","Upload XML|","")&amp;IF(X16="✓","Captcha ảnh|","")&amp;IF(Y16="✓","Captcha dạng tích|","")&amp;IF(Z16="✓","Captcha khác (slider/hình)|","")&amp;IF(AA16="✓","Đăng nhập|","")&amp;IF(AB16="✓","Email/SĐT/OTP|",""))-1),"|"," + ")))</f>
        <v/>
      </c>
      <c r="I16" s="17" t="n"/>
      <c r="J16" s="17" t="n"/>
      <c r="K16" s="17" t="n"/>
      <c r="L16" s="17" t="n"/>
      <c r="M16" s="37" t="n"/>
      <c r="N16" s="38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1" t="n"/>
      <c r="AI16" s="1" t="n"/>
      <c r="AJ16">
        <f>IFERROR(IF(INDEX(WBS2!$I$2:$I$25,MATCH($C16,WBS2!$F$2:$F$25,0))="","",INDEX(WBS2!$I$2:$I$25,MATCH($C16,WBS2!$F$2:$F$25,0))),"")</f>
        <v/>
      </c>
      <c r="AK16">
        <f>IFERROR(IF(INDEX(WBS2!$I$27:$I$162,MATCH($C16,WBS2!$F$27:$F$162,0))="","",INDEX(WBS2!$I$27:$I$162,MATCH($C16,WBS2!$F$27:$F$162,0))),"")</f>
        <v/>
      </c>
      <c r="AL16" s="102">
        <f>IFERROR(IF(OR($AK16="Chưa hoàn thành",$AK16="Sẵn sàng"),INDEX(WBS2!$H$27:$H$162,MATCH($C16,WBS2!$F$27:$F$162,0)),""),"")</f>
        <v/>
      </c>
      <c r="AM16">
        <f>IFERROR(IF(INDEX(WBS2!$J$27:$J$162,MATCH($C16,WBS2!$F$27:$F$162,0))="","",INDEX(WBS2!$J$27:$J$162,MATCH($C16,WBS2!$F$27:$F$162,0))),"")</f>
        <v/>
      </c>
      <c r="AN16">
        <f>IFERROR(IF(INDEX(WBS2!$I$163:$I$298,MATCH($C16,WBS2!$F$163:$F$298,0))="","",INDEX(WBS2!$I$163:$I$298,MATCH($C16,WBS2!$F$163:$F$298,0))),"")</f>
        <v/>
      </c>
      <c r="AO16" s="102">
        <f>IFERROR(IF(OR($AN16="Chưa hoàn thành",$AN16="Sẵn sàng"),INDEX(WBS2!$H$163:$H$298,MATCH($C16,WBS2!$F$163:$F$298,0)),""),"")</f>
        <v/>
      </c>
      <c r="AP16">
        <f>IFERROR(IF(INDEX(WBS2!$J$163:$J$298,MATCH($C16,WBS2!$F$163:$F$298,0))="","",INDEX(WBS2!$J$163:$J$298,MATCH($C16,WBS2!$F$163:$F$298,0))),"")</f>
        <v/>
      </c>
    </row>
    <row r="17" ht="18" customHeight="1">
      <c r="A17" s="13" t="n">
        <v>16</v>
      </c>
      <c r="B17" s="13" t="inlineStr">
        <is>
          <t>Công ty TNHH Phát triển công nghệ Thái Sơn</t>
        </is>
      </c>
      <c r="C17" s="14" t="inlineStr">
        <is>
          <t>0101300842</t>
        </is>
      </c>
      <c r="D17" s="13" t="inlineStr">
        <is>
          <t>Số 362, Phố Huế, phường Phố Huế quận Hai Bà Trưng, Tp Hà Nội</t>
        </is>
      </c>
      <c r="E17" s="18" t="inlineStr">
        <is>
          <t>https://www.einvoice.vn</t>
        </is>
      </c>
      <c r="F17" s="20" t="inlineStr">
        <is>
          <t>có captcha</t>
        </is>
      </c>
      <c r="G17" s="74" t="inlineStr">
        <is>
          <t xml:space="preserve">https://tracuutvan.einvoice.com.vn/
</t>
        </is>
      </c>
      <c r="H17" s="35">
        <f>IF(N17&lt;&gt;"OK","",IF(IF(O17="✓","Mã tra cứu|","")&amp;IF(P17="✓","MST người bán|","")&amp;IF(Q17="✓","MST người mua|","")&amp;IF(R17="✓","Mẫu số / Ký hiệu|","")&amp;IF(S17="✓","Số HĐ|","")&amp;IF(T17="✓","Ngày lập|","")&amp;IF(U17="✓","Tổng tiền|","")&amp;IF(V17="✓","Mã CQT|","")&amp;IF(W17="✓","Upload XML|","")&amp;IF(X17="✓","Captcha ảnh|","")&amp;IF(Y17="✓","Captcha dạng tích|","")&amp;IF(Z17="✓","Captcha khác (slider/hình)|","")&amp;IF(AA17="✓","Đăng nhập|","")&amp;IF(AB17="✓","Email/SĐT/OTP|","")="","(không có tham số)",SUBSTITUTE(LEFT(IF(O17="✓","Mã tra cứu|","")&amp;IF(P17="✓","MST người bán|","")&amp;IF(Q17="✓","MST người mua|","")&amp;IF(R17="✓","Mẫu số / Ký hiệu|","")&amp;IF(S17="✓","Số HĐ|","")&amp;IF(T17="✓","Ngày lập|","")&amp;IF(U17="✓","Tổng tiền|","")&amp;IF(V17="✓","Mã CQT|","")&amp;IF(W17="✓","Upload XML|","")&amp;IF(X17="✓","Captcha ảnh|","")&amp;IF(Y17="✓","Captcha dạng tích|","")&amp;IF(Z17="✓","Captcha khác (slider/hình)|","")&amp;IF(AA17="✓","Đăng nhập|","")&amp;IF(AB17="✓","Email/SĐT/OTP|",""),LEN(IF(O17="✓","Mã tra cứu|","")&amp;IF(P17="✓","MST người bán|","")&amp;IF(Q17="✓","MST người mua|","")&amp;IF(R17="✓","Mẫu số / Ký hiệu|","")&amp;IF(S17="✓","Số HĐ|","")&amp;IF(T17="✓","Ngày lập|","")&amp;IF(U17="✓","Tổng tiền|","")&amp;IF(V17="✓","Mã CQT|","")&amp;IF(W17="✓","Upload XML|","")&amp;IF(X17="✓","Captcha ảnh|","")&amp;IF(Y17="✓","Captcha dạng tích|","")&amp;IF(Z17="✓","Captcha khác (slider/hình)|","")&amp;IF(AA17="✓","Đăng nhập|","")&amp;IF(AB17="✓","Email/SĐT/OTP|",""))-1),"|"," + ")))</f>
        <v/>
      </c>
      <c r="I17" s="20" t="inlineStr">
        <is>
          <t>Xong</t>
        </is>
      </c>
      <c r="J17" s="17" t="n"/>
      <c r="K17" s="67" t="n">
        <v>0.8924</v>
      </c>
      <c r="L17" s="20" t="inlineStr">
        <is>
          <t>g_200x70</t>
        </is>
      </c>
      <c r="M17" s="37" t="n"/>
      <c r="N17" s="38" t="inlineStr">
        <is>
          <t>OK</t>
        </is>
      </c>
      <c r="O17" s="39" t="inlineStr">
        <is>
          <t>✓</t>
        </is>
      </c>
      <c r="P17" s="39" t="inlineStr">
        <is>
          <t>✓</t>
        </is>
      </c>
      <c r="Q17" s="39" t="n"/>
      <c r="R17" s="39" t="n"/>
      <c r="S17" s="39" t="n"/>
      <c r="T17" s="39" t="n"/>
      <c r="U17" s="39" t="n"/>
      <c r="V17" s="39" t="n"/>
      <c r="W17" s="39" t="n"/>
      <c r="X17" s="39" t="inlineStr">
        <is>
          <t>✓</t>
        </is>
      </c>
      <c r="Y17" s="39" t="n"/>
      <c r="Z17" s="39" t="n"/>
      <c r="AA17" s="39" t="n"/>
      <c r="AB17" s="39" t="n"/>
      <c r="AC17" s="39" t="n">
        <v>3</v>
      </c>
      <c r="AD17" s="16" t="inlineStr">
        <is>
          <t>ảnh 200x70 (/DefaultCaptcha/Generate, hiển thị 172x35)</t>
        </is>
      </c>
      <c r="AE17" s="16" t="n"/>
      <c r="AF17" s="16" t="inlineStr">
        <is>
          <t>Mã tra cứu ghi là 'Mã nhận hóa đơn'</t>
        </is>
      </c>
      <c r="AG17" s="16" t="inlineStr">
        <is>
          <t>https://tracuutvan.einvoice.com.vn/</t>
        </is>
      </c>
      <c r="AH17" s="1" t="n"/>
      <c r="AI17" s="1" t="n"/>
      <c r="AJ17">
        <f>IFERROR(IF(INDEX(WBS2!$I$2:$I$25,MATCH($C17,WBS2!$F$2:$F$25,0))="","",INDEX(WBS2!$I$2:$I$25,MATCH($C17,WBS2!$F$2:$F$25,0))),"")</f>
        <v/>
      </c>
      <c r="AK17">
        <f>IFERROR(IF(INDEX(WBS2!$I$27:$I$162,MATCH($C17,WBS2!$F$27:$F$162,0))="","",INDEX(WBS2!$I$27:$I$162,MATCH($C17,WBS2!$F$27:$F$162,0))),"")</f>
        <v/>
      </c>
      <c r="AL17" s="102">
        <f>IFERROR(IF(OR($AK17="Chưa hoàn thành",$AK17="Sẵn sàng"),INDEX(WBS2!$H$27:$H$162,MATCH($C17,WBS2!$F$27:$F$162,0)),""),"")</f>
        <v/>
      </c>
      <c r="AM17">
        <f>IFERROR(IF(INDEX(WBS2!$J$27:$J$162,MATCH($C17,WBS2!$F$27:$F$162,0))="","",INDEX(WBS2!$J$27:$J$162,MATCH($C17,WBS2!$F$27:$F$162,0))),"")</f>
        <v/>
      </c>
      <c r="AN17">
        <f>IFERROR(IF(INDEX(WBS2!$I$163:$I$298,MATCH($C17,WBS2!$F$163:$F$298,0))="","",INDEX(WBS2!$I$163:$I$298,MATCH($C17,WBS2!$F$163:$F$298,0))),"")</f>
        <v/>
      </c>
      <c r="AO17" s="102">
        <f>IFERROR(IF(OR($AN17="Chưa hoàn thành",$AN17="Sẵn sàng"),INDEX(WBS2!$H$163:$H$298,MATCH($C17,WBS2!$F$163:$F$298,0)),""),"")</f>
        <v/>
      </c>
      <c r="AP17">
        <f>IFERROR(IF(INDEX(WBS2!$J$163:$J$298,MATCH($C17,WBS2!$F$163:$F$298,0))="","",INDEX(WBS2!$J$163:$J$298,MATCH($C17,WBS2!$F$163:$F$298,0))),"")</f>
        <v/>
      </c>
    </row>
    <row r="18" hidden="1" ht="14.25" customHeight="1">
      <c r="A18" s="13" t="n">
        <v>17</v>
      </c>
      <c r="B18" s="13" t="inlineStr">
        <is>
          <t>Công ty TNHH Máy tính và truyền thông công nghệ kết nối</t>
        </is>
      </c>
      <c r="C18" s="14" t="inlineStr">
        <is>
          <t>0306784030</t>
        </is>
      </c>
      <c r="D18" s="13" t="inlineStr">
        <is>
          <t>213/59/17 Quang Trung, phường 10, quận Gò Vấp, Tp Hồ Chí Minh</t>
        </is>
      </c>
      <c r="E18" s="18" t="inlineStr">
        <is>
          <t>https://ehoadon.online</t>
        </is>
      </c>
      <c r="F18" s="20" t="inlineStr">
        <is>
          <t>captcha dạng tích</t>
        </is>
      </c>
      <c r="G18" s="20" t="inlineStr">
        <is>
          <t>https://ehoadon.online/einvoice/lookup</t>
        </is>
      </c>
      <c r="H18" s="35">
        <f>IF(N18&lt;&gt;"OK","",IF(IF(O18="✓","Mã tra cứu|","")&amp;IF(P18="✓","MST người bán|","")&amp;IF(Q18="✓","MST người mua|","")&amp;IF(R18="✓","Mẫu số / Ký hiệu|","")&amp;IF(S18="✓","Số HĐ|","")&amp;IF(T18="✓","Ngày lập|","")&amp;IF(U18="✓","Tổng tiền|","")&amp;IF(V18="✓","Mã CQT|","")&amp;IF(W18="✓","Upload XML|","")&amp;IF(X18="✓","Captcha ảnh|","")&amp;IF(Y18="✓","Captcha dạng tích|","")&amp;IF(Z18="✓","Captcha khác (slider/hình)|","")&amp;IF(AA18="✓","Đăng nhập|","")&amp;IF(AB18="✓","Email/SĐT/OTP|","")="","(không có tham số)",SUBSTITUTE(LEFT(IF(O18="✓","Mã tra cứu|","")&amp;IF(P18="✓","MST người bán|","")&amp;IF(Q18="✓","MST người mua|","")&amp;IF(R18="✓","Mẫu số / Ký hiệu|","")&amp;IF(S18="✓","Số HĐ|","")&amp;IF(T18="✓","Ngày lập|","")&amp;IF(U18="✓","Tổng tiền|","")&amp;IF(V18="✓","Mã CQT|","")&amp;IF(W18="✓","Upload XML|","")&amp;IF(X18="✓","Captcha ảnh|","")&amp;IF(Y18="✓","Captcha dạng tích|","")&amp;IF(Z18="✓","Captcha khác (slider/hình)|","")&amp;IF(AA18="✓","Đăng nhập|","")&amp;IF(AB18="✓","Email/SĐT/OTP|",""),LEN(IF(O18="✓","Mã tra cứu|","")&amp;IF(P18="✓","MST người bán|","")&amp;IF(Q18="✓","MST người mua|","")&amp;IF(R18="✓","Mẫu số / Ký hiệu|","")&amp;IF(S18="✓","Số HĐ|","")&amp;IF(T18="✓","Ngày lập|","")&amp;IF(U18="✓","Tổng tiền|","")&amp;IF(V18="✓","Mã CQT|","")&amp;IF(W18="✓","Upload XML|","")&amp;IF(X18="✓","Captcha ảnh|","")&amp;IF(Y18="✓","Captcha dạng tích|","")&amp;IF(Z18="✓","Captcha khác (slider/hình)|","")&amp;IF(AA18="✓","Đăng nhập|","")&amp;IF(AB18="✓","Email/SĐT/OTP|",""))-1),"|"," + ")))</f>
        <v/>
      </c>
      <c r="I18" s="17" t="n"/>
      <c r="J18" s="17" t="n"/>
      <c r="K18" s="17" t="n"/>
      <c r="L18" s="17" t="n"/>
      <c r="M18" s="37" t="n"/>
      <c r="N18" s="38" t="inlineStr">
        <is>
          <t>OK</t>
        </is>
      </c>
      <c r="O18" s="39" t="inlineStr">
        <is>
          <t>✓</t>
        </is>
      </c>
      <c r="P18" s="39" t="inlineStr">
        <is>
          <t>✓</t>
        </is>
      </c>
      <c r="Q18" s="39" t="n"/>
      <c r="R18" s="39" t="n"/>
      <c r="S18" s="39" t="n"/>
      <c r="T18" s="39" t="n"/>
      <c r="U18" s="39" t="n"/>
      <c r="V18" s="39" t="n"/>
      <c r="W18" s="39" t="n"/>
      <c r="X18" s="39" t="n"/>
      <c r="Y18" s="39" t="inlineStr">
        <is>
          <t>✓</t>
        </is>
      </c>
      <c r="Z18" s="39" t="n"/>
      <c r="AA18" s="39" t="n"/>
      <c r="AB18" s="39" t="n"/>
      <c r="AC18" s="39" t="n">
        <v>3</v>
      </c>
      <c r="AD18" s="16" t="inlineStr">
        <is>
          <t>reCAPTCHA v2 checkbox (Enterprise)</t>
        </is>
      </c>
      <c r="AE18" s="16" t="inlineStr">
        <is>
          <t>Tab 'Tập tin XML': upload XML (cũng có reCAPTCHA)</t>
        </is>
      </c>
      <c r="AF18" s="16" t="inlineStr">
        <is>
          <t>MST đơn vị phát hành (bên bán) + mã tra cứu</t>
        </is>
      </c>
      <c r="AG18" s="16" t="inlineStr">
        <is>
          <t>https://ehoadon.online/einvoice/lookup</t>
        </is>
      </c>
      <c r="AH18" s="1" t="n"/>
      <c r="AI18" s="1" t="n"/>
      <c r="AJ18">
        <f>IFERROR(IF(INDEX(WBS2!$I$2:$I$25,MATCH($C18,WBS2!$F$2:$F$25,0))="","",INDEX(WBS2!$I$2:$I$25,MATCH($C18,WBS2!$F$2:$F$25,0))),"")</f>
        <v/>
      </c>
      <c r="AK18">
        <f>IFERROR(IF(INDEX(WBS2!$I$27:$I$162,MATCH($C18,WBS2!$F$27:$F$162,0))="","",INDEX(WBS2!$I$27:$I$162,MATCH($C18,WBS2!$F$27:$F$162,0))),"")</f>
        <v/>
      </c>
      <c r="AL18" s="102">
        <f>IFERROR(IF(OR($AK18="Chưa hoàn thành",$AK18="Sẵn sàng"),INDEX(WBS2!$H$27:$H$162,MATCH($C18,WBS2!$F$27:$F$162,0)),""),"")</f>
        <v/>
      </c>
      <c r="AM18">
        <f>IFERROR(IF(INDEX(WBS2!$J$27:$J$162,MATCH($C18,WBS2!$F$27:$F$162,0))="","",INDEX(WBS2!$J$27:$J$162,MATCH($C18,WBS2!$F$27:$F$162,0))),"")</f>
        <v/>
      </c>
      <c r="AN18">
        <f>IFERROR(IF(INDEX(WBS2!$I$163:$I$298,MATCH($C18,WBS2!$F$163:$F$298,0))="","",INDEX(WBS2!$I$163:$I$298,MATCH($C18,WBS2!$F$163:$F$298,0))),"")</f>
        <v/>
      </c>
      <c r="AO18" s="102">
        <f>IFERROR(IF(OR($AN18="Chưa hoàn thành",$AN18="Sẵn sàng"),INDEX(WBS2!$H$163:$H$298,MATCH($C18,WBS2!$F$163:$F$298,0)),""),"")</f>
        <v/>
      </c>
      <c r="AP18">
        <f>IFERROR(IF(INDEX(WBS2!$J$163:$J$298,MATCH($C18,WBS2!$F$163:$F$298,0))="","",INDEX(WBS2!$J$163:$J$298,MATCH($C18,WBS2!$F$163:$F$298,0))),"")</f>
        <v/>
      </c>
    </row>
    <row r="19" hidden="1" ht="14.25" customHeight="1">
      <c r="A19" s="13" t="n">
        <v>18</v>
      </c>
      <c r="B19" s="13" t="inlineStr">
        <is>
          <t>Công ty Cổ phần công nghệ số và in đồ họa</t>
        </is>
      </c>
      <c r="C19" s="14" t="inlineStr">
        <is>
          <t>0200638946</t>
        </is>
      </c>
      <c r="D19" s="13" t="inlineStr">
        <is>
          <t>Số 15/616 đường Nguyễn Văn Linh, phường Vĩnh Niệm, quận Lê Chân, Tp Hải Phòng</t>
        </is>
      </c>
      <c r="E19" s="18" t="inlineStr">
        <is>
          <t>https://oinvoice.vn</t>
        </is>
      </c>
      <c r="F19" s="20" t="inlineStr">
        <is>
          <t>Không có captcha</t>
        </is>
      </c>
      <c r="G19" s="20" t="inlineStr">
        <is>
          <t>https://oinvoice.vn/tracuu/</t>
        </is>
      </c>
      <c r="H19" s="35">
        <f>IF(N19&lt;&gt;"OK","",IF(IF(O19="✓","Mã tra cứu|","")&amp;IF(P19="✓","MST người bán|","")&amp;IF(Q19="✓","MST người mua|","")&amp;IF(R19="✓","Mẫu số / Ký hiệu|","")&amp;IF(S19="✓","Số HĐ|","")&amp;IF(T19="✓","Ngày lập|","")&amp;IF(U19="✓","Tổng tiền|","")&amp;IF(V19="✓","Mã CQT|","")&amp;IF(W19="✓","Upload XML|","")&amp;IF(X19="✓","Captcha ảnh|","")&amp;IF(Y19="✓","Captcha dạng tích|","")&amp;IF(Z19="✓","Captcha khác (slider/hình)|","")&amp;IF(AA19="✓","Đăng nhập|","")&amp;IF(AB19="✓","Email/SĐT/OTP|","")="","(không có tham số)",SUBSTITUTE(LEFT(IF(O19="✓","Mã tra cứu|","")&amp;IF(P19="✓","MST người bán|","")&amp;IF(Q19="✓","MST người mua|","")&amp;IF(R19="✓","Mẫu số / Ký hiệu|","")&amp;IF(S19="✓","Số HĐ|","")&amp;IF(T19="✓","Ngày lập|","")&amp;IF(U19="✓","Tổng tiền|","")&amp;IF(V19="✓","Mã CQT|","")&amp;IF(W19="✓","Upload XML|","")&amp;IF(X19="✓","Captcha ảnh|","")&amp;IF(Y19="✓","Captcha dạng tích|","")&amp;IF(Z19="✓","Captcha khác (slider/hình)|","")&amp;IF(AA19="✓","Đăng nhập|","")&amp;IF(AB19="✓","Email/SĐT/OTP|",""),LEN(IF(O19="✓","Mã tra cứu|","")&amp;IF(P19="✓","MST người bán|","")&amp;IF(Q19="✓","MST người mua|","")&amp;IF(R19="✓","Mẫu số / Ký hiệu|","")&amp;IF(S19="✓","Số HĐ|","")&amp;IF(T19="✓","Ngày lập|","")&amp;IF(U19="✓","Tổng tiền|","")&amp;IF(V19="✓","Mã CQT|","")&amp;IF(W19="✓","Upload XML|","")&amp;IF(X19="✓","Captcha ảnh|","")&amp;IF(Y19="✓","Captcha dạng tích|","")&amp;IF(Z19="✓","Captcha khác (slider/hình)|","")&amp;IF(AA19="✓","Đăng nhập|","")&amp;IF(AB19="✓","Email/SĐT/OTP|",""))-1),"|"," + ")))</f>
        <v/>
      </c>
      <c r="I19" s="17" t="n"/>
      <c r="J19" s="17" t="n"/>
      <c r="K19" s="17" t="n"/>
      <c r="L19" s="17" t="n"/>
      <c r="M19" s="37" t="n"/>
      <c r="N19" s="38" t="inlineStr">
        <is>
          <t>OK</t>
        </is>
      </c>
      <c r="O19" s="39" t="inlineStr">
        <is>
          <t>✓</t>
        </is>
      </c>
      <c r="P19" s="39" t="inlineStr">
        <is>
          <t>✓</t>
        </is>
      </c>
      <c r="Q19" s="39" t="n"/>
      <c r="R19" s="39" t="n"/>
      <c r="S19" s="39" t="n"/>
      <c r="T19" s="39" t="n"/>
      <c r="U19" s="39" t="n"/>
      <c r="V19" s="39" t="n"/>
      <c r="W19" s="39" t="n"/>
      <c r="X19" s="39" t="n"/>
      <c r="Y19" s="39" t="n"/>
      <c r="Z19" s="39" t="n"/>
      <c r="AA19" s="39" t="n"/>
      <c r="AB19" s="39" t="n"/>
      <c r="AC19" s="39" t="n">
        <v>2</v>
      </c>
      <c r="AD19" s="16" t="inlineStr">
        <is>
          <t>không có</t>
        </is>
      </c>
      <c r="AE19" s="16" t="n"/>
      <c r="AF19" s="16" t="inlineStr">
        <is>
          <t>Ô 'MST hóa đơn' (MST doanh nghiệp phát hành) + 'mã xác thực OIV' in trên HĐ</t>
        </is>
      </c>
      <c r="AG19" s="16" t="inlineStr">
        <is>
          <t>https://oinvoice.vn/tracuu/</t>
        </is>
      </c>
      <c r="AH19" s="1" t="n"/>
      <c r="AI19" s="1" t="n"/>
      <c r="AJ19">
        <f>IFERROR(IF(INDEX(WBS2!$I$2:$I$25,MATCH($C19,WBS2!$F$2:$F$25,0))="","",INDEX(WBS2!$I$2:$I$25,MATCH($C19,WBS2!$F$2:$F$25,0))),"")</f>
        <v/>
      </c>
      <c r="AK19">
        <f>IFERROR(IF(INDEX(WBS2!$I$27:$I$162,MATCH($C19,WBS2!$F$27:$F$162,0))="","",INDEX(WBS2!$I$27:$I$162,MATCH($C19,WBS2!$F$27:$F$162,0))),"")</f>
        <v/>
      </c>
      <c r="AL19" s="102">
        <f>IFERROR(IF(OR($AK19="Chưa hoàn thành",$AK19="Sẵn sàng"),INDEX(WBS2!$H$27:$H$162,MATCH($C19,WBS2!$F$27:$F$162,0)),""),"")</f>
        <v/>
      </c>
      <c r="AM19">
        <f>IFERROR(IF(INDEX(WBS2!$J$27:$J$162,MATCH($C19,WBS2!$F$27:$F$162,0))="","",INDEX(WBS2!$J$27:$J$162,MATCH($C19,WBS2!$F$27:$F$162,0))),"")</f>
        <v/>
      </c>
      <c r="AN19">
        <f>IFERROR(IF(INDEX(WBS2!$I$163:$I$298,MATCH($C19,WBS2!$F$163:$F$298,0))="","",INDEX(WBS2!$I$163:$I$298,MATCH($C19,WBS2!$F$163:$F$298,0))),"")</f>
        <v/>
      </c>
      <c r="AO19" s="102">
        <f>IFERROR(IF(OR($AN19="Chưa hoàn thành",$AN19="Sẵn sàng"),INDEX(WBS2!$H$163:$H$298,MATCH($C19,WBS2!$F$163:$F$298,0)),""),"")</f>
        <v/>
      </c>
      <c r="AP19">
        <f>IFERROR(IF(INDEX(WBS2!$J$163:$J$298,MATCH($C19,WBS2!$F$163:$F$298,0))="","",INDEX(WBS2!$J$163:$J$298,MATCH($C19,WBS2!$F$163:$F$298,0))),"")</f>
        <v/>
      </c>
    </row>
    <row r="20" hidden="1" ht="14.25" customHeight="1">
      <c r="A20" s="13" t="n">
        <v>19</v>
      </c>
      <c r="B20" s="13" t="inlineStr">
        <is>
          <t>Công ty TNHH Win Tech Solution</t>
        </is>
      </c>
      <c r="C20" s="14" t="inlineStr">
        <is>
          <t>0312303803</t>
        </is>
      </c>
      <c r="D20" s="13" t="inlineStr">
        <is>
          <t>16-18 Xuân Diệu, Phường 4, Quận Tân Bình, TP.HCM</t>
        </is>
      </c>
      <c r="E20" s="18" t="inlineStr">
        <is>
          <t>https://wininvoice.vn</t>
        </is>
      </c>
      <c r="F20" s="20" t="inlineStr">
        <is>
          <t>Không có captcha</t>
        </is>
      </c>
      <c r="G20" s="63" t="inlineStr">
        <is>
          <t>https://tracuu.wininvoice.vn/</t>
        </is>
      </c>
      <c r="H20" s="35">
        <f>IF(N20&lt;&gt;"OK","",IF(IF(O20="✓","Mã tra cứu|","")&amp;IF(P20="✓","MST người bán|","")&amp;IF(Q20="✓","MST người mua|","")&amp;IF(R20="✓","Mẫu số / Ký hiệu|","")&amp;IF(S20="✓","Số HĐ|","")&amp;IF(T20="✓","Ngày lập|","")&amp;IF(U20="✓","Tổng tiền|","")&amp;IF(V20="✓","Mã CQT|","")&amp;IF(W20="✓","Upload XML|","")&amp;IF(X20="✓","Captcha ảnh|","")&amp;IF(Y20="✓","Captcha dạng tích|","")&amp;IF(Z20="✓","Captcha khác (slider/hình)|","")&amp;IF(AA20="✓","Đăng nhập|","")&amp;IF(AB20="✓","Email/SĐT/OTP|","")="","(không có tham số)",SUBSTITUTE(LEFT(IF(O20="✓","Mã tra cứu|","")&amp;IF(P20="✓","MST người bán|","")&amp;IF(Q20="✓","MST người mua|","")&amp;IF(R20="✓","Mẫu số / Ký hiệu|","")&amp;IF(S20="✓","Số HĐ|","")&amp;IF(T20="✓","Ngày lập|","")&amp;IF(U20="✓","Tổng tiền|","")&amp;IF(V20="✓","Mã CQT|","")&amp;IF(W20="✓","Upload XML|","")&amp;IF(X20="✓","Captcha ảnh|","")&amp;IF(Y20="✓","Captcha dạng tích|","")&amp;IF(Z20="✓","Captcha khác (slider/hình)|","")&amp;IF(AA20="✓","Đăng nhập|","")&amp;IF(AB20="✓","Email/SĐT/OTP|",""),LEN(IF(O20="✓","Mã tra cứu|","")&amp;IF(P20="✓","MST người bán|","")&amp;IF(Q20="✓","MST người mua|","")&amp;IF(R20="✓","Mẫu số / Ký hiệu|","")&amp;IF(S20="✓","Số HĐ|","")&amp;IF(T20="✓","Ngày lập|","")&amp;IF(U20="✓","Tổng tiền|","")&amp;IF(V20="✓","Mã CQT|","")&amp;IF(W20="✓","Upload XML|","")&amp;IF(X20="✓","Captcha ảnh|","")&amp;IF(Y20="✓","Captcha dạng tích|","")&amp;IF(Z20="✓","Captcha khác (slider/hình)|","")&amp;IF(AA20="✓","Đăng nhập|","")&amp;IF(AB20="✓","Email/SĐT/OTP|",""))-1),"|"," + ")))</f>
        <v/>
      </c>
      <c r="I20" s="17" t="n"/>
      <c r="J20" s="17" t="n"/>
      <c r="K20" s="17" t="n"/>
      <c r="L20" s="17" t="n"/>
      <c r="M20" s="37" t="n"/>
      <c r="N20" s="38" t="inlineStr">
        <is>
          <t>OK</t>
        </is>
      </c>
      <c r="O20" s="39" t="inlineStr">
        <is>
          <t>✓</t>
        </is>
      </c>
      <c r="P20" s="39" t="n"/>
      <c r="Q20" s="39" t="n"/>
      <c r="R20" s="39" t="n"/>
      <c r="S20" s="39" t="n"/>
      <c r="T20" s="39" t="n"/>
      <c r="U20" s="39" t="n"/>
      <c r="V20" s="39" t="n"/>
      <c r="W20" s="39" t="n"/>
      <c r="X20" s="39" t="n"/>
      <c r="Y20" s="39" t="n"/>
      <c r="Z20" s="39" t="n"/>
      <c r="AA20" s="39" t="n"/>
      <c r="AB20" s="39" t="n"/>
      <c r="AC20" s="39" t="n">
        <v>1</v>
      </c>
      <c r="AD20" s="16" t="inlineStr">
        <is>
          <t>không có (có nạp recaptcha/api.js nhưng không render widget)</t>
        </is>
      </c>
      <c r="AE20" s="16" t="inlineStr">
        <is>
          <t>Nút 'Sử dụng tài khoản tra cứu': đăng nhập</t>
        </is>
      </c>
      <c r="AF20" s="16" t="inlineStr">
        <is>
          <t>Form có thêm ô 'Mã công ty' nhưng JS submit chỉ gửi privateCode tới /dcv_sys/search_inv</t>
        </is>
      </c>
      <c r="AG20" s="16" t="inlineStr">
        <is>
          <t>https://tracuu.wininvoice.vn/</t>
        </is>
      </c>
      <c r="AH20" s="1" t="n"/>
      <c r="AI20" s="1" t="n"/>
      <c r="AJ20">
        <f>IFERROR(IF(INDEX(WBS2!$I$2:$I$25,MATCH($C20,WBS2!$F$2:$F$25,0))="","",INDEX(WBS2!$I$2:$I$25,MATCH($C20,WBS2!$F$2:$F$25,0))),"")</f>
        <v/>
      </c>
      <c r="AK20">
        <f>IFERROR(IF(INDEX(WBS2!$I$27:$I$162,MATCH($C20,WBS2!$F$27:$F$162,0))="","",INDEX(WBS2!$I$27:$I$162,MATCH($C20,WBS2!$F$27:$F$162,0))),"")</f>
        <v/>
      </c>
      <c r="AL20" s="102">
        <f>IFERROR(IF(OR($AK20="Chưa hoàn thành",$AK20="Sẵn sàng"),INDEX(WBS2!$H$27:$H$162,MATCH($C20,WBS2!$F$27:$F$162,0)),""),"")</f>
        <v/>
      </c>
      <c r="AM20">
        <f>IFERROR(IF(INDEX(WBS2!$J$27:$J$162,MATCH($C20,WBS2!$F$27:$F$162,0))="","",INDEX(WBS2!$J$27:$J$162,MATCH($C20,WBS2!$F$27:$F$162,0))),"")</f>
        <v/>
      </c>
      <c r="AN20">
        <f>IFERROR(IF(INDEX(WBS2!$I$163:$I$298,MATCH($C20,WBS2!$F$163:$F$298,0))="","",INDEX(WBS2!$I$163:$I$298,MATCH($C20,WBS2!$F$163:$F$298,0))),"")</f>
        <v/>
      </c>
      <c r="AO20" s="102">
        <f>IFERROR(IF(OR($AN20="Chưa hoàn thành",$AN20="Sẵn sàng"),INDEX(WBS2!$H$163:$H$298,MATCH($C20,WBS2!$F$163:$F$298,0)),""),"")</f>
        <v/>
      </c>
      <c r="AP20">
        <f>IFERROR(IF(INDEX(WBS2!$J$163:$J$298,MATCH($C20,WBS2!$F$163:$F$298,0))="","",INDEX(WBS2!$J$163:$J$298,MATCH($C20,WBS2!$F$163:$F$298,0))),"")</f>
        <v/>
      </c>
    </row>
    <row r="21" hidden="1" ht="14.25" customHeight="1">
      <c r="A21" s="13" t="n">
        <v>20</v>
      </c>
      <c r="B21" s="13" t="inlineStr">
        <is>
          <t>Tập đoàn Công nghiệp - Viễn thông quân đội</t>
        </is>
      </c>
      <c r="C21" s="14" t="inlineStr">
        <is>
          <t>0100109106</t>
        </is>
      </c>
      <c r="D21" s="13" t="inlineStr">
        <is>
          <t>Lô D26 Khu đô thị mới Cầu Giấy, Phường Yên Hòa, Quận Cầu Giấy, Tp Hà Nội</t>
        </is>
      </c>
      <c r="E21" s="18" t="inlineStr">
        <is>
          <t>https://viettel.vn/s-invoice</t>
        </is>
      </c>
      <c r="F21" s="20" t="inlineStr">
        <is>
          <t>dạng hình ảnh</t>
        </is>
      </c>
      <c r="G21" s="23" t="inlineStr">
        <is>
          <t>https://vinvoice.viettel.vn/utilities/invoice-search</t>
        </is>
      </c>
      <c r="H21" s="35">
        <f>IF(N21&lt;&gt;"OK","",IF(IF(O21="✓","Mã tra cứu|","")&amp;IF(P21="✓","MST người bán|","")&amp;IF(Q21="✓","MST người mua|","")&amp;IF(R21="✓","Mẫu số / Ký hiệu|","")&amp;IF(S21="✓","Số HĐ|","")&amp;IF(T21="✓","Ngày lập|","")&amp;IF(U21="✓","Tổng tiền|","")&amp;IF(V21="✓","Mã CQT|","")&amp;IF(W21="✓","Upload XML|","")&amp;IF(X21="✓","Captcha ảnh|","")&amp;IF(Y21="✓","Captcha dạng tích|","")&amp;IF(Z21="✓","Captcha khác (slider/hình)|","")&amp;IF(AA21="✓","Đăng nhập|","")&amp;IF(AB21="✓","Email/SĐT/OTP|","")="","(không có tham số)",SUBSTITUTE(LEFT(IF(O21="✓","Mã tra cứu|","")&amp;IF(P21="✓","MST người bán|","")&amp;IF(Q21="✓","MST người mua|","")&amp;IF(R21="✓","Mẫu số / Ký hiệu|","")&amp;IF(S21="✓","Số HĐ|","")&amp;IF(T21="✓","Ngày lập|","")&amp;IF(U21="✓","Tổng tiền|","")&amp;IF(V21="✓","Mã CQT|","")&amp;IF(W21="✓","Upload XML|","")&amp;IF(X21="✓","Captcha ảnh|","")&amp;IF(Y21="✓","Captcha dạng tích|","")&amp;IF(Z21="✓","Captcha khác (slider/hình)|","")&amp;IF(AA21="✓","Đăng nhập|","")&amp;IF(AB21="✓","Email/SĐT/OTP|",""),LEN(IF(O21="✓","Mã tra cứu|","")&amp;IF(P21="✓","MST người bán|","")&amp;IF(Q21="✓","MST người mua|","")&amp;IF(R21="✓","Mẫu số / Ký hiệu|","")&amp;IF(S21="✓","Số HĐ|","")&amp;IF(T21="✓","Ngày lập|","")&amp;IF(U21="✓","Tổng tiền|","")&amp;IF(V21="✓","Mã CQT|","")&amp;IF(W21="✓","Upload XML|","")&amp;IF(X21="✓","Captcha ảnh|","")&amp;IF(Y21="✓","Captcha dạng tích|","")&amp;IF(Z21="✓","Captcha khác (slider/hình)|","")&amp;IF(AA21="✓","Đăng nhập|","")&amp;IF(AB21="✓","Email/SĐT/OTP|",""))-1),"|"," + ")))</f>
        <v/>
      </c>
      <c r="I21" s="17" t="n"/>
      <c r="J21" s="17" t="n"/>
      <c r="K21" s="17" t="n"/>
      <c r="L21" s="17" t="n"/>
      <c r="M21" s="37" t="n"/>
      <c r="N21" s="38" t="inlineStr">
        <is>
          <t>OK</t>
        </is>
      </c>
      <c r="O21" s="39" t="inlineStr">
        <is>
          <t>✓</t>
        </is>
      </c>
      <c r="P21" s="39" t="inlineStr">
        <is>
          <t>✓</t>
        </is>
      </c>
      <c r="Q21" s="39" t="n"/>
      <c r="R21" s="39" t="n"/>
      <c r="S21" s="39" t="n"/>
      <c r="T21" s="39" t="n"/>
      <c r="U21" s="39" t="n"/>
      <c r="V21" s="39" t="n"/>
      <c r="W21" s="39" t="n"/>
      <c r="X21" s="39" t="n"/>
      <c r="Y21" s="39" t="n"/>
      <c r="Z21" s="39" t="inlineStr">
        <is>
          <t>✓</t>
        </is>
      </c>
      <c r="AA21" s="39" t="n"/>
      <c r="AB21" s="39" t="n"/>
      <c r="AC21" s="39" t="n">
        <v>3</v>
      </c>
      <c r="AD21" s="16" t="inlineStr">
        <is>
          <t>slider ghép hình (ảnh nền 300x150, mảnh 50x50, 'Trượt sang phải để hoàn thành hình ảnh')</t>
        </is>
      </c>
      <c r="AE21" s="16" t="n"/>
      <c r="AF21" s="16" t="inlineStr">
        <is>
          <t>SPA Angular; mã tra cứu = 'Mã số bí mật'; theo CLAUDE.md server không kiểm slider, project đã có adapter viettel</t>
        </is>
      </c>
      <c r="AG21" s="16" t="inlineStr">
        <is>
          <t>https://vinvoice.viettel.vn/utilities/invoice-search</t>
        </is>
      </c>
      <c r="AH21" s="1" t="n"/>
      <c r="AI21" s="1" t="n"/>
      <c r="AJ21">
        <f>IFERROR(IF(INDEX(WBS2!$I$2:$I$25,MATCH($C21,WBS2!$F$2:$F$25,0))="","",INDEX(WBS2!$I$2:$I$25,MATCH($C21,WBS2!$F$2:$F$25,0))),"")</f>
        <v/>
      </c>
      <c r="AK21">
        <f>IFERROR(IF(INDEX(WBS2!$I$27:$I$162,MATCH($C21,WBS2!$F$27:$F$162,0))="","",INDEX(WBS2!$I$27:$I$162,MATCH($C21,WBS2!$F$27:$F$162,0))),"")</f>
        <v/>
      </c>
      <c r="AL21" s="102">
        <f>IFERROR(IF(OR($AK21="Chưa hoàn thành",$AK21="Sẵn sàng"),INDEX(WBS2!$H$27:$H$162,MATCH($C21,WBS2!$F$27:$F$162,0)),""),"")</f>
        <v/>
      </c>
      <c r="AM21">
        <f>IFERROR(IF(INDEX(WBS2!$J$27:$J$162,MATCH($C21,WBS2!$F$27:$F$162,0))="","",INDEX(WBS2!$J$27:$J$162,MATCH($C21,WBS2!$F$27:$F$162,0))),"")</f>
        <v/>
      </c>
      <c r="AN21">
        <f>IFERROR(IF(INDEX(WBS2!$I$163:$I$298,MATCH($C21,WBS2!$F$163:$F$298,0))="","",INDEX(WBS2!$I$163:$I$298,MATCH($C21,WBS2!$F$163:$F$298,0))),"")</f>
        <v/>
      </c>
      <c r="AO21" s="102">
        <f>IFERROR(IF(OR($AN21="Chưa hoàn thành",$AN21="Sẵn sàng"),INDEX(WBS2!$H$163:$H$298,MATCH($C21,WBS2!$F$163:$F$298,0)),""),"")</f>
        <v/>
      </c>
      <c r="AP21">
        <f>IFERROR(IF(INDEX(WBS2!$J$163:$J$298,MATCH($C21,WBS2!$F$163:$F$298,0))="","",INDEX(WBS2!$J$163:$J$298,MATCH($C21,WBS2!$F$163:$F$298,0))),"")</f>
        <v/>
      </c>
    </row>
    <row r="22" ht="14.25" customHeight="1">
      <c r="A22" s="13" t="n">
        <v>21</v>
      </c>
      <c r="B22" s="13" t="inlineStr">
        <is>
          <t>Công ty Cổ phần Công nghệ thông tin Đông Nam Á</t>
        </is>
      </c>
      <c r="C22" s="14" t="inlineStr">
        <is>
          <t>0102454468</t>
        </is>
      </c>
      <c r="D22" s="13" t="inlineStr">
        <is>
          <t>Phòng 112, tầng 11, Tòa nhà Viglacera, Phường Mễ Trì, Quận Nam Từ Liêm, Tp Hà Nội, Việt Nam</t>
        </is>
      </c>
      <c r="E22" s="18" t="inlineStr">
        <is>
          <t>https://tax24.com.vn/thuedientu/san-pham-dich-vu/hoa-don-dien-tu.</t>
        </is>
      </c>
      <c r="F22" s="20" t="inlineStr">
        <is>
          <t>có captcha</t>
        </is>
      </c>
      <c r="G22" s="23" t="inlineStr">
        <is>
          <t>https://tax24.com.vn/einvoice/servlet/ImageServlet</t>
        </is>
      </c>
      <c r="H22" s="35">
        <f>IF(N22&lt;&gt;"OK","",IF(IF(O22="✓","Mã tra cứu|","")&amp;IF(P22="✓","MST người bán|","")&amp;IF(Q22="✓","MST người mua|","")&amp;IF(R22="✓","Mẫu số / Ký hiệu|","")&amp;IF(S22="✓","Số HĐ|","")&amp;IF(T22="✓","Ngày lập|","")&amp;IF(U22="✓","Tổng tiền|","")&amp;IF(V22="✓","Mã CQT|","")&amp;IF(W22="✓","Upload XML|","")&amp;IF(X22="✓","Captcha ảnh|","")&amp;IF(Y22="✓","Captcha dạng tích|","")&amp;IF(Z22="✓","Captcha khác (slider/hình)|","")&amp;IF(AA22="✓","Đăng nhập|","")&amp;IF(AB22="✓","Email/SĐT/OTP|","")="","(không có tham số)",SUBSTITUTE(LEFT(IF(O22="✓","Mã tra cứu|","")&amp;IF(P22="✓","MST người bán|","")&amp;IF(Q22="✓","MST người mua|","")&amp;IF(R22="✓","Mẫu số / Ký hiệu|","")&amp;IF(S22="✓","Số HĐ|","")&amp;IF(T22="✓","Ngày lập|","")&amp;IF(U22="✓","Tổng tiền|","")&amp;IF(V22="✓","Mã CQT|","")&amp;IF(W22="✓","Upload XML|","")&amp;IF(X22="✓","Captcha ảnh|","")&amp;IF(Y22="✓","Captcha dạng tích|","")&amp;IF(Z22="✓","Captcha khác (slider/hình)|","")&amp;IF(AA22="✓","Đăng nhập|","")&amp;IF(AB22="✓","Email/SĐT/OTP|",""),LEN(IF(O22="✓","Mã tra cứu|","")&amp;IF(P22="✓","MST người bán|","")&amp;IF(Q22="✓","MST người mua|","")&amp;IF(R22="✓","Mẫu số / Ký hiệu|","")&amp;IF(S22="✓","Số HĐ|","")&amp;IF(T22="✓","Ngày lập|","")&amp;IF(U22="✓","Tổng tiền|","")&amp;IF(V22="✓","Mã CQT|","")&amp;IF(W22="✓","Upload XML|","")&amp;IF(X22="✓","Captcha ảnh|","")&amp;IF(Y22="✓","Captcha dạng tích|","")&amp;IF(Z22="✓","Captcha khác (slider/hình)|","")&amp;IF(AA22="✓","Đăng nhập|","")&amp;IF(AB22="✓","Email/SĐT/OTP|",""))-1),"|"," + ")))</f>
        <v/>
      </c>
      <c r="I22" s="20" t="inlineStr">
        <is>
          <t>Xong</t>
        </is>
      </c>
      <c r="J22" s="17" t="n"/>
      <c r="K22" s="67" t="n">
        <v>1</v>
      </c>
      <c r="L22" s="20" t="inlineStr">
        <is>
          <t>g_180x50_tax24</t>
        </is>
      </c>
      <c r="M22" s="37" t="n"/>
      <c r="N22" s="38" t="inlineStr">
        <is>
          <t>OK</t>
        </is>
      </c>
      <c r="O22" s="39" t="inlineStr">
        <is>
          <t>✓</t>
        </is>
      </c>
      <c r="P22" s="39" t="n"/>
      <c r="Q22" s="39" t="n"/>
      <c r="R22" s="39" t="n"/>
      <c r="S22" s="39" t="n"/>
      <c r="T22" s="39" t="n"/>
      <c r="U22" s="39" t="n"/>
      <c r="V22" s="39" t="n"/>
      <c r="W22" s="39" t="n"/>
      <c r="X22" s="39" t="inlineStr">
        <is>
          <t>✓</t>
        </is>
      </c>
      <c r="Y22" s="39" t="n"/>
      <c r="Z22" s="39" t="n"/>
      <c r="AA22" s="39" t="n"/>
      <c r="AB22" s="39" t="n"/>
      <c r="AC22" s="39" t="n">
        <v>2</v>
      </c>
      <c r="AD22" s="16" t="inlineStr">
        <is>
          <t>ảnh 180x50 (/thuedientu/servlet/ImageServlet, hiển thị 68x19)</t>
        </is>
      </c>
      <c r="AE22" s="16" t="inlineStr">
        <is>
          <t>'Kiểm tra hóa đơn' (/thuedientu/xac-minh-chu-ky-so): upload .xml/.inv; /einvoice/: đăng nhập tài khoản + captcha ảnh cùng servlet</t>
        </is>
      </c>
      <c r="AF22" s="16" t="inlineStr">
        <is>
          <t>Link trong danh sách là ảnh captcha của trang đăng nhập /einvoice/; form tra cứu thật là 'Xác minh hóa đơn Tax24' (ô 'Mã xác minh hóa đơn'); trang web trong danh sách trả 404</t>
        </is>
      </c>
      <c r="AG22" s="16" t="inlineStr">
        <is>
          <t>https://tax24.com.vn/thuedientu/xac-minh-hoa-don</t>
        </is>
      </c>
      <c r="AH22" s="1" t="n"/>
      <c r="AI22" s="1" t="n"/>
      <c r="AJ22">
        <f>IFERROR(IF(INDEX(WBS2!$I$2:$I$25,MATCH($C22,WBS2!$F$2:$F$25,0))="","",INDEX(WBS2!$I$2:$I$25,MATCH($C22,WBS2!$F$2:$F$25,0))),"")</f>
        <v/>
      </c>
      <c r="AK22">
        <f>IFERROR(IF(INDEX(WBS2!$I$27:$I$162,MATCH($C22,WBS2!$F$27:$F$162,0))="","",INDEX(WBS2!$I$27:$I$162,MATCH($C22,WBS2!$F$27:$F$162,0))),"")</f>
        <v/>
      </c>
      <c r="AL22" s="102">
        <f>IFERROR(IF(OR($AK22="Chưa hoàn thành",$AK22="Sẵn sàng"),INDEX(WBS2!$H$27:$H$162,MATCH($C22,WBS2!$F$27:$F$162,0)),""),"")</f>
        <v/>
      </c>
      <c r="AM22">
        <f>IFERROR(IF(INDEX(WBS2!$J$27:$J$162,MATCH($C22,WBS2!$F$27:$F$162,0))="","",INDEX(WBS2!$J$27:$J$162,MATCH($C22,WBS2!$F$27:$F$162,0))),"")</f>
        <v/>
      </c>
      <c r="AN22">
        <f>IFERROR(IF(INDEX(WBS2!$I$163:$I$298,MATCH($C22,WBS2!$F$163:$F$298,0))="","",INDEX(WBS2!$I$163:$I$298,MATCH($C22,WBS2!$F$163:$F$298,0))),"")</f>
        <v/>
      </c>
      <c r="AO22" s="102">
        <f>IFERROR(IF(OR($AN22="Chưa hoàn thành",$AN22="Sẵn sàng"),INDEX(WBS2!$H$163:$H$298,MATCH($C22,WBS2!$F$163:$F$298,0)),""),"")</f>
        <v/>
      </c>
      <c r="AP22">
        <f>IFERROR(IF(INDEX(WBS2!$J$163:$J$298,MATCH($C22,WBS2!$F$163:$F$298,0))="","",INDEX(WBS2!$J$163:$J$298,MATCH($C22,WBS2!$F$163:$F$298,0))),"")</f>
        <v/>
      </c>
    </row>
    <row r="23" hidden="1" ht="14.25" customHeight="1">
      <c r="A23" s="13" t="n">
        <v>22</v>
      </c>
      <c r="B23" s="13" t="inlineStr">
        <is>
          <t>Công ty Cổ phần hóa đơn điện tử New-Invoice</t>
        </is>
      </c>
      <c r="C23" s="14" t="inlineStr">
        <is>
          <t>0105937449</t>
        </is>
      </c>
      <c r="D23" s="75" t="inlineStr">
        <is>
          <t>Lô 73, khu tập thể Trung tâm Chỉnh Hình, phường Yên Hòa, quận Cầu Giấy, Tp Hà Nội</t>
        </is>
      </c>
      <c r="E23" s="18" t="inlineStr">
        <is>
          <t>https://newinvoice.com.vn</t>
        </is>
      </c>
      <c r="F23" s="20" t="inlineStr">
        <is>
          <t>Không có captcha</t>
        </is>
      </c>
      <c r="G23" s="20" t="inlineStr">
        <is>
          <t>https://newinvoice.com.vn/tra-cuu/</t>
        </is>
      </c>
      <c r="H23" s="35">
        <f>IF(N23&lt;&gt;"OK","",IF(IF(O23="✓","Mã tra cứu|","")&amp;IF(P23="✓","MST người bán|","")&amp;IF(Q23="✓","MST người mua|","")&amp;IF(R23="✓","Mẫu số / Ký hiệu|","")&amp;IF(S23="✓","Số HĐ|","")&amp;IF(T23="✓","Ngày lập|","")&amp;IF(U23="✓","Tổng tiền|","")&amp;IF(V23="✓","Mã CQT|","")&amp;IF(W23="✓","Upload XML|","")&amp;IF(X23="✓","Captcha ảnh|","")&amp;IF(Y23="✓","Captcha dạng tích|","")&amp;IF(Z23="✓","Captcha khác (slider/hình)|","")&amp;IF(AA23="✓","Đăng nhập|","")&amp;IF(AB23="✓","Email/SĐT/OTP|","")="","(không có tham số)",SUBSTITUTE(LEFT(IF(O23="✓","Mã tra cứu|","")&amp;IF(P23="✓","MST người bán|","")&amp;IF(Q23="✓","MST người mua|","")&amp;IF(R23="✓","Mẫu số / Ký hiệu|","")&amp;IF(S23="✓","Số HĐ|","")&amp;IF(T23="✓","Ngày lập|","")&amp;IF(U23="✓","Tổng tiền|","")&amp;IF(V23="✓","Mã CQT|","")&amp;IF(W23="✓","Upload XML|","")&amp;IF(X23="✓","Captcha ảnh|","")&amp;IF(Y23="✓","Captcha dạng tích|","")&amp;IF(Z23="✓","Captcha khác (slider/hình)|","")&amp;IF(AA23="✓","Đăng nhập|","")&amp;IF(AB23="✓","Email/SĐT/OTP|",""),LEN(IF(O23="✓","Mã tra cứu|","")&amp;IF(P23="✓","MST người bán|","")&amp;IF(Q23="✓","MST người mua|","")&amp;IF(R23="✓","Mẫu số / Ký hiệu|","")&amp;IF(S23="✓","Số HĐ|","")&amp;IF(T23="✓","Ngày lập|","")&amp;IF(U23="✓","Tổng tiền|","")&amp;IF(V23="✓","Mã CQT|","")&amp;IF(W23="✓","Upload XML|","")&amp;IF(X23="✓","Captcha ảnh|","")&amp;IF(Y23="✓","Captcha dạng tích|","")&amp;IF(Z23="✓","Captcha khác (slider/hình)|","")&amp;IF(AA23="✓","Đăng nhập|","")&amp;IF(AB23="✓","Email/SĐT/OTP|",""))-1),"|"," + ")))</f>
        <v/>
      </c>
      <c r="I23" s="17" t="n"/>
      <c r="J23" s="17" t="n"/>
      <c r="K23" s="17" t="n"/>
      <c r="L23" s="17" t="n"/>
      <c r="M23" s="37" t="n"/>
      <c r="N23" s="38" t="inlineStr">
        <is>
          <t>OK</t>
        </is>
      </c>
      <c r="O23" s="39" t="inlineStr">
        <is>
          <t>✓</t>
        </is>
      </c>
      <c r="P23" s="39" t="n"/>
      <c r="Q23" s="39" t="n"/>
      <c r="R23" s="39" t="n"/>
      <c r="S23" s="39" t="n"/>
      <c r="T23" s="39" t="n"/>
      <c r="U23" s="39" t="n"/>
      <c r="V23" s="39" t="n"/>
      <c r="W23" s="39" t="n"/>
      <c r="X23" s="39" t="n"/>
      <c r="Y23" s="39" t="inlineStr">
        <is>
          <t>✓</t>
        </is>
      </c>
      <c r="Z23" s="39" t="n"/>
      <c r="AA23" s="39" t="n"/>
      <c r="AB23" s="39" t="n"/>
      <c r="AC23" s="39" t="n">
        <v>2</v>
      </c>
      <c r="AD23" s="16" t="inlineStr">
        <is>
          <t>reCAPTCHA v2 checkbox</t>
        </is>
      </c>
      <c r="AE23" s="16" t="inlineStr">
        <is>
          <t>Tab 'Kiểm tra file XML': upload XML (cùng widget reCAPTCHA v2); Tab 'Tra cứu danh sách hóa đơn': phải đăng nhập MST + mật khẩu</t>
        </is>
      </c>
      <c r="AF23" s="16" t="inlineStr">
        <is>
          <t>Tab mặc định 'Tra cứu mã hóa đơn' chỉ có 1 ô mã tra cứu</t>
        </is>
      </c>
      <c r="AG23" s="16" t="inlineStr">
        <is>
          <t>https://newinvoice.com.vn/tra-cuu/</t>
        </is>
      </c>
      <c r="AH23" s="1" t="n"/>
      <c r="AI23" s="1" t="n"/>
      <c r="AJ23">
        <f>IFERROR(IF(INDEX(WBS2!$I$2:$I$25,MATCH($C23,WBS2!$F$2:$F$25,0))="","",INDEX(WBS2!$I$2:$I$25,MATCH($C23,WBS2!$F$2:$F$25,0))),"")</f>
        <v/>
      </c>
      <c r="AK23">
        <f>IFERROR(IF(INDEX(WBS2!$I$27:$I$162,MATCH($C23,WBS2!$F$27:$F$162,0))="","",INDEX(WBS2!$I$27:$I$162,MATCH($C23,WBS2!$F$27:$F$162,0))),"")</f>
        <v/>
      </c>
      <c r="AL23" s="102">
        <f>IFERROR(IF(OR($AK23="Chưa hoàn thành",$AK23="Sẵn sàng"),INDEX(WBS2!$H$27:$H$162,MATCH($C23,WBS2!$F$27:$F$162,0)),""),"")</f>
        <v/>
      </c>
      <c r="AM23">
        <f>IFERROR(IF(INDEX(WBS2!$J$27:$J$162,MATCH($C23,WBS2!$F$27:$F$162,0))="","",INDEX(WBS2!$J$27:$J$162,MATCH($C23,WBS2!$F$27:$F$162,0))),"")</f>
        <v/>
      </c>
      <c r="AN23">
        <f>IFERROR(IF(INDEX(WBS2!$I$163:$I$298,MATCH($C23,WBS2!$F$163:$F$298,0))="","",INDEX(WBS2!$I$163:$I$298,MATCH($C23,WBS2!$F$163:$F$298,0))),"")</f>
        <v/>
      </c>
      <c r="AO23" s="102">
        <f>IFERROR(IF(OR($AN23="Chưa hoàn thành",$AN23="Sẵn sàng"),INDEX(WBS2!$H$163:$H$298,MATCH($C23,WBS2!$F$163:$F$298,0)),""),"")</f>
        <v/>
      </c>
      <c r="AP23">
        <f>IFERROR(IF(INDEX(WBS2!$J$163:$J$298,MATCH($C23,WBS2!$F$163:$F$298,0))="","",INDEX(WBS2!$J$163:$J$298,MATCH($C23,WBS2!$F$163:$F$298,0))),"")</f>
        <v/>
      </c>
    </row>
    <row r="24" hidden="1" ht="14.25" customHeight="1">
      <c r="A24" s="13" t="n">
        <v>23</v>
      </c>
      <c r="B24" s="13" t="inlineStr">
        <is>
          <t>Công ty Cổ phần Giải pháp phần mềm 3A</t>
        </is>
      </c>
      <c r="C24" s="14" t="inlineStr">
        <is>
          <t>0108516079</t>
        </is>
      </c>
      <c r="D24" s="13" t="inlineStr">
        <is>
          <t>Số 1A, ngõ 343, đường An Dương Vương, phường Phú Thượng, quận Tây Hồ, Tp Hà Nội</t>
        </is>
      </c>
      <c r="E24" s="18" t="inlineStr">
        <is>
          <t>http://3asoft.vn</t>
        </is>
      </c>
      <c r="F24" s="20" t="inlineStr">
        <is>
          <t>Không có captcha</t>
        </is>
      </c>
      <c r="G24" s="63" t="inlineStr">
        <is>
          <t>http://hddt.3asoft.vn/</t>
        </is>
      </c>
      <c r="H24" s="35">
        <f>IF(N24&lt;&gt;"OK","",IF(IF(O24="✓","Mã tra cứu|","")&amp;IF(P24="✓","MST người bán|","")&amp;IF(Q24="✓","MST người mua|","")&amp;IF(R24="✓","Mẫu số / Ký hiệu|","")&amp;IF(S24="✓","Số HĐ|","")&amp;IF(T24="✓","Ngày lập|","")&amp;IF(U24="✓","Tổng tiền|","")&amp;IF(V24="✓","Mã CQT|","")&amp;IF(W24="✓","Upload XML|","")&amp;IF(X24="✓","Captcha ảnh|","")&amp;IF(Y24="✓","Captcha dạng tích|","")&amp;IF(Z24="✓","Captcha khác (slider/hình)|","")&amp;IF(AA24="✓","Đăng nhập|","")&amp;IF(AB24="✓","Email/SĐT/OTP|","")="","(không có tham số)",SUBSTITUTE(LEFT(IF(O24="✓","Mã tra cứu|","")&amp;IF(P24="✓","MST người bán|","")&amp;IF(Q24="✓","MST người mua|","")&amp;IF(R24="✓","Mẫu số / Ký hiệu|","")&amp;IF(S24="✓","Số HĐ|","")&amp;IF(T24="✓","Ngày lập|","")&amp;IF(U24="✓","Tổng tiền|","")&amp;IF(V24="✓","Mã CQT|","")&amp;IF(W24="✓","Upload XML|","")&amp;IF(X24="✓","Captcha ảnh|","")&amp;IF(Y24="✓","Captcha dạng tích|","")&amp;IF(Z24="✓","Captcha khác (slider/hình)|","")&amp;IF(AA24="✓","Đăng nhập|","")&amp;IF(AB24="✓","Email/SĐT/OTP|",""),LEN(IF(O24="✓","Mã tra cứu|","")&amp;IF(P24="✓","MST người bán|","")&amp;IF(Q24="✓","MST người mua|","")&amp;IF(R24="✓","Mẫu số / Ký hiệu|","")&amp;IF(S24="✓","Số HĐ|","")&amp;IF(T24="✓","Ngày lập|","")&amp;IF(U24="✓","Tổng tiền|","")&amp;IF(V24="✓","Mã CQT|","")&amp;IF(W24="✓","Upload XML|","")&amp;IF(X24="✓","Captcha ảnh|","")&amp;IF(Y24="✓","Captcha dạng tích|","")&amp;IF(Z24="✓","Captcha khác (slider/hình)|","")&amp;IF(AA24="✓","Đăng nhập|","")&amp;IF(AB24="✓","Email/SĐT/OTP|",""))-1),"|"," + ")))</f>
        <v/>
      </c>
      <c r="I24" s="17" t="n"/>
      <c r="J24" s="17" t="n"/>
      <c r="K24" s="17" t="n"/>
      <c r="L24" s="17" t="n"/>
      <c r="M24" s="37" t="n"/>
      <c r="N24" s="38" t="inlineStr">
        <is>
          <t>OK</t>
        </is>
      </c>
      <c r="O24" s="39" t="inlineStr">
        <is>
          <t>✓</t>
        </is>
      </c>
      <c r="P24" s="39" t="inlineStr">
        <is>
          <t>✓</t>
        </is>
      </c>
      <c r="Q24" s="39" t="n"/>
      <c r="R24" s="39" t="n"/>
      <c r="S24" s="39" t="inlineStr">
        <is>
          <t>✓</t>
        </is>
      </c>
      <c r="T24" s="39" t="n"/>
      <c r="U24" s="39" t="n"/>
      <c r="V24" s="39" t="n"/>
      <c r="W24" s="39" t="n"/>
      <c r="X24" s="39" t="n"/>
      <c r="Y24" s="39" t="n"/>
      <c r="Z24" s="39" t="n"/>
      <c r="AA24" s="39" t="n"/>
      <c r="AB24" s="39" t="n"/>
      <c r="AC24" s="39" t="n">
        <v>3</v>
      </c>
      <c r="AD24" s="16" t="inlineStr">
        <is>
          <t>không có</t>
        </is>
      </c>
      <c r="AE24" s="16" t="n"/>
      <c r="AF24" s="16" t="inlineStr">
        <is>
          <t>Form POST /Home/Search gồm Mã tìm kiếm + Số hóa đơn + Mã số thuế (ô MST không ghi rõ bên bán hay mua, đoán là bên bán); có honeypot ẩn form_botcheck; chỉ chạy http</t>
        </is>
      </c>
      <c r="AG24" s="16" t="inlineStr">
        <is>
          <t>http://hddt.3asoft.vn/</t>
        </is>
      </c>
      <c r="AH24" s="1" t="n"/>
      <c r="AI24" s="1" t="n"/>
      <c r="AJ24">
        <f>IFERROR(IF(INDEX(WBS2!$I$2:$I$25,MATCH($C24,WBS2!$F$2:$F$25,0))="","",INDEX(WBS2!$I$2:$I$25,MATCH($C24,WBS2!$F$2:$F$25,0))),"")</f>
        <v/>
      </c>
      <c r="AK24">
        <f>IFERROR(IF(INDEX(WBS2!$I$27:$I$162,MATCH($C24,WBS2!$F$27:$F$162,0))="","",INDEX(WBS2!$I$27:$I$162,MATCH($C24,WBS2!$F$27:$F$162,0))),"")</f>
        <v/>
      </c>
      <c r="AL24" s="102">
        <f>IFERROR(IF(OR($AK24="Chưa hoàn thành",$AK24="Sẵn sàng"),INDEX(WBS2!$H$27:$H$162,MATCH($C24,WBS2!$F$27:$F$162,0)),""),"")</f>
        <v/>
      </c>
      <c r="AM24">
        <f>IFERROR(IF(INDEX(WBS2!$J$27:$J$162,MATCH($C24,WBS2!$F$27:$F$162,0))="","",INDEX(WBS2!$J$27:$J$162,MATCH($C24,WBS2!$F$27:$F$162,0))),"")</f>
        <v/>
      </c>
      <c r="AN24">
        <f>IFERROR(IF(INDEX(WBS2!$I$163:$I$298,MATCH($C24,WBS2!$F$163:$F$298,0))="","",INDEX(WBS2!$I$163:$I$298,MATCH($C24,WBS2!$F$163:$F$298,0))),"")</f>
        <v/>
      </c>
      <c r="AO24" s="102">
        <f>IFERROR(IF(OR($AN24="Chưa hoàn thành",$AN24="Sẵn sàng"),INDEX(WBS2!$H$163:$H$298,MATCH($C24,WBS2!$F$163:$F$298,0)),""),"")</f>
        <v/>
      </c>
      <c r="AP24">
        <f>IFERROR(IF(INDEX(WBS2!$J$163:$J$298,MATCH($C24,WBS2!$F$163:$F$298,0))="","",INDEX(WBS2!$J$163:$J$298,MATCH($C24,WBS2!$F$163:$F$298,0))),"")</f>
        <v/>
      </c>
    </row>
    <row r="25" hidden="1" ht="14.25" customHeight="1">
      <c r="A25" s="13" t="n">
        <v>24</v>
      </c>
      <c r="B25" s="13" t="inlineStr">
        <is>
          <t>Tổng công ty Viễn thông Mobifone</t>
        </is>
      </c>
      <c r="C25" s="14" t="inlineStr">
        <is>
          <t>0100686209</t>
        </is>
      </c>
      <c r="D25" s="13" t="inlineStr">
        <is>
          <t>Số 01 phố Phạm Văn Bạch, phường Yên Hòa, quận Cầu Giấy, Tp Hà Nội</t>
        </is>
      </c>
      <c r="E25" s="18" t="inlineStr">
        <is>
          <t>https://itc.mobifone.vn/giai_phap/mobifone-invoice</t>
        </is>
      </c>
      <c r="F25" s="20" t="inlineStr">
        <is>
          <t>Không có captcha</t>
        </is>
      </c>
      <c r="G25" s="20" t="inlineStr">
        <is>
          <t>http://tracuuhoadon.mobifoneinvoice.vn/</t>
        </is>
      </c>
      <c r="H25" s="35">
        <f>IF(N25&lt;&gt;"OK","",IF(IF(O25="✓","Mã tra cứu|","")&amp;IF(P25="✓","MST người bán|","")&amp;IF(Q25="✓","MST người mua|","")&amp;IF(R25="✓","Mẫu số / Ký hiệu|","")&amp;IF(S25="✓","Số HĐ|","")&amp;IF(T25="✓","Ngày lập|","")&amp;IF(U25="✓","Tổng tiền|","")&amp;IF(V25="✓","Mã CQT|","")&amp;IF(W25="✓","Upload XML|","")&amp;IF(X25="✓","Captcha ảnh|","")&amp;IF(Y25="✓","Captcha dạng tích|","")&amp;IF(Z25="✓","Captcha khác (slider/hình)|","")&amp;IF(AA25="✓","Đăng nhập|","")&amp;IF(AB25="✓","Email/SĐT/OTP|","")="","(không có tham số)",SUBSTITUTE(LEFT(IF(O25="✓","Mã tra cứu|","")&amp;IF(P25="✓","MST người bán|","")&amp;IF(Q25="✓","MST người mua|","")&amp;IF(R25="✓","Mẫu số / Ký hiệu|","")&amp;IF(S25="✓","Số HĐ|","")&amp;IF(T25="✓","Ngày lập|","")&amp;IF(U25="✓","Tổng tiền|","")&amp;IF(V25="✓","Mã CQT|","")&amp;IF(W25="✓","Upload XML|","")&amp;IF(X25="✓","Captcha ảnh|","")&amp;IF(Y25="✓","Captcha dạng tích|","")&amp;IF(Z25="✓","Captcha khác (slider/hình)|","")&amp;IF(AA25="✓","Đăng nhập|","")&amp;IF(AB25="✓","Email/SĐT/OTP|",""),LEN(IF(O25="✓","Mã tra cứu|","")&amp;IF(P25="✓","MST người bán|","")&amp;IF(Q25="✓","MST người mua|","")&amp;IF(R25="✓","Mẫu số / Ký hiệu|","")&amp;IF(S25="✓","Số HĐ|","")&amp;IF(T25="✓","Ngày lập|","")&amp;IF(U25="✓","Tổng tiền|","")&amp;IF(V25="✓","Mã CQT|","")&amp;IF(W25="✓","Upload XML|","")&amp;IF(X25="✓","Captcha ảnh|","")&amp;IF(Y25="✓","Captcha dạng tích|","")&amp;IF(Z25="✓","Captcha khác (slider/hình)|","")&amp;IF(AA25="✓","Đăng nhập|","")&amp;IF(AB25="✓","Email/SĐT/OTP|",""))-1),"|"," + ")))</f>
        <v/>
      </c>
      <c r="I25" s="17" t="n"/>
      <c r="J25" s="17" t="n"/>
      <c r="K25" s="17" t="n"/>
      <c r="L25" s="17" t="n"/>
      <c r="M25" s="37" t="n"/>
      <c r="N25" s="38" t="inlineStr">
        <is>
          <t>OK</t>
        </is>
      </c>
      <c r="O25" s="39" t="inlineStr">
        <is>
          <t>✓</t>
        </is>
      </c>
      <c r="P25" s="39" t="inlineStr">
        <is>
          <t>✓</t>
        </is>
      </c>
      <c r="Q25" s="39" t="n"/>
      <c r="R25" s="39" t="n"/>
      <c r="S25" s="39" t="n"/>
      <c r="T25" s="39" t="n"/>
      <c r="U25" s="39" t="n"/>
      <c r="V25" s="39" t="n"/>
      <c r="W25" s="39" t="n"/>
      <c r="X25" s="39" t="n"/>
      <c r="Y25" s="39" t="n"/>
      <c r="Z25" s="39" t="n"/>
      <c r="AA25" s="39" t="n"/>
      <c r="AB25" s="39" t="n"/>
      <c r="AC25" s="39" t="n">
        <v>2</v>
      </c>
      <c r="AD25" s="16" t="inlineStr">
        <is>
          <t>không có</t>
        </is>
      </c>
      <c r="AE25" s="16" t="inlineStr">
        <is>
          <t>'Kiểm tra hóa đơn' (/TraCuu/Upload): upload file XML; 'Tra cứu Doanh nghiệp' (/dang-nhap): đăng nhập</t>
        </is>
      </c>
      <c r="AF25" s="16" t="inlineStr">
        <is>
          <t>Form: 'Mã đơn vị' (*) + 'Số bảo mật' (*); 'Mã đơn vị' coi là MST người bán; chỉ chạy http</t>
        </is>
      </c>
      <c r="AG25" s="16" t="inlineStr">
        <is>
          <t>http://tracuuhoadon.mobifoneinvoice.vn/</t>
        </is>
      </c>
      <c r="AH25" s="1" t="n"/>
      <c r="AI25" s="1" t="n"/>
      <c r="AJ25">
        <f>IFERROR(IF(INDEX(WBS2!$I$2:$I$25,MATCH($C25,WBS2!$F$2:$F$25,0))="","",INDEX(WBS2!$I$2:$I$25,MATCH($C25,WBS2!$F$2:$F$25,0))),"")</f>
        <v/>
      </c>
      <c r="AK25">
        <f>IFERROR(IF(INDEX(WBS2!$I$27:$I$162,MATCH($C25,WBS2!$F$27:$F$162,0))="","",INDEX(WBS2!$I$27:$I$162,MATCH($C25,WBS2!$F$27:$F$162,0))),"")</f>
        <v/>
      </c>
      <c r="AL25" s="102">
        <f>IFERROR(IF(OR($AK25="Chưa hoàn thành",$AK25="Sẵn sàng"),INDEX(WBS2!$H$27:$H$162,MATCH($C25,WBS2!$F$27:$F$162,0)),""),"")</f>
        <v/>
      </c>
      <c r="AM25">
        <f>IFERROR(IF(INDEX(WBS2!$J$27:$J$162,MATCH($C25,WBS2!$F$27:$F$162,0))="","",INDEX(WBS2!$J$27:$J$162,MATCH($C25,WBS2!$F$27:$F$162,0))),"")</f>
        <v/>
      </c>
      <c r="AN25">
        <f>IFERROR(IF(INDEX(WBS2!$I$163:$I$298,MATCH($C25,WBS2!$F$163:$F$298,0))="","",INDEX(WBS2!$I$163:$I$298,MATCH($C25,WBS2!$F$163:$F$298,0))),"")</f>
        <v/>
      </c>
      <c r="AO25" s="102">
        <f>IFERROR(IF(OR($AN25="Chưa hoàn thành",$AN25="Sẵn sàng"),INDEX(WBS2!$H$163:$H$298,MATCH($C25,WBS2!$F$163:$F$298,0)),""),"")</f>
        <v/>
      </c>
      <c r="AP25">
        <f>IFERROR(IF(INDEX(WBS2!$J$163:$J$298,MATCH($C25,WBS2!$F$163:$F$298,0))="","",INDEX(WBS2!$J$163:$J$298,MATCH($C25,WBS2!$F$163:$F$298,0))),"")</f>
        <v/>
      </c>
    </row>
    <row r="26" hidden="1" ht="14.25" customHeight="1">
      <c r="A26" s="13" t="n">
        <v>25</v>
      </c>
      <c r="B26" s="13" t="inlineStr">
        <is>
          <t>Công ty Cổ phần BKAV</t>
        </is>
      </c>
      <c r="C26" s="14" t="inlineStr">
        <is>
          <t>0101360697</t>
        </is>
      </c>
      <c r="D26" s="13" t="inlineStr">
        <is>
          <t>Tầng 2, tòa nhà HH1 - Khu đô thị Yên Hòa, phường Yên Hòa, quận Cầu Giấy, Tp Hà Nội</t>
        </is>
      </c>
      <c r="E26" s="18" t="inlineStr">
        <is>
          <t>https://van.ehoadon.vn</t>
        </is>
      </c>
      <c r="F26" s="20" t="inlineStr">
        <is>
          <t>Không có captcha</t>
        </is>
      </c>
      <c r="G26" s="20" t="inlineStr">
        <is>
          <t>https://van.ehoadon.vn/TCHD</t>
        </is>
      </c>
      <c r="H26" s="35">
        <f>IF(N26&lt;&gt;"OK","",IF(IF(O26="✓","Mã tra cứu|","")&amp;IF(P26="✓","MST người bán|","")&amp;IF(Q26="✓","MST người mua|","")&amp;IF(R26="✓","Mẫu số / Ký hiệu|","")&amp;IF(S26="✓","Số HĐ|","")&amp;IF(T26="✓","Ngày lập|","")&amp;IF(U26="✓","Tổng tiền|","")&amp;IF(V26="✓","Mã CQT|","")&amp;IF(W26="✓","Upload XML|","")&amp;IF(X26="✓","Captcha ảnh|","")&amp;IF(Y26="✓","Captcha dạng tích|","")&amp;IF(Z26="✓","Captcha khác (slider/hình)|","")&amp;IF(AA26="✓","Đăng nhập|","")&amp;IF(AB26="✓","Email/SĐT/OTP|","")="","(không có tham số)",SUBSTITUTE(LEFT(IF(O26="✓","Mã tra cứu|","")&amp;IF(P26="✓","MST người bán|","")&amp;IF(Q26="✓","MST người mua|","")&amp;IF(R26="✓","Mẫu số / Ký hiệu|","")&amp;IF(S26="✓","Số HĐ|","")&amp;IF(T26="✓","Ngày lập|","")&amp;IF(U26="✓","Tổng tiền|","")&amp;IF(V26="✓","Mã CQT|","")&amp;IF(W26="✓","Upload XML|","")&amp;IF(X26="✓","Captcha ảnh|","")&amp;IF(Y26="✓","Captcha dạng tích|","")&amp;IF(Z26="✓","Captcha khác (slider/hình)|","")&amp;IF(AA26="✓","Đăng nhập|","")&amp;IF(AB26="✓","Email/SĐT/OTP|",""),LEN(IF(O26="✓","Mã tra cứu|","")&amp;IF(P26="✓","MST người bán|","")&amp;IF(Q26="✓","MST người mua|","")&amp;IF(R26="✓","Mẫu số / Ký hiệu|","")&amp;IF(S26="✓","Số HĐ|","")&amp;IF(T26="✓","Ngày lập|","")&amp;IF(U26="✓","Tổng tiền|","")&amp;IF(V26="✓","Mã CQT|","")&amp;IF(W26="✓","Upload XML|","")&amp;IF(X26="✓","Captcha ảnh|","")&amp;IF(Y26="✓","Captcha dạng tích|","")&amp;IF(Z26="✓","Captcha khác (slider/hình)|","")&amp;IF(AA26="✓","Đăng nhập|","")&amp;IF(AB26="✓","Email/SĐT/OTP|",""))-1),"|"," + ")))</f>
        <v/>
      </c>
      <c r="I26" s="17" t="n"/>
      <c r="J26" s="17" t="n"/>
      <c r="K26" s="17" t="n"/>
      <c r="L26" s="17" t="n"/>
      <c r="M26" s="37" t="n"/>
      <c r="N26" s="38" t="inlineStr">
        <is>
          <t>OK</t>
        </is>
      </c>
      <c r="O26" s="39" t="inlineStr">
        <is>
          <t>✓</t>
        </is>
      </c>
      <c r="P26" s="39" t="n"/>
      <c r="Q26" s="39" t="n"/>
      <c r="R26" s="39" t="n"/>
      <c r="S26" s="39" t="n"/>
      <c r="T26" s="39" t="n"/>
      <c r="U26" s="39" t="n"/>
      <c r="V26" s="39" t="n"/>
      <c r="W26" s="39" t="n"/>
      <c r="X26" s="39" t="n"/>
      <c r="Y26" s="39" t="inlineStr">
        <is>
          <t>✓</t>
        </is>
      </c>
      <c r="Z26" s="39" t="n"/>
      <c r="AA26" s="39" t="n"/>
      <c r="AB26" s="39" t="n"/>
      <c r="AC26" s="39" t="n">
        <v>2</v>
      </c>
      <c r="AD26" s="16" t="inlineStr">
        <is>
          <t>reCAPTCHA v2 checkbox</t>
        </is>
      </c>
      <c r="AE26" s="16" t="inlineStr">
        <is>
          <t>Upload file XML (fuXMLUpload) trên cùng trang</t>
        </is>
      </c>
      <c r="AF26" s="16" t="inlineStr">
        <is>
          <t>ASP.NET WebForms; ô 'Mã tra cứu Hóa đơn'. Adapter bkav trong project dùng InvoiceGUID qua API khác, không qua form này</t>
        </is>
      </c>
      <c r="AG26" s="16" t="inlineStr">
        <is>
          <t>https://van.ehoadon.vn/TCHD</t>
        </is>
      </c>
      <c r="AH26" s="1" t="n"/>
      <c r="AI26" s="1" t="n"/>
      <c r="AJ26">
        <f>IFERROR(IF(INDEX(WBS2!$I$2:$I$25,MATCH($C26,WBS2!$F$2:$F$25,0))="","",INDEX(WBS2!$I$2:$I$25,MATCH($C26,WBS2!$F$2:$F$25,0))),"")</f>
        <v/>
      </c>
      <c r="AK26">
        <f>IFERROR(IF(INDEX(WBS2!$I$27:$I$162,MATCH($C26,WBS2!$F$27:$F$162,0))="","",INDEX(WBS2!$I$27:$I$162,MATCH($C26,WBS2!$F$27:$F$162,0))),"")</f>
        <v/>
      </c>
      <c r="AL26" s="102">
        <f>IFERROR(IF(OR($AK26="Chưa hoàn thành",$AK26="Sẵn sàng"),INDEX(WBS2!$H$27:$H$162,MATCH($C26,WBS2!$F$27:$F$162,0)),""),"")</f>
        <v/>
      </c>
      <c r="AM26">
        <f>IFERROR(IF(INDEX(WBS2!$J$27:$J$162,MATCH($C26,WBS2!$F$27:$F$162,0))="","",INDEX(WBS2!$J$27:$J$162,MATCH($C26,WBS2!$F$27:$F$162,0))),"")</f>
        <v/>
      </c>
      <c r="AN26">
        <f>IFERROR(IF(INDEX(WBS2!$I$163:$I$298,MATCH($C26,WBS2!$F$163:$F$298,0))="","",INDEX(WBS2!$I$163:$I$298,MATCH($C26,WBS2!$F$163:$F$298,0))),"")</f>
        <v/>
      </c>
      <c r="AO26" s="102">
        <f>IFERROR(IF(OR($AN26="Chưa hoàn thành",$AN26="Sẵn sàng"),INDEX(WBS2!$H$163:$H$298,MATCH($C26,WBS2!$F$163:$F$298,0)),""),"")</f>
        <v/>
      </c>
      <c r="AP26">
        <f>IFERROR(IF(INDEX(WBS2!$J$163:$J$298,MATCH($C26,WBS2!$F$163:$F$298,0))="","",INDEX(WBS2!$J$163:$J$298,MATCH($C26,WBS2!$F$163:$F$298,0))),"")</f>
        <v/>
      </c>
    </row>
    <row r="27" ht="14.25" customHeight="1">
      <c r="A27" s="13" t="n">
        <v>26</v>
      </c>
      <c r="B27" s="13" t="inlineStr">
        <is>
          <t>Công ty Cổ phần phát triển phần mềm ASIA</t>
        </is>
      </c>
      <c r="C27" s="14" t="inlineStr">
        <is>
          <t>0101162173</t>
        </is>
      </c>
      <c r="D27" s="13" t="inlineStr">
        <is>
          <t>Số 6 Vũ Ngọc Phan, phường Láng Hạ, quận Đống Đa, Tp Hà Nội</t>
        </is>
      </c>
      <c r="E27" s="18" t="inlineStr">
        <is>
          <t>https://asiainvoice.vn</t>
        </is>
      </c>
      <c r="F27" s="20" t="inlineStr">
        <is>
          <t>có captcha</t>
        </is>
      </c>
      <c r="G27" s="59" t="inlineStr">
        <is>
          <t>https://asiainvoice.vn/tra-cuu/GetCaptcha</t>
        </is>
      </c>
      <c r="H27" s="35">
        <f>IF(N27&lt;&gt;"OK","",IF(IF(O27="✓","Mã tra cứu|","")&amp;IF(P27="✓","MST người bán|","")&amp;IF(Q27="✓","MST người mua|","")&amp;IF(R27="✓","Mẫu số / Ký hiệu|","")&amp;IF(S27="✓","Số HĐ|","")&amp;IF(T27="✓","Ngày lập|","")&amp;IF(U27="✓","Tổng tiền|","")&amp;IF(V27="✓","Mã CQT|","")&amp;IF(W27="✓","Upload XML|","")&amp;IF(X27="✓","Captcha ảnh|","")&amp;IF(Y27="✓","Captcha dạng tích|","")&amp;IF(Z27="✓","Captcha khác (slider/hình)|","")&amp;IF(AA27="✓","Đăng nhập|","")&amp;IF(AB27="✓","Email/SĐT/OTP|","")="","(không có tham số)",SUBSTITUTE(LEFT(IF(O27="✓","Mã tra cứu|","")&amp;IF(P27="✓","MST người bán|","")&amp;IF(Q27="✓","MST người mua|","")&amp;IF(R27="✓","Mẫu số / Ký hiệu|","")&amp;IF(S27="✓","Số HĐ|","")&amp;IF(T27="✓","Ngày lập|","")&amp;IF(U27="✓","Tổng tiền|","")&amp;IF(V27="✓","Mã CQT|","")&amp;IF(W27="✓","Upload XML|","")&amp;IF(X27="✓","Captcha ảnh|","")&amp;IF(Y27="✓","Captcha dạng tích|","")&amp;IF(Z27="✓","Captcha khác (slider/hình)|","")&amp;IF(AA27="✓","Đăng nhập|","")&amp;IF(AB27="✓","Email/SĐT/OTP|",""),LEN(IF(O27="✓","Mã tra cứu|","")&amp;IF(P27="✓","MST người bán|","")&amp;IF(Q27="✓","MST người mua|","")&amp;IF(R27="✓","Mẫu số / Ký hiệu|","")&amp;IF(S27="✓","Số HĐ|","")&amp;IF(T27="✓","Ngày lập|","")&amp;IF(U27="✓","Tổng tiền|","")&amp;IF(V27="✓","Mã CQT|","")&amp;IF(W27="✓","Upload XML|","")&amp;IF(X27="✓","Captcha ảnh|","")&amp;IF(Y27="✓","Captcha dạng tích|","")&amp;IF(Z27="✓","Captcha khác (slider/hình)|","")&amp;IF(AA27="✓","Đăng nhập|","")&amp;IF(AB27="✓","Email/SĐT/OTP|",""))-1),"|"," + ")))</f>
        <v/>
      </c>
      <c r="I27" s="20" t="inlineStr">
        <is>
          <t>Xong</t>
        </is>
      </c>
      <c r="J27" s="17" t="n"/>
      <c r="K27" s="67" t="n">
        <v>0</v>
      </c>
      <c r="L27" s="20" t="inlineStr">
        <is>
          <t>g_150x30</t>
        </is>
      </c>
      <c r="M27" s="37" t="n"/>
      <c r="N27" s="38" t="inlineStr">
        <is>
          <t>OK</t>
        </is>
      </c>
      <c r="O27" s="39" t="inlineStr">
        <is>
          <t>✓</t>
        </is>
      </c>
      <c r="P27" s="39" t="n"/>
      <c r="Q27" s="39" t="n"/>
      <c r="R27" s="39" t="n"/>
      <c r="S27" s="39" t="n"/>
      <c r="T27" s="39" t="n"/>
      <c r="U27" s="39" t="n"/>
      <c r="V27" s="39" t="n"/>
      <c r="W27" s="39" t="n"/>
      <c r="X27" s="39" t="inlineStr">
        <is>
          <t>✓</t>
        </is>
      </c>
      <c r="Y27" s="39" t="n"/>
      <c r="Z27" s="39" t="n"/>
      <c r="AA27" s="39" t="n"/>
      <c r="AB27" s="39" t="n"/>
      <c r="AC27" s="39" t="n">
        <v>2</v>
      </c>
      <c r="AD27" s="16" t="inlineStr">
        <is>
          <t>ảnh 150x30 (/tra-cuu/GetCaptcha), ô 'Mã xác thực'</t>
        </is>
      </c>
      <c r="AE27" s="16" t="inlineStr">
        <is>
          <t>Tab 'Từ file': upload file XML; nút 'Đăng nhập' -&gt; tracuu.asiainvoice.vn</t>
        </is>
      </c>
      <c r="AF27" s="16" t="inlineStr">
        <is>
          <t>Link trong danh sách là endpoint captcha; form thật ở /tra-cuu. Ô 'Mã tra cứu' có name=FKey</t>
        </is>
      </c>
      <c r="AG27" s="16" t="inlineStr">
        <is>
          <t>https://asiainvoice.vn/tra-cuu</t>
        </is>
      </c>
      <c r="AH27" s="1" t="n"/>
      <c r="AI27" s="1" t="n"/>
      <c r="AJ27">
        <f>IFERROR(IF(INDEX(WBS2!$I$2:$I$25,MATCH($C27,WBS2!$F$2:$F$25,0))="","",INDEX(WBS2!$I$2:$I$25,MATCH($C27,WBS2!$F$2:$F$25,0))),"")</f>
        <v/>
      </c>
      <c r="AK27">
        <f>IFERROR(IF(INDEX(WBS2!$I$27:$I$162,MATCH($C27,WBS2!$F$27:$F$162,0))="","",INDEX(WBS2!$I$27:$I$162,MATCH($C27,WBS2!$F$27:$F$162,0))),"")</f>
        <v/>
      </c>
      <c r="AL27" s="102">
        <f>IFERROR(IF(OR($AK27="Chưa hoàn thành",$AK27="Sẵn sàng"),INDEX(WBS2!$H$27:$H$162,MATCH($C27,WBS2!$F$27:$F$162,0)),""),"")</f>
        <v/>
      </c>
      <c r="AM27">
        <f>IFERROR(IF(INDEX(WBS2!$J$27:$J$162,MATCH($C27,WBS2!$F$27:$F$162,0))="","",INDEX(WBS2!$J$27:$J$162,MATCH($C27,WBS2!$F$27:$F$162,0))),"")</f>
        <v/>
      </c>
      <c r="AN27">
        <f>IFERROR(IF(INDEX(WBS2!$I$163:$I$298,MATCH($C27,WBS2!$F$163:$F$298,0))="","",INDEX(WBS2!$I$163:$I$298,MATCH($C27,WBS2!$F$163:$F$298,0))),"")</f>
        <v/>
      </c>
      <c r="AO27" s="102">
        <f>IFERROR(IF(OR($AN27="Chưa hoàn thành",$AN27="Sẵn sàng"),INDEX(WBS2!$H$163:$H$298,MATCH($C27,WBS2!$F$163:$F$298,0)),""),"")</f>
        <v/>
      </c>
      <c r="AP27">
        <f>IFERROR(IF(INDEX(WBS2!$J$163:$J$298,MATCH($C27,WBS2!$F$163:$F$298,0))="","",INDEX(WBS2!$J$163:$J$298,MATCH($C27,WBS2!$F$163:$F$298,0))),"")</f>
        <v/>
      </c>
    </row>
    <row r="28" ht="14.25" customHeight="1">
      <c r="A28" s="13" t="n">
        <v>27</v>
      </c>
      <c r="B28" s="13" t="inlineStr">
        <is>
          <t>Công ty Cổ phần thương mại Visnam</t>
        </is>
      </c>
      <c r="C28" s="14" t="inlineStr">
        <is>
          <t>0401486901</t>
        </is>
      </c>
      <c r="D28" s="13" t="inlineStr">
        <is>
          <t>Số 33 đường Hải Hồ, phường Thanh Bình, quận Hải Châu, Tp Đà Nẵng</t>
        </is>
      </c>
      <c r="E28" s="18" t="inlineStr">
        <is>
          <t>https://vin-hoadon.com</t>
        </is>
      </c>
      <c r="F28" s="20" t="inlineStr">
        <is>
          <t>có captcha</t>
        </is>
      </c>
      <c r="G28" s="59" t="inlineStr">
        <is>
          <t>https://tracuu.vin-hoadon.com/api/services/hddt/TraCuuHoaDon/RefreshCaptcha</t>
        </is>
      </c>
      <c r="H28" s="35">
        <f>IF(N28&lt;&gt;"OK","",IF(IF(O28="✓","Mã tra cứu|","")&amp;IF(P28="✓","MST người bán|","")&amp;IF(Q28="✓","MST người mua|","")&amp;IF(R28="✓","Mẫu số / Ký hiệu|","")&amp;IF(S28="✓","Số HĐ|","")&amp;IF(T28="✓","Ngày lập|","")&amp;IF(U28="✓","Tổng tiền|","")&amp;IF(V28="✓","Mã CQT|","")&amp;IF(W28="✓","Upload XML|","")&amp;IF(X28="✓","Captcha ảnh|","")&amp;IF(Y28="✓","Captcha dạng tích|","")&amp;IF(Z28="✓","Captcha khác (slider/hình)|","")&amp;IF(AA28="✓","Đăng nhập|","")&amp;IF(AB28="✓","Email/SĐT/OTP|","")="","(không có tham số)",SUBSTITUTE(LEFT(IF(O28="✓","Mã tra cứu|","")&amp;IF(P28="✓","MST người bán|","")&amp;IF(Q28="✓","MST người mua|","")&amp;IF(R28="✓","Mẫu số / Ký hiệu|","")&amp;IF(S28="✓","Số HĐ|","")&amp;IF(T28="✓","Ngày lập|","")&amp;IF(U28="✓","Tổng tiền|","")&amp;IF(V28="✓","Mã CQT|","")&amp;IF(W28="✓","Upload XML|","")&amp;IF(X28="✓","Captcha ảnh|","")&amp;IF(Y28="✓","Captcha dạng tích|","")&amp;IF(Z28="✓","Captcha khác (slider/hình)|","")&amp;IF(AA28="✓","Đăng nhập|","")&amp;IF(AB28="✓","Email/SĐT/OTP|",""),LEN(IF(O28="✓","Mã tra cứu|","")&amp;IF(P28="✓","MST người bán|","")&amp;IF(Q28="✓","MST người mua|","")&amp;IF(R28="✓","Mẫu số / Ký hiệu|","")&amp;IF(S28="✓","Số HĐ|","")&amp;IF(T28="✓","Ngày lập|","")&amp;IF(U28="✓","Tổng tiền|","")&amp;IF(V28="✓","Mã CQT|","")&amp;IF(W28="✓","Upload XML|","")&amp;IF(X28="✓","Captcha ảnh|","")&amp;IF(Y28="✓","Captcha dạng tích|","")&amp;IF(Z28="✓","Captcha khác (slider/hình)|","")&amp;IF(AA28="✓","Đăng nhập|","")&amp;IF(AB28="✓","Email/SĐT/OTP|",""))-1),"|"," + ")))</f>
        <v/>
      </c>
      <c r="I28" s="20" t="inlineStr">
        <is>
          <t>Xong</t>
        </is>
      </c>
      <c r="J28" s="17" t="n"/>
      <c r="K28" s="67" t="n">
        <v>0.96</v>
      </c>
      <c r="L28" s="20" t="inlineStr">
        <is>
          <t>g_1500x350</t>
        </is>
      </c>
      <c r="M28" s="37" t="n"/>
      <c r="N28" s="38" t="inlineStr">
        <is>
          <t>OK</t>
        </is>
      </c>
      <c r="O28" s="39" t="inlineStr">
        <is>
          <t>✓</t>
        </is>
      </c>
      <c r="P28" s="39" t="n"/>
      <c r="Q28" s="39" t="n"/>
      <c r="R28" s="39" t="n"/>
      <c r="S28" s="39" t="n"/>
      <c r="T28" s="39" t="n"/>
      <c r="U28" s="39" t="n"/>
      <c r="V28" s="39" t="n"/>
      <c r="W28" s="39" t="n"/>
      <c r="X28" s="39" t="inlineStr">
        <is>
          <t>✓</t>
        </is>
      </c>
      <c r="Y28" s="39" t="n"/>
      <c r="Z28" s="39" t="n"/>
      <c r="AA28" s="39" t="n"/>
      <c r="AB28" s="39" t="n"/>
      <c r="AC28" s="39" t="n">
        <v>2</v>
      </c>
      <c r="AD28" s="16" t="inlineStr">
        <is>
          <t>ảnh PNG base64 1500x350 (hiển thị 150x35), ô 'Nhập mã xác thực'</t>
        </is>
      </c>
      <c r="AE28" s="16" t="inlineStr">
        <is>
          <t>Tab 'Xác thực hóa đơn' (/xacthuchd): upload file XML + captcha ảnh; có trang đăng nhập /account</t>
        </is>
      </c>
      <c r="AF28" s="16" t="inlineStr">
        <is>
          <t>Link trong danh sách là API RefreshCaptcha; trang gốc redirect về /tracuuhoadon/tracuuxacthuc/tracuuhd. Ô 'Mã số bí mật'. Trang có nạp recaptcha/api.js nhưng không thấy widget</t>
        </is>
      </c>
      <c r="AG28" s="16" t="inlineStr">
        <is>
          <t>https://tracuu.vin-hoadon.com/tracuuhoadon/tracuuxacthuc/tracuuhd</t>
        </is>
      </c>
      <c r="AH28" s="1" t="n"/>
      <c r="AI28" s="1" t="n"/>
      <c r="AJ28">
        <f>IFERROR(IF(INDEX(WBS2!$I$2:$I$25,MATCH($C28,WBS2!$F$2:$F$25,0))="","",INDEX(WBS2!$I$2:$I$25,MATCH($C28,WBS2!$F$2:$F$25,0))),"")</f>
        <v/>
      </c>
      <c r="AK28">
        <f>IFERROR(IF(INDEX(WBS2!$I$27:$I$162,MATCH($C28,WBS2!$F$27:$F$162,0))="","",INDEX(WBS2!$I$27:$I$162,MATCH($C28,WBS2!$F$27:$F$162,0))),"")</f>
        <v/>
      </c>
      <c r="AL28" s="102">
        <f>IFERROR(IF(OR($AK28="Chưa hoàn thành",$AK28="Sẵn sàng"),INDEX(WBS2!$H$27:$H$162,MATCH($C28,WBS2!$F$27:$F$162,0)),""),"")</f>
        <v/>
      </c>
      <c r="AM28">
        <f>IFERROR(IF(INDEX(WBS2!$J$27:$J$162,MATCH($C28,WBS2!$F$27:$F$162,0))="","",INDEX(WBS2!$J$27:$J$162,MATCH($C28,WBS2!$F$27:$F$162,0))),"")</f>
        <v/>
      </c>
      <c r="AN28">
        <f>IFERROR(IF(INDEX(WBS2!$I$163:$I$298,MATCH($C28,WBS2!$F$163:$F$298,0))="","",INDEX(WBS2!$I$163:$I$298,MATCH($C28,WBS2!$F$163:$F$298,0))),"")</f>
        <v/>
      </c>
      <c r="AO28" s="102">
        <f>IFERROR(IF(OR($AN28="Chưa hoàn thành",$AN28="Sẵn sàng"),INDEX(WBS2!$H$163:$H$298,MATCH($C28,WBS2!$F$163:$F$298,0)),""),"")</f>
        <v/>
      </c>
      <c r="AP28">
        <f>IFERROR(IF(INDEX(WBS2!$J$163:$J$298,MATCH($C28,WBS2!$F$163:$F$298,0))="","",INDEX(WBS2!$J$163:$J$298,MATCH($C28,WBS2!$F$163:$F$298,0))),"")</f>
        <v/>
      </c>
    </row>
    <row r="29" hidden="1" ht="14.25" customHeight="1">
      <c r="A29" s="13" t="n">
        <v>28</v>
      </c>
      <c r="B29" s="13" t="inlineStr">
        <is>
          <t>Công ty Cổ phần Thiết bị điện - Điện tử Bách Khoa</t>
        </is>
      </c>
      <c r="C29" s="14" t="inlineStr">
        <is>
          <t>0200784873</t>
        </is>
      </c>
      <c r="D29" s="13" t="inlineStr">
        <is>
          <t>Số 561 Nguyễn Bỉnh Khiêm, phường Đằng Hải, quận Hải An, Tp Hải Phòng</t>
        </is>
      </c>
      <c r="E29" s="18" t="inlineStr">
        <is>
          <t>https://dinhvibachkhoa.vn</t>
        </is>
      </c>
      <c r="F29" s="20" t="inlineStr">
        <is>
          <t>không có thông tin</t>
        </is>
      </c>
      <c r="G29" s="63" t="inlineStr">
        <is>
          <t>https://hoadonbachkhoa.pmbk.vn/tra-cuu-hoa-don</t>
        </is>
      </c>
      <c r="H29" s="35">
        <f>IF(N29&lt;&gt;"OK","",IF(IF(O29="✓","Mã tra cứu|","")&amp;IF(P29="✓","MST người bán|","")&amp;IF(Q29="✓","MST người mua|","")&amp;IF(R29="✓","Mẫu số / Ký hiệu|","")&amp;IF(S29="✓","Số HĐ|","")&amp;IF(T29="✓","Ngày lập|","")&amp;IF(U29="✓","Tổng tiền|","")&amp;IF(V29="✓","Mã CQT|","")&amp;IF(W29="✓","Upload XML|","")&amp;IF(X29="✓","Captcha ảnh|","")&amp;IF(Y29="✓","Captcha dạng tích|","")&amp;IF(Z29="✓","Captcha khác (slider/hình)|","")&amp;IF(AA29="✓","Đăng nhập|","")&amp;IF(AB29="✓","Email/SĐT/OTP|","")="","(không có tham số)",SUBSTITUTE(LEFT(IF(O29="✓","Mã tra cứu|","")&amp;IF(P29="✓","MST người bán|","")&amp;IF(Q29="✓","MST người mua|","")&amp;IF(R29="✓","Mẫu số / Ký hiệu|","")&amp;IF(S29="✓","Số HĐ|","")&amp;IF(T29="✓","Ngày lập|","")&amp;IF(U29="✓","Tổng tiền|","")&amp;IF(V29="✓","Mã CQT|","")&amp;IF(W29="✓","Upload XML|","")&amp;IF(X29="✓","Captcha ảnh|","")&amp;IF(Y29="✓","Captcha dạng tích|","")&amp;IF(Z29="✓","Captcha khác (slider/hình)|","")&amp;IF(AA29="✓","Đăng nhập|","")&amp;IF(AB29="✓","Email/SĐT/OTP|",""),LEN(IF(O29="✓","Mã tra cứu|","")&amp;IF(P29="✓","MST người bán|","")&amp;IF(Q29="✓","MST người mua|","")&amp;IF(R29="✓","Mẫu số / Ký hiệu|","")&amp;IF(S29="✓","Số HĐ|","")&amp;IF(T29="✓","Ngày lập|","")&amp;IF(U29="✓","Tổng tiền|","")&amp;IF(V29="✓","Mã CQT|","")&amp;IF(W29="✓","Upload XML|","")&amp;IF(X29="✓","Captcha ảnh|","")&amp;IF(Y29="✓","Captcha dạng tích|","")&amp;IF(Z29="✓","Captcha khác (slider/hình)|","")&amp;IF(AA29="✓","Đăng nhập|","")&amp;IF(AB29="✓","Email/SĐT/OTP|",""))-1),"|"," + ")))</f>
        <v/>
      </c>
      <c r="I29" s="17" t="n"/>
      <c r="J29" s="17" t="n"/>
      <c r="K29" s="17" t="n"/>
      <c r="L29" s="17" t="n"/>
      <c r="M29" s="37" t="n"/>
      <c r="N29" s="38" t="inlineStr">
        <is>
          <t>OK</t>
        </is>
      </c>
      <c r="O29" s="39" t="inlineStr">
        <is>
          <t>✓</t>
        </is>
      </c>
      <c r="P29" s="39" t="n"/>
      <c r="Q29" s="39" t="n"/>
      <c r="R29" s="39" t="n"/>
      <c r="S29" s="39" t="n"/>
      <c r="T29" s="39" t="n"/>
      <c r="U29" s="39" t="n"/>
      <c r="V29" s="39" t="n"/>
      <c r="W29" s="39" t="n"/>
      <c r="X29" s="39" t="n"/>
      <c r="Y29" s="39" t="n"/>
      <c r="Z29" s="39" t="n"/>
      <c r="AA29" s="39" t="n"/>
      <c r="AB29" s="39" t="n"/>
      <c r="AC29" s="39" t="n">
        <v>1</v>
      </c>
      <c r="AD29" s="16" t="inlineStr">
        <is>
          <t>không có</t>
        </is>
      </c>
      <c r="AE29" s="16" t="inlineStr">
        <is>
          <t>Radio 'Tệp tra cứu': chọn/upload tệp tra cứu (có thể là XML)</t>
        </is>
      </c>
      <c r="AF29" s="16" t="inlineStr">
        <is>
          <t>Radio mặc định 'Mã tra cứu', 1 ô mã</t>
        </is>
      </c>
      <c r="AG29" s="16" t="inlineStr">
        <is>
          <t>https://hoadonbachkhoa.pmbk.vn/tra-cuu-hoa-don</t>
        </is>
      </c>
      <c r="AH29" s="1" t="n"/>
      <c r="AI29" s="1" t="n"/>
      <c r="AJ29">
        <f>IFERROR(IF(INDEX(WBS2!$I$2:$I$25,MATCH($C29,WBS2!$F$2:$F$25,0))="","",INDEX(WBS2!$I$2:$I$25,MATCH($C29,WBS2!$F$2:$F$25,0))),"")</f>
        <v/>
      </c>
      <c r="AK29">
        <f>IFERROR(IF(INDEX(WBS2!$I$27:$I$162,MATCH($C29,WBS2!$F$27:$F$162,0))="","",INDEX(WBS2!$I$27:$I$162,MATCH($C29,WBS2!$F$27:$F$162,0))),"")</f>
        <v/>
      </c>
      <c r="AL29" s="102">
        <f>IFERROR(IF(OR($AK29="Chưa hoàn thành",$AK29="Sẵn sàng"),INDEX(WBS2!$H$27:$H$162,MATCH($C29,WBS2!$F$27:$F$162,0)),""),"")</f>
        <v/>
      </c>
      <c r="AM29">
        <f>IFERROR(IF(INDEX(WBS2!$J$27:$J$162,MATCH($C29,WBS2!$F$27:$F$162,0))="","",INDEX(WBS2!$J$27:$J$162,MATCH($C29,WBS2!$F$27:$F$162,0))),"")</f>
        <v/>
      </c>
      <c r="AN29">
        <f>IFERROR(IF(INDEX(WBS2!$I$163:$I$298,MATCH($C29,WBS2!$F$163:$F$298,0))="","",INDEX(WBS2!$I$163:$I$298,MATCH($C29,WBS2!$F$163:$F$298,0))),"")</f>
        <v/>
      </c>
      <c r="AO29" s="102">
        <f>IFERROR(IF(OR($AN29="Chưa hoàn thành",$AN29="Sẵn sàng"),INDEX(WBS2!$H$163:$H$298,MATCH($C29,WBS2!$F$163:$F$298,0)),""),"")</f>
        <v/>
      </c>
      <c r="AP29">
        <f>IFERROR(IF(INDEX(WBS2!$J$163:$J$298,MATCH($C29,WBS2!$F$163:$F$298,0))="","",INDEX(WBS2!$J$163:$J$298,MATCH($C29,WBS2!$F$163:$F$298,0))),"")</f>
        <v/>
      </c>
    </row>
    <row r="30" ht="14.25" customHeight="1">
      <c r="A30" s="13" t="n">
        <v>29</v>
      </c>
      <c r="B30" s="13" t="inlineStr">
        <is>
          <t>Tập Đoàn Bưu chính viễn thông Việt Nam</t>
        </is>
      </c>
      <c r="C30" s="14" t="inlineStr">
        <is>
          <t>0100684378</t>
        </is>
      </c>
      <c r="D30" s="13" t="inlineStr">
        <is>
          <t>Số 57 Huỳnh Thúc Kháng, Phường Láng Hạ, Quận Đống Đa, Tp.Hà Nội</t>
        </is>
      </c>
      <c r="E30" s="18" t="inlineStr">
        <is>
          <t>https://vnpt-invoice.com.vn/</t>
        </is>
      </c>
      <c r="F30" s="20" t="inlineStr">
        <is>
          <t>có captcha</t>
        </is>
      </c>
      <c r="G30" s="76" t="inlineStr">
        <is>
          <t>https://portaltool.vnpt-invoice.com.vn/</t>
        </is>
      </c>
      <c r="H30" s="35">
        <f>IF(N30&lt;&gt;"OK","",IF(IF(O30="✓","Mã tra cứu|","")&amp;IF(P30="✓","MST người bán|","")&amp;IF(Q30="✓","MST người mua|","")&amp;IF(R30="✓","Mẫu số / Ký hiệu|","")&amp;IF(S30="✓","Số HĐ|","")&amp;IF(T30="✓","Ngày lập|","")&amp;IF(U30="✓","Tổng tiền|","")&amp;IF(V30="✓","Mã CQT|","")&amp;IF(W30="✓","Upload XML|","")&amp;IF(X30="✓","Captcha ảnh|","")&amp;IF(Y30="✓","Captcha dạng tích|","")&amp;IF(Z30="✓","Captcha khác (slider/hình)|","")&amp;IF(AA30="✓","Đăng nhập|","")&amp;IF(AB30="✓","Email/SĐT/OTP|","")="","(không có tham số)",SUBSTITUTE(LEFT(IF(O30="✓","Mã tra cứu|","")&amp;IF(P30="✓","MST người bán|","")&amp;IF(Q30="✓","MST người mua|","")&amp;IF(R30="✓","Mẫu số / Ký hiệu|","")&amp;IF(S30="✓","Số HĐ|","")&amp;IF(T30="✓","Ngày lập|","")&amp;IF(U30="✓","Tổng tiền|","")&amp;IF(V30="✓","Mã CQT|","")&amp;IF(W30="✓","Upload XML|","")&amp;IF(X30="✓","Captcha ảnh|","")&amp;IF(Y30="✓","Captcha dạng tích|","")&amp;IF(Z30="✓","Captcha khác (slider/hình)|","")&amp;IF(AA30="✓","Đăng nhập|","")&amp;IF(AB30="✓","Email/SĐT/OTP|",""),LEN(IF(O30="✓","Mã tra cứu|","")&amp;IF(P30="✓","MST người bán|","")&amp;IF(Q30="✓","MST người mua|","")&amp;IF(R30="✓","Mẫu số / Ký hiệu|","")&amp;IF(S30="✓","Số HĐ|","")&amp;IF(T30="✓","Ngày lập|","")&amp;IF(U30="✓","Tổng tiền|","")&amp;IF(V30="✓","Mã CQT|","")&amp;IF(W30="✓","Upload XML|","")&amp;IF(X30="✓","Captcha ảnh|","")&amp;IF(Y30="✓","Captcha dạng tích|","")&amp;IF(Z30="✓","Captcha khác (slider/hình)|","")&amp;IF(AA30="✓","Đăng nhập|","")&amp;IF(AB30="✓","Email/SĐT/OTP|",""))-1),"|"," + ")))</f>
        <v/>
      </c>
      <c r="I30" s="20" t="inlineStr">
        <is>
          <t>Xong</t>
        </is>
      </c>
      <c r="J30" s="17" t="n"/>
      <c r="K30" s="67" t="n">
        <v>0</v>
      </c>
      <c r="L30" s="20" t="inlineStr">
        <is>
          <t>g_120x40</t>
        </is>
      </c>
      <c r="M30" s="37" t="n"/>
      <c r="N30" s="38" t="inlineStr">
        <is>
          <t>OK</t>
        </is>
      </c>
      <c r="O30" s="39" t="inlineStr">
        <is>
          <t>✓</t>
        </is>
      </c>
      <c r="P30" s="39" t="n"/>
      <c r="Q30" s="39" t="n"/>
      <c r="R30" s="39" t="n"/>
      <c r="S30" s="39" t="n"/>
      <c r="T30" s="39" t="n"/>
      <c r="U30" s="39" t="n"/>
      <c r="V30" s="39" t="inlineStr">
        <is>
          <t>✓</t>
        </is>
      </c>
      <c r="W30" s="39" t="n"/>
      <c r="X30" s="39" t="inlineStr">
        <is>
          <t>✓</t>
        </is>
      </c>
      <c r="Y30" s="39" t="n"/>
      <c r="Z30" s="39" t="n"/>
      <c r="AA30" s="39" t="n"/>
      <c r="AB30" s="39" t="n"/>
      <c r="AC30" s="39" t="n">
        <v>3</v>
      </c>
      <c r="AD30" s="16" t="inlineStr">
        <is>
          <t>ảnh JPEG base64 (API get-captcha?width=120&amp;height=40, hiển thị 96x32), ô 'Mã xác thực'</t>
        </is>
      </c>
      <c r="AE30" s="16" t="inlineStr">
        <is>
          <t>Tab 'Tra cứu theo thông tin': MST bán + loại HĐ + ký hiệu + số HĐ + tổng tiền thanh toán + captcha ảnh; Tab 'Tra cứu theo file XML': upload XML</t>
        </is>
      </c>
      <c r="AF30" s="16" t="inlineStr">
        <is>
          <t>SPA; ô 'Mã tra cứu/Mã của Cơ quan thuế' (nhập Fkey hoặc MCCQT); radio HĐĐT / HĐĐT MTT. Link trong danh sách là API captcha; cổng HST chung, khách lớn có cổng riêng</t>
        </is>
      </c>
      <c r="AG30" s="16" t="inlineStr">
        <is>
          <t>https://portal-hst.vnpt-invoice.com.vn/tim-kiem/hoa-don-dien-tu</t>
        </is>
      </c>
      <c r="AH30" s="76" t="inlineStr">
        <is>
          <t>https://gateway-hst.vnpt-invoice.com.vn/admin/api/share/get-captcha?width=120&amp;height=40</t>
        </is>
      </c>
      <c r="AI30" s="1" t="n"/>
      <c r="AJ30">
        <f>IFERROR(IF(INDEX(WBS2!$I$2:$I$25,MATCH($C30,WBS2!$F$2:$F$25,0))="","",INDEX(WBS2!$I$2:$I$25,MATCH($C30,WBS2!$F$2:$F$25,0))),"")</f>
        <v/>
      </c>
      <c r="AK30">
        <f>IFERROR(IF(INDEX(WBS2!$I$27:$I$162,MATCH($C30,WBS2!$F$27:$F$162,0))="","",INDEX(WBS2!$I$27:$I$162,MATCH($C30,WBS2!$F$27:$F$162,0))),"")</f>
        <v/>
      </c>
      <c r="AL30" s="102">
        <f>IFERROR(IF(OR($AK30="Chưa hoàn thành",$AK30="Sẵn sàng"),INDEX(WBS2!$H$27:$H$162,MATCH($C30,WBS2!$F$27:$F$162,0)),""),"")</f>
        <v/>
      </c>
      <c r="AM30">
        <f>IFERROR(IF(INDEX(WBS2!$J$27:$J$162,MATCH($C30,WBS2!$F$27:$F$162,0))="","",INDEX(WBS2!$J$27:$J$162,MATCH($C30,WBS2!$F$27:$F$162,0))),"")</f>
        <v/>
      </c>
      <c r="AN30">
        <f>IFERROR(IF(INDEX(WBS2!$I$163:$I$298,MATCH($C30,WBS2!$F$163:$F$298,0))="","",INDEX(WBS2!$I$163:$I$298,MATCH($C30,WBS2!$F$163:$F$298,0))),"")</f>
        <v/>
      </c>
      <c r="AO30" s="102">
        <f>IFERROR(IF(OR($AN30="Chưa hoàn thành",$AN30="Sẵn sàng"),INDEX(WBS2!$H$163:$H$298,MATCH($C30,WBS2!$F$163:$F$298,0)),""),"")</f>
        <v/>
      </c>
      <c r="AP30">
        <f>IFERROR(IF(INDEX(WBS2!$J$163:$J$298,MATCH($C30,WBS2!$F$163:$F$298,0))="","",INDEX(WBS2!$J$163:$J$298,MATCH($C30,WBS2!$F$163:$F$298,0))),"")</f>
        <v/>
      </c>
    </row>
    <row r="31" hidden="1" ht="14.25" customHeight="1">
      <c r="A31" s="13" t="n">
        <v>30</v>
      </c>
      <c r="B31" s="13" t="inlineStr">
        <is>
          <t>Công ty Cổ phần dịch vụ T-VAN HILO</t>
        </is>
      </c>
      <c r="C31" s="14" t="inlineStr">
        <is>
          <t>0106713804</t>
        </is>
      </c>
      <c r="D31" s="13" t="inlineStr">
        <is>
          <t>Số 18 Đoàn Trần Nghiệp, phường Bùi Thị Xuân, quận Hai Bà Trưng, Tp Hà Nội</t>
        </is>
      </c>
      <c r="E31" s="18" t="inlineStr">
        <is>
          <t>https://hiloinvoice.vn</t>
        </is>
      </c>
      <c r="F31" s="20" t="inlineStr">
        <is>
          <t>Không có captcha</t>
        </is>
      </c>
      <c r="G31" s="23" t="inlineStr">
        <is>
          <t>https://tracuuhddt78.hilo.com.vn/</t>
        </is>
      </c>
      <c r="H31" s="35">
        <f>IF(N31&lt;&gt;"OK","",IF(IF(O31="✓","Mã tra cứu|","")&amp;IF(P31="✓","MST người bán|","")&amp;IF(Q31="✓","MST người mua|","")&amp;IF(R31="✓","Mẫu số / Ký hiệu|","")&amp;IF(S31="✓","Số HĐ|","")&amp;IF(T31="✓","Ngày lập|","")&amp;IF(U31="✓","Tổng tiền|","")&amp;IF(V31="✓","Mã CQT|","")&amp;IF(W31="✓","Upload XML|","")&amp;IF(X31="✓","Captcha ảnh|","")&amp;IF(Y31="✓","Captcha dạng tích|","")&amp;IF(Z31="✓","Captcha khác (slider/hình)|","")&amp;IF(AA31="✓","Đăng nhập|","")&amp;IF(AB31="✓","Email/SĐT/OTP|","")="","(không có tham số)",SUBSTITUTE(LEFT(IF(O31="✓","Mã tra cứu|","")&amp;IF(P31="✓","MST người bán|","")&amp;IF(Q31="✓","MST người mua|","")&amp;IF(R31="✓","Mẫu số / Ký hiệu|","")&amp;IF(S31="✓","Số HĐ|","")&amp;IF(T31="✓","Ngày lập|","")&amp;IF(U31="✓","Tổng tiền|","")&amp;IF(V31="✓","Mã CQT|","")&amp;IF(W31="✓","Upload XML|","")&amp;IF(X31="✓","Captcha ảnh|","")&amp;IF(Y31="✓","Captcha dạng tích|","")&amp;IF(Z31="✓","Captcha khác (slider/hình)|","")&amp;IF(AA31="✓","Đăng nhập|","")&amp;IF(AB31="✓","Email/SĐT/OTP|",""),LEN(IF(O31="✓","Mã tra cứu|","")&amp;IF(P31="✓","MST người bán|","")&amp;IF(Q31="✓","MST người mua|","")&amp;IF(R31="✓","Mẫu số / Ký hiệu|","")&amp;IF(S31="✓","Số HĐ|","")&amp;IF(T31="✓","Ngày lập|","")&amp;IF(U31="✓","Tổng tiền|","")&amp;IF(V31="✓","Mã CQT|","")&amp;IF(W31="✓","Upload XML|","")&amp;IF(X31="✓","Captcha ảnh|","")&amp;IF(Y31="✓","Captcha dạng tích|","")&amp;IF(Z31="✓","Captcha khác (slider/hình)|","")&amp;IF(AA31="✓","Đăng nhập|","")&amp;IF(AB31="✓","Email/SĐT/OTP|",""))-1),"|"," + ")))</f>
        <v/>
      </c>
      <c r="I31" s="17" t="n"/>
      <c r="J31" s="17" t="n"/>
      <c r="K31" s="17" t="n"/>
      <c r="L31" s="17" t="n"/>
      <c r="M31" s="37" t="n"/>
      <c r="N31" s="38" t="inlineStr">
        <is>
          <t>OK</t>
        </is>
      </c>
      <c r="O31" s="39" t="inlineStr">
        <is>
          <t>✓</t>
        </is>
      </c>
      <c r="P31" s="39" t="inlineStr">
        <is>
          <t>✓</t>
        </is>
      </c>
      <c r="Q31" s="39" t="n"/>
      <c r="R31" s="39" t="n"/>
      <c r="S31" s="39" t="n"/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>
        <v>2</v>
      </c>
      <c r="AD31" s="16" t="inlineStr">
        <is>
          <t>reCAPTCHA v3 ẩn (size=invisible)</t>
        </is>
      </c>
      <c r="AE31" s="16" t="inlineStr">
        <is>
          <t>Các tab khác chỉ cho chứng từ / phiếu xuất kho / biên lai / bảng kê; menu 'Danh sách hóa đơn', 'Đăng nhập'</t>
        </is>
      </c>
      <c r="AF31" s="16" t="inlineStr">
        <is>
          <t>Form: 'Mã số thuế bên bán' + 'Mã nhận HĐ'. Theo ghi chú project, cổng chung HILO có reCAPTCHA và tra không ra (HĐ HILO GSM nằm ở no_portal)</t>
        </is>
      </c>
      <c r="AG31" s="16" t="inlineStr">
        <is>
          <t>https://tracuuhddt78.hilo.com.vn/</t>
        </is>
      </c>
      <c r="AH31" s="1" t="n"/>
      <c r="AI31" s="1" t="n"/>
      <c r="AJ31">
        <f>IFERROR(IF(INDEX(WBS2!$I$2:$I$25,MATCH($C31,WBS2!$F$2:$F$25,0))="","",INDEX(WBS2!$I$2:$I$25,MATCH($C31,WBS2!$F$2:$F$25,0))),"")</f>
        <v/>
      </c>
      <c r="AK31">
        <f>IFERROR(IF(INDEX(WBS2!$I$27:$I$162,MATCH($C31,WBS2!$F$27:$F$162,0))="","",INDEX(WBS2!$I$27:$I$162,MATCH($C31,WBS2!$F$27:$F$162,0))),"")</f>
        <v/>
      </c>
      <c r="AL31" s="102">
        <f>IFERROR(IF(OR($AK31="Chưa hoàn thành",$AK31="Sẵn sàng"),INDEX(WBS2!$H$27:$H$162,MATCH($C31,WBS2!$F$27:$F$162,0)),""),"")</f>
        <v/>
      </c>
      <c r="AM31">
        <f>IFERROR(IF(INDEX(WBS2!$J$27:$J$162,MATCH($C31,WBS2!$F$27:$F$162,0))="","",INDEX(WBS2!$J$27:$J$162,MATCH($C31,WBS2!$F$27:$F$162,0))),"")</f>
        <v/>
      </c>
      <c r="AN31">
        <f>IFERROR(IF(INDEX(WBS2!$I$163:$I$298,MATCH($C31,WBS2!$F$163:$F$298,0))="","",INDEX(WBS2!$I$163:$I$298,MATCH($C31,WBS2!$F$163:$F$298,0))),"")</f>
        <v/>
      </c>
      <c r="AO31" s="102">
        <f>IFERROR(IF(OR($AN31="Chưa hoàn thành",$AN31="Sẵn sàng"),INDEX(WBS2!$H$163:$H$298,MATCH($C31,WBS2!$F$163:$F$298,0)),""),"")</f>
        <v/>
      </c>
      <c r="AP31">
        <f>IFERROR(IF(INDEX(WBS2!$J$163:$J$298,MATCH($C31,WBS2!$F$163:$F$298,0))="","",INDEX(WBS2!$J$163:$J$298,MATCH($C31,WBS2!$F$163:$F$298,0))),"")</f>
        <v/>
      </c>
    </row>
    <row r="32" hidden="1" ht="14.25" customHeight="1">
      <c r="A32" s="13" t="n">
        <v>31</v>
      </c>
      <c r="B32" s="13" t="inlineStr">
        <is>
          <t>Công ty Cổ phần Minh Khang Group</t>
        </is>
      </c>
      <c r="C32" s="14" t="inlineStr">
        <is>
          <t>0314209362</t>
        </is>
      </c>
      <c r="D32" s="13" t="inlineStr">
        <is>
          <t>120A Trần Kế Xương, phường 7, quận Phú Nhuận, Tp Hồ Chí Minh</t>
        </is>
      </c>
      <c r="E32" s="18" t="inlineStr">
        <is>
          <t xml:space="preserve">http://hoadondientuvat.com/Thong-tin </t>
        </is>
      </c>
      <c r="F32" s="20" t="inlineStr">
        <is>
          <t>Không có captcha</t>
        </is>
      </c>
      <c r="G32" s="23" t="inlineStr">
        <is>
          <t>https://hoadondientuvat.com/Tracuu.aspx</t>
        </is>
      </c>
      <c r="H32" s="35">
        <f>IF(N32&lt;&gt;"OK","",IF(IF(O32="✓","Mã tra cứu|","")&amp;IF(P32="✓","MST người bán|","")&amp;IF(Q32="✓","MST người mua|","")&amp;IF(R32="✓","Mẫu số / Ký hiệu|","")&amp;IF(S32="✓","Số HĐ|","")&amp;IF(T32="✓","Ngày lập|","")&amp;IF(U32="✓","Tổng tiền|","")&amp;IF(V32="✓","Mã CQT|","")&amp;IF(W32="✓","Upload XML|","")&amp;IF(X32="✓","Captcha ảnh|","")&amp;IF(Y32="✓","Captcha dạng tích|","")&amp;IF(Z32="✓","Captcha khác (slider/hình)|","")&amp;IF(AA32="✓","Đăng nhập|","")&amp;IF(AB32="✓","Email/SĐT/OTP|","")="","(không có tham số)",SUBSTITUTE(LEFT(IF(O32="✓","Mã tra cứu|","")&amp;IF(P32="✓","MST người bán|","")&amp;IF(Q32="✓","MST người mua|","")&amp;IF(R32="✓","Mẫu số / Ký hiệu|","")&amp;IF(S32="✓","Số HĐ|","")&amp;IF(T32="✓","Ngày lập|","")&amp;IF(U32="✓","Tổng tiền|","")&amp;IF(V32="✓","Mã CQT|","")&amp;IF(W32="✓","Upload XML|","")&amp;IF(X32="✓","Captcha ảnh|","")&amp;IF(Y32="✓","Captcha dạng tích|","")&amp;IF(Z32="✓","Captcha khác (slider/hình)|","")&amp;IF(AA32="✓","Đăng nhập|","")&amp;IF(AB32="✓","Email/SĐT/OTP|",""),LEN(IF(O32="✓","Mã tra cứu|","")&amp;IF(P32="✓","MST người bán|","")&amp;IF(Q32="✓","MST người mua|","")&amp;IF(R32="✓","Mẫu số / Ký hiệu|","")&amp;IF(S32="✓","Số HĐ|","")&amp;IF(T32="✓","Ngày lập|","")&amp;IF(U32="✓","Tổng tiền|","")&amp;IF(V32="✓","Mã CQT|","")&amp;IF(W32="✓","Upload XML|","")&amp;IF(X32="✓","Captcha ảnh|","")&amp;IF(Y32="✓","Captcha dạng tích|","")&amp;IF(Z32="✓","Captcha khác (slider/hình)|","")&amp;IF(AA32="✓","Đăng nhập|","")&amp;IF(AB32="✓","Email/SĐT/OTP|",""))-1),"|"," + ")))</f>
        <v/>
      </c>
      <c r="I32" s="17" t="n"/>
      <c r="J32" s="17" t="n"/>
      <c r="K32" s="17" t="n"/>
      <c r="L32" s="17" t="n"/>
      <c r="M32" s="37" t="n"/>
      <c r="N32" s="38" t="inlineStr">
        <is>
          <t>OK</t>
        </is>
      </c>
      <c r="O32" s="39" t="inlineStr">
        <is>
          <t>✓</t>
        </is>
      </c>
      <c r="P32" s="39" t="n"/>
      <c r="Q32" s="39" t="n"/>
      <c r="R32" s="39" t="n"/>
      <c r="S32" s="39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>
        <v>1</v>
      </c>
      <c r="AD32" s="16" t="inlineStr">
        <is>
          <t>không có</t>
        </is>
      </c>
      <c r="AE32" s="16" t="inlineStr">
        <is>
          <t>Dropdown đổi sang 'Mã số thuế' (nhập MST thay vì mã hóa đơn)</t>
        </is>
      </c>
      <c r="AF32" s="16" t="inlineStr">
        <is>
          <t>1 ô + dropdown loại (mặc định 'Mã hóa đơn'); cùng nền tảng với ihoadondientu.com (dòng 40)</t>
        </is>
      </c>
      <c r="AG32" s="16" t="inlineStr">
        <is>
          <t>https://hoadondientuvat.com/Tracuu.aspx</t>
        </is>
      </c>
      <c r="AH32" s="1" t="n"/>
      <c r="AI32" s="1" t="n"/>
      <c r="AJ32">
        <f>IFERROR(IF(INDEX(WBS2!$I$2:$I$25,MATCH($C32,WBS2!$F$2:$F$25,0))="","",INDEX(WBS2!$I$2:$I$25,MATCH($C32,WBS2!$F$2:$F$25,0))),"")</f>
        <v/>
      </c>
      <c r="AK32">
        <f>IFERROR(IF(INDEX(WBS2!$I$27:$I$162,MATCH($C32,WBS2!$F$27:$F$162,0))="","",INDEX(WBS2!$I$27:$I$162,MATCH($C32,WBS2!$F$27:$F$162,0))),"")</f>
        <v/>
      </c>
      <c r="AL32" s="102">
        <f>IFERROR(IF(OR($AK32="Chưa hoàn thành",$AK32="Sẵn sàng"),INDEX(WBS2!$H$27:$H$162,MATCH($C32,WBS2!$F$27:$F$162,0)),""),"")</f>
        <v/>
      </c>
      <c r="AM32">
        <f>IFERROR(IF(INDEX(WBS2!$J$27:$J$162,MATCH($C32,WBS2!$F$27:$F$162,0))="","",INDEX(WBS2!$J$27:$J$162,MATCH($C32,WBS2!$F$27:$F$162,0))),"")</f>
        <v/>
      </c>
      <c r="AN32">
        <f>IFERROR(IF(INDEX(WBS2!$I$163:$I$298,MATCH($C32,WBS2!$F$163:$F$298,0))="","",INDEX(WBS2!$I$163:$I$298,MATCH($C32,WBS2!$F$163:$F$298,0))),"")</f>
        <v/>
      </c>
      <c r="AO32" s="102">
        <f>IFERROR(IF(OR($AN32="Chưa hoàn thành",$AN32="Sẵn sàng"),INDEX(WBS2!$H$163:$H$298,MATCH($C32,WBS2!$F$163:$F$298,0)),""),"")</f>
        <v/>
      </c>
      <c r="AP32">
        <f>IFERROR(IF(INDEX(WBS2!$J$163:$J$298,MATCH($C32,WBS2!$F$163:$F$298,0))="","",INDEX(WBS2!$J$163:$J$298,MATCH($C32,WBS2!$F$163:$F$298,0))),"")</f>
        <v/>
      </c>
    </row>
    <row r="33" ht="14.25" customHeight="1">
      <c r="A33" s="13" t="n">
        <v>32</v>
      </c>
      <c r="B33" s="13" t="inlineStr">
        <is>
          <t>Công ty Cổ phần Giải pháp hóa đơn điện tử Việt Nam</t>
        </is>
      </c>
      <c r="C33" s="14" t="inlineStr">
        <is>
          <t>0101352495</t>
        </is>
      </c>
      <c r="D33" s="13" t="inlineStr">
        <is>
          <t>Tầng 7 tòa nhà Công ty 29, ngõ 73 đường Nguyễn Trãi, phường Khương Trung, quận Thanh Xuân, Tp Hà Nội</t>
        </is>
      </c>
      <c r="E33" s="18" t="inlineStr">
        <is>
          <t>https://www.vninvoice.vn</t>
        </is>
      </c>
      <c r="F33" s="20" t="inlineStr">
        <is>
          <t>có captcha</t>
        </is>
      </c>
      <c r="G33" s="68" t="inlineStr">
        <is>
          <t>https://tracuu.v50.vninvoice.vn/</t>
        </is>
      </c>
      <c r="H33" s="35">
        <f>IF(N33&lt;&gt;"OK","",IF(IF(O33="✓","Mã tra cứu|","")&amp;IF(P33="✓","MST người bán|","")&amp;IF(Q33="✓","MST người mua|","")&amp;IF(R33="✓","Mẫu số / Ký hiệu|","")&amp;IF(S33="✓","Số HĐ|","")&amp;IF(T33="✓","Ngày lập|","")&amp;IF(U33="✓","Tổng tiền|","")&amp;IF(V33="✓","Mã CQT|","")&amp;IF(W33="✓","Upload XML|","")&amp;IF(X33="✓","Captcha ảnh|","")&amp;IF(Y33="✓","Captcha dạng tích|","")&amp;IF(Z33="✓","Captcha khác (slider/hình)|","")&amp;IF(AA33="✓","Đăng nhập|","")&amp;IF(AB33="✓","Email/SĐT/OTP|","")="","(không có tham số)",SUBSTITUTE(LEFT(IF(O33="✓","Mã tra cứu|","")&amp;IF(P33="✓","MST người bán|","")&amp;IF(Q33="✓","MST người mua|","")&amp;IF(R33="✓","Mẫu số / Ký hiệu|","")&amp;IF(S33="✓","Số HĐ|","")&amp;IF(T33="✓","Ngày lập|","")&amp;IF(U33="✓","Tổng tiền|","")&amp;IF(V33="✓","Mã CQT|","")&amp;IF(W33="✓","Upload XML|","")&amp;IF(X33="✓","Captcha ảnh|","")&amp;IF(Y33="✓","Captcha dạng tích|","")&amp;IF(Z33="✓","Captcha khác (slider/hình)|","")&amp;IF(AA33="✓","Đăng nhập|","")&amp;IF(AB33="✓","Email/SĐT/OTP|",""),LEN(IF(O33="✓","Mã tra cứu|","")&amp;IF(P33="✓","MST người bán|","")&amp;IF(Q33="✓","MST người mua|","")&amp;IF(R33="✓","Mẫu số / Ký hiệu|","")&amp;IF(S33="✓","Số HĐ|","")&amp;IF(T33="✓","Ngày lập|","")&amp;IF(U33="✓","Tổng tiền|","")&amp;IF(V33="✓","Mã CQT|","")&amp;IF(W33="✓","Upload XML|","")&amp;IF(X33="✓","Captcha ảnh|","")&amp;IF(Y33="✓","Captcha dạng tích|","")&amp;IF(Z33="✓","Captcha khác (slider/hình)|","")&amp;IF(AA33="✓","Đăng nhập|","")&amp;IF(AB33="✓","Email/SĐT/OTP|",""))-1),"|"," + ")))</f>
        <v/>
      </c>
      <c r="I33" s="20" t="inlineStr">
        <is>
          <t>Xong</t>
        </is>
      </c>
      <c r="J33" s="17" t="n"/>
      <c r="K33" s="60" t="n">
        <v>0.931</v>
      </c>
      <c r="L33" s="20" t="inlineStr">
        <is>
          <t>g_180x50_vn</t>
        </is>
      </c>
      <c r="M33" s="37" t="n"/>
      <c r="N33" s="38" t="inlineStr">
        <is>
          <t>OK</t>
        </is>
      </c>
      <c r="O33" s="39" t="inlineStr">
        <is>
          <t>✓</t>
        </is>
      </c>
      <c r="P33" s="39" t="inlineStr">
        <is>
          <t>✓</t>
        </is>
      </c>
      <c r="Q33" s="39" t="n"/>
      <c r="R33" s="39" t="n"/>
      <c r="S33" s="39" t="n"/>
      <c r="T33" s="39" t="inlineStr">
        <is>
          <t>✓</t>
        </is>
      </c>
      <c r="U33" s="39" t="n"/>
      <c r="V33" s="39" t="n"/>
      <c r="W33" s="39" t="n"/>
      <c r="X33" s="39" t="inlineStr">
        <is>
          <t>✓</t>
        </is>
      </c>
      <c r="Y33" s="39" t="n"/>
      <c r="Z33" s="39" t="n"/>
      <c r="AA33" s="39" t="n"/>
      <c r="AB33" s="39" t="n"/>
      <c r="AC33" s="39" t="n">
        <v>4</v>
      </c>
      <c r="AD33" s="16" t="inlineStr">
        <is>
          <t>ảnh PNG base64 180x50 (hiển thị 288x80), chữ+số ~7 ký tự, nút 'reCaptcha' chỉ để đổi ảnh</t>
        </is>
      </c>
      <c r="AE33" s="16" t="inlineStr">
        <is>
          <t>Tab 'Tra cứu theo XML': upload XML + captcha ảnh; Tab 'Xác thực XML': upload XML + captcha ảnh; Tab 'Tra cứu chứng từ TNCN'</t>
        </is>
      </c>
      <c r="AF33" s="16" t="inlineStr">
        <is>
          <t>SPA; form: khoảng ngày HĐ (mặc định 1 tháng gần nhất) + Số bảo mật + MST người bán + mã xác thực</t>
        </is>
      </c>
      <c r="AG33" s="16" t="inlineStr">
        <is>
          <t>https://tracuu.v50.vninvoice.vn/</t>
        </is>
      </c>
      <c r="AH33" s="1" t="n"/>
      <c r="AI33" s="1" t="n"/>
      <c r="AJ33">
        <f>IFERROR(IF(INDEX(WBS2!$I$2:$I$25,MATCH($C33,WBS2!$F$2:$F$25,0))="","",INDEX(WBS2!$I$2:$I$25,MATCH($C33,WBS2!$F$2:$F$25,0))),"")</f>
        <v/>
      </c>
      <c r="AK33">
        <f>IFERROR(IF(INDEX(WBS2!$I$27:$I$162,MATCH($C33,WBS2!$F$27:$F$162,0))="","",INDEX(WBS2!$I$27:$I$162,MATCH($C33,WBS2!$F$27:$F$162,0))),"")</f>
        <v/>
      </c>
      <c r="AL33" s="102">
        <f>IFERROR(IF(OR($AK33="Chưa hoàn thành",$AK33="Sẵn sàng"),INDEX(WBS2!$H$27:$H$162,MATCH($C33,WBS2!$F$27:$F$162,0)),""),"")</f>
        <v/>
      </c>
      <c r="AM33">
        <f>IFERROR(IF(INDEX(WBS2!$J$27:$J$162,MATCH($C33,WBS2!$F$27:$F$162,0))="","",INDEX(WBS2!$J$27:$J$162,MATCH($C33,WBS2!$F$27:$F$162,0))),"")</f>
        <v/>
      </c>
      <c r="AN33">
        <f>IFERROR(IF(INDEX(WBS2!$I$163:$I$298,MATCH($C33,WBS2!$F$163:$F$298,0))="","",INDEX(WBS2!$I$163:$I$298,MATCH($C33,WBS2!$F$163:$F$298,0))),"")</f>
        <v/>
      </c>
      <c r="AO33" s="102">
        <f>IFERROR(IF(OR($AN33="Chưa hoàn thành",$AN33="Sẵn sàng"),INDEX(WBS2!$H$163:$H$298,MATCH($C33,WBS2!$F$163:$F$298,0)),""),"")</f>
        <v/>
      </c>
      <c r="AP33">
        <f>IFERROR(IF(INDEX(WBS2!$J$163:$J$298,MATCH($C33,WBS2!$F$163:$F$298,0))="","",INDEX(WBS2!$J$163:$J$298,MATCH($C33,WBS2!$F$163:$F$298,0))),"")</f>
        <v/>
      </c>
    </row>
    <row r="34" hidden="1" ht="14.25" customHeight="1">
      <c r="A34" s="13" t="n">
        <v>33</v>
      </c>
      <c r="B34" s="13" t="inlineStr">
        <is>
          <t>Công ty Cổ phần giải pháp thanh toán Việt Nam</t>
        </is>
      </c>
      <c r="C34" s="14" t="inlineStr">
        <is>
          <t>0102182292</t>
        </is>
      </c>
      <c r="D34" s="13" t="inlineStr">
        <is>
          <t>Tầng 8, số 22, phố Láng Hạ, quận Đống Đa, Tp Hà Nội</t>
        </is>
      </c>
      <c r="E34" s="18" t="inlineStr">
        <is>
          <t>https://www.vnpay.vn</t>
        </is>
      </c>
      <c r="F34" s="20" t="inlineStr">
        <is>
          <t>Không có captcha</t>
        </is>
      </c>
      <c r="G34" s="63" t="inlineStr">
        <is>
          <t>https://portal.vnpayinvoice.vn/</t>
        </is>
      </c>
      <c r="H34" s="35">
        <f>IF(N34&lt;&gt;"OK","",IF(IF(O34="✓","Mã tra cứu|","")&amp;IF(P34="✓","MST người bán|","")&amp;IF(Q34="✓","MST người mua|","")&amp;IF(R34="✓","Mẫu số / Ký hiệu|","")&amp;IF(S34="✓","Số HĐ|","")&amp;IF(T34="✓","Ngày lập|","")&amp;IF(U34="✓","Tổng tiền|","")&amp;IF(V34="✓","Mã CQT|","")&amp;IF(W34="✓","Upload XML|","")&amp;IF(X34="✓","Captcha ảnh|","")&amp;IF(Y34="✓","Captcha dạng tích|","")&amp;IF(Z34="✓","Captcha khác (slider/hình)|","")&amp;IF(AA34="✓","Đăng nhập|","")&amp;IF(AB34="✓","Email/SĐT/OTP|","")="","(không có tham số)",SUBSTITUTE(LEFT(IF(O34="✓","Mã tra cứu|","")&amp;IF(P34="✓","MST người bán|","")&amp;IF(Q34="✓","MST người mua|","")&amp;IF(R34="✓","Mẫu số / Ký hiệu|","")&amp;IF(S34="✓","Số HĐ|","")&amp;IF(T34="✓","Ngày lập|","")&amp;IF(U34="✓","Tổng tiền|","")&amp;IF(V34="✓","Mã CQT|","")&amp;IF(W34="✓","Upload XML|","")&amp;IF(X34="✓","Captcha ảnh|","")&amp;IF(Y34="✓","Captcha dạng tích|","")&amp;IF(Z34="✓","Captcha khác (slider/hình)|","")&amp;IF(AA34="✓","Đăng nhập|","")&amp;IF(AB34="✓","Email/SĐT/OTP|",""),LEN(IF(O34="✓","Mã tra cứu|","")&amp;IF(P34="✓","MST người bán|","")&amp;IF(Q34="✓","MST người mua|","")&amp;IF(R34="✓","Mẫu số / Ký hiệu|","")&amp;IF(S34="✓","Số HĐ|","")&amp;IF(T34="✓","Ngày lập|","")&amp;IF(U34="✓","Tổng tiền|","")&amp;IF(V34="✓","Mã CQT|","")&amp;IF(W34="✓","Upload XML|","")&amp;IF(X34="✓","Captcha ảnh|","")&amp;IF(Y34="✓","Captcha dạng tích|","")&amp;IF(Z34="✓","Captcha khác (slider/hình)|","")&amp;IF(AA34="✓","Đăng nhập|","")&amp;IF(AB34="✓","Email/SĐT/OTP|",""))-1),"|"," + ")))</f>
        <v/>
      </c>
      <c r="I34" s="17" t="n"/>
      <c r="J34" s="17" t="n"/>
      <c r="K34" s="17" t="n"/>
      <c r="L34" s="17" t="n"/>
      <c r="M34" s="37" t="n"/>
      <c r="N34" s="38" t="inlineStr">
        <is>
          <t>OK</t>
        </is>
      </c>
      <c r="O34" s="39" t="inlineStr">
        <is>
          <t>✓</t>
        </is>
      </c>
      <c r="P34" s="39" t="inlineStr">
        <is>
          <t>✓</t>
        </is>
      </c>
      <c r="Q34" s="39" t="n"/>
      <c r="R34" s="39" t="n"/>
      <c r="S34" s="39" t="n"/>
      <c r="T34" s="39" t="n"/>
      <c r="U34" s="39" t="n"/>
      <c r="V34" s="39" t="n"/>
      <c r="W34" s="39" t="n"/>
      <c r="X34" s="39" t="n"/>
      <c r="Y34" s="39" t="n"/>
      <c r="Z34" s="39" t="n"/>
      <c r="AA34" s="39" t="n"/>
      <c r="AB34" s="39" t="n"/>
      <c r="AC34" s="39" t="n">
        <v>2</v>
      </c>
      <c r="AD34" s="16" t="inlineStr">
        <is>
          <t>reCAPTCHA v3 ẩn (size=invisible)</t>
        </is>
      </c>
      <c r="AE34" s="16" t="inlineStr">
        <is>
          <t>Tab 'Tra cứu chứng từ': mã tra cứu chứng từ + MST đơn vị chi trả thu nhập</t>
        </is>
      </c>
      <c r="AF34" s="16" t="inlineStr">
        <is>
          <t>SPA; form: Mã tra cứu hóa đơn + MST người bán</t>
        </is>
      </c>
      <c r="AG34" s="16" t="inlineStr">
        <is>
          <t>https://portal.vnpayinvoice.vn/</t>
        </is>
      </c>
      <c r="AH34" s="1" t="n"/>
      <c r="AI34" s="1" t="n"/>
      <c r="AJ34">
        <f>IFERROR(IF(INDEX(WBS2!$I$2:$I$25,MATCH($C34,WBS2!$F$2:$F$25,0))="","",INDEX(WBS2!$I$2:$I$25,MATCH($C34,WBS2!$F$2:$F$25,0))),"")</f>
        <v/>
      </c>
      <c r="AK34">
        <f>IFERROR(IF(INDEX(WBS2!$I$27:$I$162,MATCH($C34,WBS2!$F$27:$F$162,0))="","",INDEX(WBS2!$I$27:$I$162,MATCH($C34,WBS2!$F$27:$F$162,0))),"")</f>
        <v/>
      </c>
      <c r="AL34" s="102">
        <f>IFERROR(IF(OR($AK34="Chưa hoàn thành",$AK34="Sẵn sàng"),INDEX(WBS2!$H$27:$H$162,MATCH($C34,WBS2!$F$27:$F$162,0)),""),"")</f>
        <v/>
      </c>
      <c r="AM34">
        <f>IFERROR(IF(INDEX(WBS2!$J$27:$J$162,MATCH($C34,WBS2!$F$27:$F$162,0))="","",INDEX(WBS2!$J$27:$J$162,MATCH($C34,WBS2!$F$27:$F$162,0))),"")</f>
        <v/>
      </c>
      <c r="AN34">
        <f>IFERROR(IF(INDEX(WBS2!$I$163:$I$298,MATCH($C34,WBS2!$F$163:$F$298,0))="","",INDEX(WBS2!$I$163:$I$298,MATCH($C34,WBS2!$F$163:$F$298,0))),"")</f>
        <v/>
      </c>
      <c r="AO34" s="102">
        <f>IFERROR(IF(OR($AN34="Chưa hoàn thành",$AN34="Sẵn sàng"),INDEX(WBS2!$H$163:$H$298,MATCH($C34,WBS2!$F$163:$F$298,0)),""),"")</f>
        <v/>
      </c>
      <c r="AP34">
        <f>IFERROR(IF(INDEX(WBS2!$J$163:$J$298,MATCH($C34,WBS2!$F$163:$F$298,0))="","",INDEX(WBS2!$J$163:$J$298,MATCH($C34,WBS2!$F$163:$F$298,0))),"")</f>
        <v/>
      </c>
    </row>
    <row r="35" hidden="1" ht="14.25" customHeight="1">
      <c r="A35" s="13" t="n">
        <v>34</v>
      </c>
      <c r="B35" s="13" t="inlineStr">
        <is>
          <t>Công ty Cổ phần ICORP</t>
        </is>
      </c>
      <c r="C35" s="14" t="inlineStr">
        <is>
          <t>0106870211</t>
        </is>
      </c>
      <c r="D35" s="13" t="inlineStr">
        <is>
          <t>Số 32/21 phố Trương Công Giai, phường Dịch Vọng, quận Cầu Giấy, Tp Hà Nội</t>
        </is>
      </c>
      <c r="E35" s="18" t="inlineStr">
        <is>
          <t>https://vietinvoice.vn</t>
        </is>
      </c>
      <c r="F35" s="20" t="inlineStr">
        <is>
          <t>Không có captcha</t>
        </is>
      </c>
      <c r="G35" s="23" t="inlineStr">
        <is>
          <t>https://tracuu.vietinvoice.vn/#/</t>
        </is>
      </c>
      <c r="H35" s="35">
        <f>IF(N35&lt;&gt;"OK","",IF(IF(O35="✓","Mã tra cứu|","")&amp;IF(P35="✓","MST người bán|","")&amp;IF(Q35="✓","MST người mua|","")&amp;IF(R35="✓","Mẫu số / Ký hiệu|","")&amp;IF(S35="✓","Số HĐ|","")&amp;IF(T35="✓","Ngày lập|","")&amp;IF(U35="✓","Tổng tiền|","")&amp;IF(V35="✓","Mã CQT|","")&amp;IF(W35="✓","Upload XML|","")&amp;IF(X35="✓","Captcha ảnh|","")&amp;IF(Y35="✓","Captcha dạng tích|","")&amp;IF(Z35="✓","Captcha khác (slider/hình)|","")&amp;IF(AA35="✓","Đăng nhập|","")&amp;IF(AB35="✓","Email/SĐT/OTP|","")="","(không có tham số)",SUBSTITUTE(LEFT(IF(O35="✓","Mã tra cứu|","")&amp;IF(P35="✓","MST người bán|","")&amp;IF(Q35="✓","MST người mua|","")&amp;IF(R35="✓","Mẫu số / Ký hiệu|","")&amp;IF(S35="✓","Số HĐ|","")&amp;IF(T35="✓","Ngày lập|","")&amp;IF(U35="✓","Tổng tiền|","")&amp;IF(V35="✓","Mã CQT|","")&amp;IF(W35="✓","Upload XML|","")&amp;IF(X35="✓","Captcha ảnh|","")&amp;IF(Y35="✓","Captcha dạng tích|","")&amp;IF(Z35="✓","Captcha khác (slider/hình)|","")&amp;IF(AA35="✓","Đăng nhập|","")&amp;IF(AB35="✓","Email/SĐT/OTP|",""),LEN(IF(O35="✓","Mã tra cứu|","")&amp;IF(P35="✓","MST người bán|","")&amp;IF(Q35="✓","MST người mua|","")&amp;IF(R35="✓","Mẫu số / Ký hiệu|","")&amp;IF(S35="✓","Số HĐ|","")&amp;IF(T35="✓","Ngày lập|","")&amp;IF(U35="✓","Tổng tiền|","")&amp;IF(V35="✓","Mã CQT|","")&amp;IF(W35="✓","Upload XML|","")&amp;IF(X35="✓","Captcha ảnh|","")&amp;IF(Y35="✓","Captcha dạng tích|","")&amp;IF(Z35="✓","Captcha khác (slider/hình)|","")&amp;IF(AA35="✓","Đăng nhập|","")&amp;IF(AB35="✓","Email/SĐT/OTP|",""))-1),"|"," + ")))</f>
        <v/>
      </c>
      <c r="I35" s="17" t="n"/>
      <c r="J35" s="17" t="n"/>
      <c r="K35" s="17" t="n"/>
      <c r="L35" s="17" t="n"/>
      <c r="M35" s="37" t="n"/>
      <c r="N35" s="38" t="inlineStr">
        <is>
          <t>OK</t>
        </is>
      </c>
      <c r="O35" s="39" t="inlineStr">
        <is>
          <t>✓</t>
        </is>
      </c>
      <c r="P35" s="39" t="n"/>
      <c r="Q35" s="39" t="n"/>
      <c r="R35" s="39" t="n"/>
      <c r="S35" s="39" t="n"/>
      <c r="T35" s="39" t="n"/>
      <c r="U35" s="39" t="n"/>
      <c r="V35" s="39" t="n"/>
      <c r="W35" s="39" t="n"/>
      <c r="X35" s="39" t="n"/>
      <c r="Y35" s="39" t="n"/>
      <c r="Z35" s="39" t="n"/>
      <c r="AA35" s="39" t="n"/>
      <c r="AB35" s="39" t="n"/>
      <c r="AC35" s="39" t="n">
        <v>1</v>
      </c>
      <c r="AD35" s="16" t="inlineStr">
        <is>
          <t>không có</t>
        </is>
      </c>
      <c r="AE35" s="16" t="n"/>
      <c r="AF35" s="16" t="inlineStr">
        <is>
          <t>SPA (HTML gốc ~3.5KB); chỉ 1 ô 'Nhập mã tra cứu', không thấy captcha trước khi gửi</t>
        </is>
      </c>
      <c r="AG35" s="16" t="inlineStr">
        <is>
          <t>https://tracuu.vietinvoice.vn/#/</t>
        </is>
      </c>
      <c r="AH35" s="1" t="n"/>
      <c r="AI35" s="1" t="n"/>
      <c r="AJ35">
        <f>IFERROR(IF(INDEX(WBS2!$I$2:$I$25,MATCH($C35,WBS2!$F$2:$F$25,0))="","",INDEX(WBS2!$I$2:$I$25,MATCH($C35,WBS2!$F$2:$F$25,0))),"")</f>
        <v/>
      </c>
      <c r="AK35">
        <f>IFERROR(IF(INDEX(WBS2!$I$27:$I$162,MATCH($C35,WBS2!$F$27:$F$162,0))="","",INDEX(WBS2!$I$27:$I$162,MATCH($C35,WBS2!$F$27:$F$162,0))),"")</f>
        <v/>
      </c>
      <c r="AL35" s="102">
        <f>IFERROR(IF(OR($AK35="Chưa hoàn thành",$AK35="Sẵn sàng"),INDEX(WBS2!$H$27:$H$162,MATCH($C35,WBS2!$F$27:$F$162,0)),""),"")</f>
        <v/>
      </c>
      <c r="AM35">
        <f>IFERROR(IF(INDEX(WBS2!$J$27:$J$162,MATCH($C35,WBS2!$F$27:$F$162,0))="","",INDEX(WBS2!$J$27:$J$162,MATCH($C35,WBS2!$F$27:$F$162,0))),"")</f>
        <v/>
      </c>
      <c r="AN35">
        <f>IFERROR(IF(INDEX(WBS2!$I$163:$I$298,MATCH($C35,WBS2!$F$163:$F$298,0))="","",INDEX(WBS2!$I$163:$I$298,MATCH($C35,WBS2!$F$163:$F$298,0))),"")</f>
        <v/>
      </c>
      <c r="AO35" s="102">
        <f>IFERROR(IF(OR($AN35="Chưa hoàn thành",$AN35="Sẵn sàng"),INDEX(WBS2!$H$163:$H$298,MATCH($C35,WBS2!$F$163:$F$298,0)),""),"")</f>
        <v/>
      </c>
      <c r="AP35">
        <f>IFERROR(IF(INDEX(WBS2!$J$163:$J$298,MATCH($C35,WBS2!$F$163:$F$298,0))="","",INDEX(WBS2!$J$163:$J$298,MATCH($C35,WBS2!$F$163:$F$298,0))),"")</f>
        <v/>
      </c>
    </row>
    <row r="36" hidden="1" ht="14.25" customHeight="1">
      <c r="A36" s="13" t="n">
        <v>35</v>
      </c>
      <c r="B36" s="13" t="inlineStr">
        <is>
          <t>Công ty Cổ phần đầu tư và công nghệ idocNet</t>
        </is>
      </c>
      <c r="C36" s="14" t="inlineStr">
        <is>
          <t>0104614692</t>
        </is>
      </c>
      <c r="D36" s="13" t="inlineStr">
        <is>
          <t>Số 27 Huỳnh Thúc Kháng, Quận Đống Đa, Tp Hà Nội</t>
        </is>
      </c>
      <c r="E36" s="18" t="inlineStr">
        <is>
          <t>https://hoadontvan.com</t>
        </is>
      </c>
      <c r="F36" s="20" t="inlineStr">
        <is>
          <t>captcha dạng tích</t>
        </is>
      </c>
      <c r="G36" s="23" t="inlineStr">
        <is>
          <t>https://hoadontvan.com/TraCuu</t>
        </is>
      </c>
      <c r="H36" s="35">
        <f>IF(N36&lt;&gt;"OK","",IF(IF(O36="✓","Mã tra cứu|","")&amp;IF(P36="✓","MST người bán|","")&amp;IF(Q36="✓","MST người mua|","")&amp;IF(R36="✓","Mẫu số / Ký hiệu|","")&amp;IF(S36="✓","Số HĐ|","")&amp;IF(T36="✓","Ngày lập|","")&amp;IF(U36="✓","Tổng tiền|","")&amp;IF(V36="✓","Mã CQT|","")&amp;IF(W36="✓","Upload XML|","")&amp;IF(X36="✓","Captcha ảnh|","")&amp;IF(Y36="✓","Captcha dạng tích|","")&amp;IF(Z36="✓","Captcha khác (slider/hình)|","")&amp;IF(AA36="✓","Đăng nhập|","")&amp;IF(AB36="✓","Email/SĐT/OTP|","")="","(không có tham số)",SUBSTITUTE(LEFT(IF(O36="✓","Mã tra cứu|","")&amp;IF(P36="✓","MST người bán|","")&amp;IF(Q36="✓","MST người mua|","")&amp;IF(R36="✓","Mẫu số / Ký hiệu|","")&amp;IF(S36="✓","Số HĐ|","")&amp;IF(T36="✓","Ngày lập|","")&amp;IF(U36="✓","Tổng tiền|","")&amp;IF(V36="✓","Mã CQT|","")&amp;IF(W36="✓","Upload XML|","")&amp;IF(X36="✓","Captcha ảnh|","")&amp;IF(Y36="✓","Captcha dạng tích|","")&amp;IF(Z36="✓","Captcha khác (slider/hình)|","")&amp;IF(AA36="✓","Đăng nhập|","")&amp;IF(AB36="✓","Email/SĐT/OTP|",""),LEN(IF(O36="✓","Mã tra cứu|","")&amp;IF(P36="✓","MST người bán|","")&amp;IF(Q36="✓","MST người mua|","")&amp;IF(R36="✓","Mẫu số / Ký hiệu|","")&amp;IF(S36="✓","Số HĐ|","")&amp;IF(T36="✓","Ngày lập|","")&amp;IF(U36="✓","Tổng tiền|","")&amp;IF(V36="✓","Mã CQT|","")&amp;IF(W36="✓","Upload XML|","")&amp;IF(X36="✓","Captcha ảnh|","")&amp;IF(Y36="✓","Captcha dạng tích|","")&amp;IF(Z36="✓","Captcha khác (slider/hình)|","")&amp;IF(AA36="✓","Đăng nhập|","")&amp;IF(AB36="✓","Email/SĐT/OTP|",""))-1),"|"," + ")))</f>
        <v/>
      </c>
      <c r="I36" s="17" t="n"/>
      <c r="J36" s="17" t="n"/>
      <c r="K36" s="17" t="n"/>
      <c r="L36" s="17" t="n"/>
      <c r="M36" s="37" t="n"/>
      <c r="N36" s="38" t="inlineStr">
        <is>
          <t>OK</t>
        </is>
      </c>
      <c r="O36" s="39" t="inlineStr">
        <is>
          <t>✓</t>
        </is>
      </c>
      <c r="P36" s="39" t="n"/>
      <c r="Q36" s="39" t="n"/>
      <c r="R36" s="39" t="n"/>
      <c r="S36" s="39" t="n"/>
      <c r="T36" s="39" t="n"/>
      <c r="U36" s="39" t="n"/>
      <c r="V36" s="39" t="n"/>
      <c r="W36" s="39" t="n"/>
      <c r="X36" s="39" t="n"/>
      <c r="Y36" s="39" t="inlineStr">
        <is>
          <t>✓</t>
        </is>
      </c>
      <c r="Z36" s="39" t="n"/>
      <c r="AA36" s="39" t="n"/>
      <c r="AB36" s="39" t="n"/>
      <c r="AC36" s="39" t="n">
        <v>2</v>
      </c>
      <c r="AD36" s="16" t="inlineStr">
        <is>
          <t>reCAPTCHA v2 checkbox</t>
        </is>
      </c>
      <c r="AE36" s="16" t="inlineStr">
        <is>
          <t>Radio 'Từ file': upload file (XML)</t>
        </is>
      </c>
      <c r="AF36" s="16" t="inlineStr">
        <is>
          <t>Thương hiệu Q-invoice; radio mặc định 'Theo mã tra cứu hóa đơn'</t>
        </is>
      </c>
      <c r="AG36" s="16" t="inlineStr">
        <is>
          <t>https://hoadontvan.com/TraCuu</t>
        </is>
      </c>
      <c r="AH36" s="1" t="n"/>
      <c r="AI36" s="1" t="n"/>
      <c r="AJ36">
        <f>IFERROR(IF(INDEX(WBS2!$I$2:$I$25,MATCH($C36,WBS2!$F$2:$F$25,0))="","",INDEX(WBS2!$I$2:$I$25,MATCH($C36,WBS2!$F$2:$F$25,0))),"")</f>
        <v/>
      </c>
      <c r="AK36">
        <f>IFERROR(IF(INDEX(WBS2!$I$27:$I$162,MATCH($C36,WBS2!$F$27:$F$162,0))="","",INDEX(WBS2!$I$27:$I$162,MATCH($C36,WBS2!$F$27:$F$162,0))),"")</f>
        <v/>
      </c>
      <c r="AL36" s="102">
        <f>IFERROR(IF(OR($AK36="Chưa hoàn thành",$AK36="Sẵn sàng"),INDEX(WBS2!$H$27:$H$162,MATCH($C36,WBS2!$F$27:$F$162,0)),""),"")</f>
        <v/>
      </c>
      <c r="AM36">
        <f>IFERROR(IF(INDEX(WBS2!$J$27:$J$162,MATCH($C36,WBS2!$F$27:$F$162,0))="","",INDEX(WBS2!$J$27:$J$162,MATCH($C36,WBS2!$F$27:$F$162,0))),"")</f>
        <v/>
      </c>
      <c r="AN36">
        <f>IFERROR(IF(INDEX(WBS2!$I$163:$I$298,MATCH($C36,WBS2!$F$163:$F$298,0))="","",INDEX(WBS2!$I$163:$I$298,MATCH($C36,WBS2!$F$163:$F$298,0))),"")</f>
        <v/>
      </c>
      <c r="AO36" s="102">
        <f>IFERROR(IF(OR($AN36="Chưa hoàn thành",$AN36="Sẵn sàng"),INDEX(WBS2!$H$163:$H$298,MATCH($C36,WBS2!$F$163:$F$298,0)),""),"")</f>
        <v/>
      </c>
      <c r="AP36">
        <f>IFERROR(IF(INDEX(WBS2!$J$163:$J$298,MATCH($C36,WBS2!$F$163:$F$298,0))="","",INDEX(WBS2!$J$163:$J$298,MATCH($C36,WBS2!$F$163:$F$298,0))),"")</f>
        <v/>
      </c>
    </row>
    <row r="37" ht="14.25" customHeight="1">
      <c r="A37" s="13" t="n">
        <v>36</v>
      </c>
      <c r="B37" s="13" t="inlineStr">
        <is>
          <t>Công ty Cổ phần chữ ký số VI NA</t>
        </is>
      </c>
      <c r="C37" s="14" t="inlineStr">
        <is>
          <t>0309612872</t>
        </is>
      </c>
      <c r="D37" s="13" t="inlineStr">
        <is>
          <t>41A Nguyễn Phi Khanh, phường Tân Định, quận 1, Tp Hồ Chí Minh</t>
        </is>
      </c>
      <c r="E37" s="18" t="inlineStr">
        <is>
          <t>www.smartsign.com.vn</t>
        </is>
      </c>
      <c r="F37" s="20" t="inlineStr">
        <is>
          <t>có captcha</t>
        </is>
      </c>
      <c r="G37" s="23" t="inlineStr">
        <is>
          <t>https://tracuuhd.smartsign.com.vn/</t>
        </is>
      </c>
      <c r="H37" s="35">
        <f>IF(N37&lt;&gt;"OK","",IF(IF(O37="✓","Mã tra cứu|","")&amp;IF(P37="✓","MST người bán|","")&amp;IF(Q37="✓","MST người mua|","")&amp;IF(R37="✓","Mẫu số / Ký hiệu|","")&amp;IF(S37="✓","Số HĐ|","")&amp;IF(T37="✓","Ngày lập|","")&amp;IF(U37="✓","Tổng tiền|","")&amp;IF(V37="✓","Mã CQT|","")&amp;IF(W37="✓","Upload XML|","")&amp;IF(X37="✓","Captcha ảnh|","")&amp;IF(Y37="✓","Captcha dạng tích|","")&amp;IF(Z37="✓","Captcha khác (slider/hình)|","")&amp;IF(AA37="✓","Đăng nhập|","")&amp;IF(AB37="✓","Email/SĐT/OTP|","")="","(không có tham số)",SUBSTITUTE(LEFT(IF(O37="✓","Mã tra cứu|","")&amp;IF(P37="✓","MST người bán|","")&amp;IF(Q37="✓","MST người mua|","")&amp;IF(R37="✓","Mẫu số / Ký hiệu|","")&amp;IF(S37="✓","Số HĐ|","")&amp;IF(T37="✓","Ngày lập|","")&amp;IF(U37="✓","Tổng tiền|","")&amp;IF(V37="✓","Mã CQT|","")&amp;IF(W37="✓","Upload XML|","")&amp;IF(X37="✓","Captcha ảnh|","")&amp;IF(Y37="✓","Captcha dạng tích|","")&amp;IF(Z37="✓","Captcha khác (slider/hình)|","")&amp;IF(AA37="✓","Đăng nhập|","")&amp;IF(AB37="✓","Email/SĐT/OTP|",""),LEN(IF(O37="✓","Mã tra cứu|","")&amp;IF(P37="✓","MST người bán|","")&amp;IF(Q37="✓","MST người mua|","")&amp;IF(R37="✓","Mẫu số / Ký hiệu|","")&amp;IF(S37="✓","Số HĐ|","")&amp;IF(T37="✓","Ngày lập|","")&amp;IF(U37="✓","Tổng tiền|","")&amp;IF(V37="✓","Mã CQT|","")&amp;IF(W37="✓","Upload XML|","")&amp;IF(X37="✓","Captcha ảnh|","")&amp;IF(Y37="✓","Captcha dạng tích|","")&amp;IF(Z37="✓","Captcha khác (slider/hình)|","")&amp;IF(AA37="✓","Đăng nhập|","")&amp;IF(AB37="✓","Email/SĐT/OTP|",""))-1),"|"," + ")))</f>
        <v/>
      </c>
      <c r="I37" s="20" t="inlineStr">
        <is>
          <t>Xong</t>
        </is>
      </c>
      <c r="J37" s="65" t="inlineStr">
        <is>
          <t>https://tracuuhd.smartsign.com.vn/Pages/CImage.aspx</t>
        </is>
      </c>
      <c r="K37" s="60" t="n">
        <v>0.0234</v>
      </c>
      <c r="L37" s="20" t="inlineStr">
        <is>
          <t>g_150x39</t>
        </is>
      </c>
      <c r="M37" s="37" t="n"/>
      <c r="N37" s="38" t="inlineStr">
        <is>
          <t>OK</t>
        </is>
      </c>
      <c r="O37" s="39" t="inlineStr">
        <is>
          <t>✓</t>
        </is>
      </c>
      <c r="P37" s="39" t="n"/>
      <c r="Q37" s="39" t="n"/>
      <c r="R37" s="39" t="n"/>
      <c r="S37" s="39" t="n"/>
      <c r="T37" s="39" t="n"/>
      <c r="U37" s="39" t="n"/>
      <c r="V37" s="39" t="n"/>
      <c r="W37" s="39" t="n"/>
      <c r="X37" s="39" t="inlineStr">
        <is>
          <t>✓</t>
        </is>
      </c>
      <c r="Y37" s="39" t="n"/>
      <c r="Z37" s="39" t="n"/>
      <c r="AA37" s="39" t="n"/>
      <c r="AB37" s="39" t="n"/>
      <c r="AC37" s="39" t="n">
        <v>2</v>
      </c>
      <c r="AD37" s="16" t="inlineStr">
        <is>
          <t>ảnh 150x39 (Pages/CImage.aspx), ô 'Mã xác nhận'</t>
        </is>
      </c>
      <c r="AE37" s="16" t="inlineStr">
        <is>
          <t>Tab 'Chọn file XML': upload XML (có captcha ảnh)</t>
        </is>
      </c>
      <c r="AF37" s="16" t="inlineStr">
        <is>
          <t>ASP.NET WebForms; ô 'Mã nhận hóa đơn'. Có nạp recaptcha/api.js nhưng không thấy widget</t>
        </is>
      </c>
      <c r="AG37" s="16" t="inlineStr">
        <is>
          <t>https://tracuuhd.smartsign.com.vn/</t>
        </is>
      </c>
      <c r="AH37" s="1" t="n"/>
      <c r="AI37" s="1" t="n"/>
      <c r="AJ37">
        <f>IFERROR(IF(INDEX(WBS2!$I$2:$I$25,MATCH($C37,WBS2!$F$2:$F$25,0))="","",INDEX(WBS2!$I$2:$I$25,MATCH($C37,WBS2!$F$2:$F$25,0))),"")</f>
        <v/>
      </c>
      <c r="AK37">
        <f>IFERROR(IF(INDEX(WBS2!$I$27:$I$162,MATCH($C37,WBS2!$F$27:$F$162,0))="","",INDEX(WBS2!$I$27:$I$162,MATCH($C37,WBS2!$F$27:$F$162,0))),"")</f>
        <v/>
      </c>
      <c r="AL37" s="102">
        <f>IFERROR(IF(OR($AK37="Chưa hoàn thành",$AK37="Sẵn sàng"),INDEX(WBS2!$H$27:$H$162,MATCH($C37,WBS2!$F$27:$F$162,0)),""),"")</f>
        <v/>
      </c>
      <c r="AM37">
        <f>IFERROR(IF(INDEX(WBS2!$J$27:$J$162,MATCH($C37,WBS2!$F$27:$F$162,0))="","",INDEX(WBS2!$J$27:$J$162,MATCH($C37,WBS2!$F$27:$F$162,0))),"")</f>
        <v/>
      </c>
      <c r="AN37">
        <f>IFERROR(IF(INDEX(WBS2!$I$163:$I$298,MATCH($C37,WBS2!$F$163:$F$298,0))="","",INDEX(WBS2!$I$163:$I$298,MATCH($C37,WBS2!$F$163:$F$298,0))),"")</f>
        <v/>
      </c>
      <c r="AO37" s="102">
        <f>IFERROR(IF(OR($AN37="Chưa hoàn thành",$AN37="Sẵn sàng"),INDEX(WBS2!$H$163:$H$298,MATCH($C37,WBS2!$F$163:$F$298,0)),""),"")</f>
        <v/>
      </c>
      <c r="AP37">
        <f>IFERROR(IF(INDEX(WBS2!$J$163:$J$298,MATCH($C37,WBS2!$F$163:$F$298,0))="","",INDEX(WBS2!$J$163:$J$298,MATCH($C37,WBS2!$F$163:$F$298,0))),"")</f>
        <v/>
      </c>
    </row>
    <row r="38" hidden="1" ht="14.25" customHeight="1">
      <c r="A38" s="13" t="n">
        <v>37</v>
      </c>
      <c r="B38" s="13" t="inlineStr">
        <is>
          <t>Công ty Cổ phần TS24</t>
        </is>
      </c>
      <c r="C38" s="14" t="inlineStr">
        <is>
          <t>0309478306</t>
        </is>
      </c>
      <c r="D38" s="13" t="inlineStr">
        <is>
          <t>Số 285/94B Cách Mạnh Tháng Tám, phường 12, quận 10, Tp Hồ Chí Minh</t>
        </is>
      </c>
      <c r="E38" s="18" t="inlineStr">
        <is>
          <t>https://www.xuathoadon.vn/</t>
        </is>
      </c>
      <c r="F38" s="20" t="inlineStr">
        <is>
          <t>Không có captcha</t>
        </is>
      </c>
      <c r="G38" s="23" t="inlineStr">
        <is>
          <t>https://tracuu.xuathoadon.vn/</t>
        </is>
      </c>
      <c r="H38" s="35">
        <f>IF(N38&lt;&gt;"OK","",IF(IF(O38="✓","Mã tra cứu|","")&amp;IF(P38="✓","MST người bán|","")&amp;IF(Q38="✓","MST người mua|","")&amp;IF(R38="✓","Mẫu số / Ký hiệu|","")&amp;IF(S38="✓","Số HĐ|","")&amp;IF(T38="✓","Ngày lập|","")&amp;IF(U38="✓","Tổng tiền|","")&amp;IF(V38="✓","Mã CQT|","")&amp;IF(W38="✓","Upload XML|","")&amp;IF(X38="✓","Captcha ảnh|","")&amp;IF(Y38="✓","Captcha dạng tích|","")&amp;IF(Z38="✓","Captcha khác (slider/hình)|","")&amp;IF(AA38="✓","Đăng nhập|","")&amp;IF(AB38="✓","Email/SĐT/OTP|","")="","(không có tham số)",SUBSTITUTE(LEFT(IF(O38="✓","Mã tra cứu|","")&amp;IF(P38="✓","MST người bán|","")&amp;IF(Q38="✓","MST người mua|","")&amp;IF(R38="✓","Mẫu số / Ký hiệu|","")&amp;IF(S38="✓","Số HĐ|","")&amp;IF(T38="✓","Ngày lập|","")&amp;IF(U38="✓","Tổng tiền|","")&amp;IF(V38="✓","Mã CQT|","")&amp;IF(W38="✓","Upload XML|","")&amp;IF(X38="✓","Captcha ảnh|","")&amp;IF(Y38="✓","Captcha dạng tích|","")&amp;IF(Z38="✓","Captcha khác (slider/hình)|","")&amp;IF(AA38="✓","Đăng nhập|","")&amp;IF(AB38="✓","Email/SĐT/OTP|",""),LEN(IF(O38="✓","Mã tra cứu|","")&amp;IF(P38="✓","MST người bán|","")&amp;IF(Q38="✓","MST người mua|","")&amp;IF(R38="✓","Mẫu số / Ký hiệu|","")&amp;IF(S38="✓","Số HĐ|","")&amp;IF(T38="✓","Ngày lập|","")&amp;IF(U38="✓","Tổng tiền|","")&amp;IF(V38="✓","Mã CQT|","")&amp;IF(W38="✓","Upload XML|","")&amp;IF(X38="✓","Captcha ảnh|","")&amp;IF(Y38="✓","Captcha dạng tích|","")&amp;IF(Z38="✓","Captcha khác (slider/hình)|","")&amp;IF(AA38="✓","Đăng nhập|","")&amp;IF(AB38="✓","Email/SĐT/OTP|",""))-1),"|"," + ")))</f>
        <v/>
      </c>
      <c r="I38" s="17" t="n"/>
      <c r="J38" s="17" t="n"/>
      <c r="K38" s="17" t="n"/>
      <c r="L38" s="17" t="n"/>
      <c r="M38" s="37" t="n"/>
      <c r="N38" s="38" t="inlineStr">
        <is>
          <t>OK</t>
        </is>
      </c>
      <c r="O38" s="39" t="inlineStr">
        <is>
          <t>✓</t>
        </is>
      </c>
      <c r="P38" s="39" t="n"/>
      <c r="Q38" s="39" t="n"/>
      <c r="R38" s="39" t="n"/>
      <c r="S38" s="39" t="n"/>
      <c r="T38" s="39" t="n"/>
      <c r="U38" s="39" t="n"/>
      <c r="V38" s="39" t="n"/>
      <c r="W38" s="39" t="n"/>
      <c r="X38" s="39" t="n"/>
      <c r="Y38" s="39" t="inlineStr">
        <is>
          <t>✓</t>
        </is>
      </c>
      <c r="Z38" s="39" t="n"/>
      <c r="AA38" s="39" t="n"/>
      <c r="AB38" s="39" t="n"/>
      <c r="AC38" s="39" t="n">
        <v>2</v>
      </c>
      <c r="AD38" s="16" t="inlineStr">
        <is>
          <t>Cloudflare Turnstile (widget hiện, chế độ auto)</t>
        </is>
      </c>
      <c r="AE38" s="16" t="inlineStr">
        <is>
          <t>'Xem hóa đơn gốc' (/original): upload file XML; trang /pit tra chứng từ TNCN</t>
        </is>
      </c>
      <c r="AF38" s="16" t="inlineStr">
        <is>
          <t>Form: 1 ô 'Mã tra cứu' + Turnstile</t>
        </is>
      </c>
      <c r="AG38" s="16" t="inlineStr">
        <is>
          <t>https://tracuu.xuathoadon.vn/</t>
        </is>
      </c>
      <c r="AH38" s="1" t="n"/>
      <c r="AI38" s="1" t="n"/>
      <c r="AJ38">
        <f>IFERROR(IF(INDEX(WBS2!$I$2:$I$25,MATCH($C38,WBS2!$F$2:$F$25,0))="","",INDEX(WBS2!$I$2:$I$25,MATCH($C38,WBS2!$F$2:$F$25,0))),"")</f>
        <v/>
      </c>
      <c r="AK38">
        <f>IFERROR(IF(INDEX(WBS2!$I$27:$I$162,MATCH($C38,WBS2!$F$27:$F$162,0))="","",INDEX(WBS2!$I$27:$I$162,MATCH($C38,WBS2!$F$27:$F$162,0))),"")</f>
        <v/>
      </c>
      <c r="AL38" s="102">
        <f>IFERROR(IF(OR($AK38="Chưa hoàn thành",$AK38="Sẵn sàng"),INDEX(WBS2!$H$27:$H$162,MATCH($C38,WBS2!$F$27:$F$162,0)),""),"")</f>
        <v/>
      </c>
      <c r="AM38">
        <f>IFERROR(IF(INDEX(WBS2!$J$27:$J$162,MATCH($C38,WBS2!$F$27:$F$162,0))="","",INDEX(WBS2!$J$27:$J$162,MATCH($C38,WBS2!$F$27:$F$162,0))),"")</f>
        <v/>
      </c>
      <c r="AN38">
        <f>IFERROR(IF(INDEX(WBS2!$I$163:$I$298,MATCH($C38,WBS2!$F$163:$F$298,0))="","",INDEX(WBS2!$I$163:$I$298,MATCH($C38,WBS2!$F$163:$F$298,0))),"")</f>
        <v/>
      </c>
      <c r="AO38" s="102">
        <f>IFERROR(IF(OR($AN38="Chưa hoàn thành",$AN38="Sẵn sàng"),INDEX(WBS2!$H$163:$H$298,MATCH($C38,WBS2!$F$163:$F$298,0)),""),"")</f>
        <v/>
      </c>
      <c r="AP38">
        <f>IFERROR(IF(INDEX(WBS2!$J$163:$J$298,MATCH($C38,WBS2!$F$163:$F$298,0))="","",INDEX(WBS2!$J$163:$J$298,MATCH($C38,WBS2!$F$163:$F$298,0))),"")</f>
        <v/>
      </c>
    </row>
    <row r="39" hidden="1" ht="14.25" customHeight="1">
      <c r="A39" s="13" t="n">
        <v>38</v>
      </c>
      <c r="B39" s="13" t="inlineStr">
        <is>
          <t>Công ty TNHH Hóa đơn điện tử TCT</t>
        </is>
      </c>
      <c r="C39" s="14" t="inlineStr">
        <is>
          <t>0315298333</t>
        </is>
      </c>
      <c r="D39" s="13" t="inlineStr">
        <is>
          <t>114-116 Lưu Chí Hiếu, phường Tây Thạnh, quận Tân Phú, Tp Hồ Chí Minh</t>
        </is>
      </c>
      <c r="E39" s="77" t="inlineStr">
        <is>
          <t xml:space="preserve">https://www.tctinvoice.com </t>
        </is>
      </c>
      <c r="F39" s="20" t="inlineStr">
        <is>
          <t>site đã đổi chủ (redirect sang sanmuasam.com)</t>
        </is>
      </c>
      <c r="G39" s="20" t="n"/>
      <c r="H39" s="35">
        <f>IF(N39&lt;&gt;"OK","",IF(IF(O39="✓","Mã tra cứu|","")&amp;IF(P39="✓","MST người bán|","")&amp;IF(Q39="✓","MST người mua|","")&amp;IF(R39="✓","Mẫu số / Ký hiệu|","")&amp;IF(S39="✓","Số HĐ|","")&amp;IF(T39="✓","Ngày lập|","")&amp;IF(U39="✓","Tổng tiền|","")&amp;IF(V39="✓","Mã CQT|","")&amp;IF(W39="✓","Upload XML|","")&amp;IF(X39="✓","Captcha ảnh|","")&amp;IF(Y39="✓","Captcha dạng tích|","")&amp;IF(Z39="✓","Captcha khác (slider/hình)|","")&amp;IF(AA39="✓","Đăng nhập|","")&amp;IF(AB39="✓","Email/SĐT/OTP|","")="","(không có tham số)",SUBSTITUTE(LEFT(IF(O39="✓","Mã tra cứu|","")&amp;IF(P39="✓","MST người bán|","")&amp;IF(Q39="✓","MST người mua|","")&amp;IF(R39="✓","Mẫu số / Ký hiệu|","")&amp;IF(S39="✓","Số HĐ|","")&amp;IF(T39="✓","Ngày lập|","")&amp;IF(U39="✓","Tổng tiền|","")&amp;IF(V39="✓","Mã CQT|","")&amp;IF(W39="✓","Upload XML|","")&amp;IF(X39="✓","Captcha ảnh|","")&amp;IF(Y39="✓","Captcha dạng tích|","")&amp;IF(Z39="✓","Captcha khác (slider/hình)|","")&amp;IF(AA39="✓","Đăng nhập|","")&amp;IF(AB39="✓","Email/SĐT/OTP|",""),LEN(IF(O39="✓","Mã tra cứu|","")&amp;IF(P39="✓","MST người bán|","")&amp;IF(Q39="✓","MST người mua|","")&amp;IF(R39="✓","Mẫu số / Ký hiệu|","")&amp;IF(S39="✓","Số HĐ|","")&amp;IF(T39="✓","Ngày lập|","")&amp;IF(U39="✓","Tổng tiền|","")&amp;IF(V39="✓","Mã CQT|","")&amp;IF(W39="✓","Upload XML|","")&amp;IF(X39="✓","Captcha ảnh|","")&amp;IF(Y39="✓","Captcha dạng tích|","")&amp;IF(Z39="✓","Captcha khác (slider/hình)|","")&amp;IF(AA39="✓","Đăng nhập|","")&amp;IF(AB39="✓","Email/SĐT/OTP|",""))-1),"|"," + ")))</f>
        <v/>
      </c>
      <c r="I39" s="17" t="n"/>
      <c r="J39" s="17" t="n"/>
      <c r="K39" s="17" t="n"/>
      <c r="L39" s="17" t="n"/>
      <c r="M39" s="37" t="n"/>
      <c r="N39" s="38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7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1" t="n"/>
      <c r="AI39" s="1" t="n"/>
      <c r="AJ39">
        <f>IFERROR(IF(INDEX(WBS2!$I$2:$I$25,MATCH($C39,WBS2!$F$2:$F$25,0))="","",INDEX(WBS2!$I$2:$I$25,MATCH($C39,WBS2!$F$2:$F$25,0))),"")</f>
        <v/>
      </c>
      <c r="AK39">
        <f>IFERROR(IF(INDEX(WBS2!$I$27:$I$162,MATCH($C39,WBS2!$F$27:$F$162,0))="","",INDEX(WBS2!$I$27:$I$162,MATCH($C39,WBS2!$F$27:$F$162,0))),"")</f>
        <v/>
      </c>
      <c r="AL39" s="102">
        <f>IFERROR(IF(OR($AK39="Chưa hoàn thành",$AK39="Sẵn sàng"),INDEX(WBS2!$H$27:$H$162,MATCH($C39,WBS2!$F$27:$F$162,0)),""),"")</f>
        <v/>
      </c>
      <c r="AM39">
        <f>IFERROR(IF(INDEX(WBS2!$J$27:$J$162,MATCH($C39,WBS2!$F$27:$F$162,0))="","",INDEX(WBS2!$J$27:$J$162,MATCH($C39,WBS2!$F$27:$F$162,0))),"")</f>
        <v/>
      </c>
      <c r="AN39">
        <f>IFERROR(IF(INDEX(WBS2!$I$163:$I$298,MATCH($C39,WBS2!$F$163:$F$298,0))="","",INDEX(WBS2!$I$163:$I$298,MATCH($C39,WBS2!$F$163:$F$298,0))),"")</f>
        <v/>
      </c>
      <c r="AO39" s="102">
        <f>IFERROR(IF(OR($AN39="Chưa hoàn thành",$AN39="Sẵn sàng"),INDEX(WBS2!$H$163:$H$298,MATCH($C39,WBS2!$F$163:$F$298,0)),""),"")</f>
        <v/>
      </c>
      <c r="AP39">
        <f>IFERROR(IF(INDEX(WBS2!$J$163:$J$298,MATCH($C39,WBS2!$F$163:$F$298,0))="","",INDEX(WBS2!$J$163:$J$298,MATCH($C39,WBS2!$F$163:$F$298,0))),"")</f>
        <v/>
      </c>
    </row>
    <row r="40" hidden="1" ht="14.25" customHeight="1">
      <c r="A40" s="13" t="n">
        <v>39</v>
      </c>
      <c r="B40" s="13" t="inlineStr">
        <is>
          <t>Công ty TNHH Tin học Tia lửa Việt</t>
        </is>
      </c>
      <c r="C40" s="14" t="inlineStr">
        <is>
          <t>0303609305</t>
        </is>
      </c>
      <c r="D40" s="13" t="inlineStr">
        <is>
          <t>14 đường 3C, phường An Lạc A, quận Bình Tân, Tp Hồ Chí Minh</t>
        </is>
      </c>
      <c r="E40" s="18" t="inlineStr">
        <is>
          <t>https://ihoadondientu.com</t>
        </is>
      </c>
      <c r="F40" s="20" t="inlineStr">
        <is>
          <t>Không có captcha</t>
        </is>
      </c>
      <c r="G40" s="20" t="inlineStr">
        <is>
          <t>https://ihoadondientu.com/Tra-cuu</t>
        </is>
      </c>
      <c r="H40" s="35">
        <f>IF(N40&lt;&gt;"OK","",IF(IF(O40="✓","Mã tra cứu|","")&amp;IF(P40="✓","MST người bán|","")&amp;IF(Q40="✓","MST người mua|","")&amp;IF(R40="✓","Mẫu số / Ký hiệu|","")&amp;IF(S40="✓","Số HĐ|","")&amp;IF(T40="✓","Ngày lập|","")&amp;IF(U40="✓","Tổng tiền|","")&amp;IF(V40="✓","Mã CQT|","")&amp;IF(W40="✓","Upload XML|","")&amp;IF(X40="✓","Captcha ảnh|","")&amp;IF(Y40="✓","Captcha dạng tích|","")&amp;IF(Z40="✓","Captcha khác (slider/hình)|","")&amp;IF(AA40="✓","Đăng nhập|","")&amp;IF(AB40="✓","Email/SĐT/OTP|","")="","(không có tham số)",SUBSTITUTE(LEFT(IF(O40="✓","Mã tra cứu|","")&amp;IF(P40="✓","MST người bán|","")&amp;IF(Q40="✓","MST người mua|","")&amp;IF(R40="✓","Mẫu số / Ký hiệu|","")&amp;IF(S40="✓","Số HĐ|","")&amp;IF(T40="✓","Ngày lập|","")&amp;IF(U40="✓","Tổng tiền|","")&amp;IF(V40="✓","Mã CQT|","")&amp;IF(W40="✓","Upload XML|","")&amp;IF(X40="✓","Captcha ảnh|","")&amp;IF(Y40="✓","Captcha dạng tích|","")&amp;IF(Z40="✓","Captcha khác (slider/hình)|","")&amp;IF(AA40="✓","Đăng nhập|","")&amp;IF(AB40="✓","Email/SĐT/OTP|",""),LEN(IF(O40="✓","Mã tra cứu|","")&amp;IF(P40="✓","MST người bán|","")&amp;IF(Q40="✓","MST người mua|","")&amp;IF(R40="✓","Mẫu số / Ký hiệu|","")&amp;IF(S40="✓","Số HĐ|","")&amp;IF(T40="✓","Ngày lập|","")&amp;IF(U40="✓","Tổng tiền|","")&amp;IF(V40="✓","Mã CQT|","")&amp;IF(W40="✓","Upload XML|","")&amp;IF(X40="✓","Captcha ảnh|","")&amp;IF(Y40="✓","Captcha dạng tích|","")&amp;IF(Z40="✓","Captcha khác (slider/hình)|","")&amp;IF(AA40="✓","Đăng nhập|","")&amp;IF(AB40="✓","Email/SĐT/OTP|",""))-1),"|"," + ")))</f>
        <v/>
      </c>
      <c r="I40" s="17" t="n"/>
      <c r="J40" s="17" t="n"/>
      <c r="K40" s="17" t="n"/>
      <c r="L40" s="17" t="n"/>
      <c r="M40" s="37" t="n"/>
      <c r="N40" s="38" t="inlineStr">
        <is>
          <t>OK</t>
        </is>
      </c>
      <c r="O40" s="39" t="inlineStr">
        <is>
          <t>✓</t>
        </is>
      </c>
      <c r="P40" s="39" t="n"/>
      <c r="Q40" s="39" t="n"/>
      <c r="R40" s="39" t="n"/>
      <c r="S40" s="39" t="n"/>
      <c r="T40" s="39" t="n"/>
      <c r="U40" s="39" t="n"/>
      <c r="V40" s="39" t="n"/>
      <c r="W40" s="39" t="n"/>
      <c r="X40" s="39" t="n"/>
      <c r="Y40" s="39" t="n"/>
      <c r="Z40" s="39" t="n"/>
      <c r="AA40" s="39" t="n"/>
      <c r="AB40" s="39" t="n"/>
      <c r="AC40" s="39" t="n">
        <v>1</v>
      </c>
      <c r="AD40" s="16" t="inlineStr">
        <is>
          <t>không có</t>
        </is>
      </c>
      <c r="AE40" s="16" t="inlineStr">
        <is>
          <t>Dropdown: 'Mã số thuế', 'Token sử dụng Vsign', 'Cty bỏ trốn' (tra thông tin, không phải HĐ)</t>
        </is>
      </c>
      <c r="AF40" s="16" t="inlineStr">
        <is>
          <t>1 ô 'Mã hóa đơn hoặc mst' + dropdown loại (mặc định 'Mã hóa đơn'); cùng nền tảng với hoadondientuvat.com (dòng 32)</t>
        </is>
      </c>
      <c r="AG40" s="16" t="inlineStr">
        <is>
          <t>https://ihoadondientu.com/Tra-cuu</t>
        </is>
      </c>
      <c r="AH40" s="1" t="n"/>
      <c r="AI40" s="1" t="n"/>
      <c r="AJ40">
        <f>IFERROR(IF(INDEX(WBS2!$I$2:$I$25,MATCH($C40,WBS2!$F$2:$F$25,0))="","",INDEX(WBS2!$I$2:$I$25,MATCH($C40,WBS2!$F$2:$F$25,0))),"")</f>
        <v/>
      </c>
      <c r="AK40">
        <f>IFERROR(IF(INDEX(WBS2!$I$27:$I$162,MATCH($C40,WBS2!$F$27:$F$162,0))="","",INDEX(WBS2!$I$27:$I$162,MATCH($C40,WBS2!$F$27:$F$162,0))),"")</f>
        <v/>
      </c>
      <c r="AL40" s="102">
        <f>IFERROR(IF(OR($AK40="Chưa hoàn thành",$AK40="Sẵn sàng"),INDEX(WBS2!$H$27:$H$162,MATCH($C40,WBS2!$F$27:$F$162,0)),""),"")</f>
        <v/>
      </c>
      <c r="AM40">
        <f>IFERROR(IF(INDEX(WBS2!$J$27:$J$162,MATCH($C40,WBS2!$F$27:$F$162,0))="","",INDEX(WBS2!$J$27:$J$162,MATCH($C40,WBS2!$F$27:$F$162,0))),"")</f>
        <v/>
      </c>
      <c r="AN40">
        <f>IFERROR(IF(INDEX(WBS2!$I$163:$I$298,MATCH($C40,WBS2!$F$163:$F$298,0))="","",INDEX(WBS2!$I$163:$I$298,MATCH($C40,WBS2!$F$163:$F$298,0))),"")</f>
        <v/>
      </c>
      <c r="AO40" s="102">
        <f>IFERROR(IF(OR($AN40="Chưa hoàn thành",$AN40="Sẵn sàng"),INDEX(WBS2!$H$163:$H$298,MATCH($C40,WBS2!$F$163:$F$298,0)),""),"")</f>
        <v/>
      </c>
      <c r="AP40">
        <f>IFERROR(IF(INDEX(WBS2!$J$163:$J$298,MATCH($C40,WBS2!$F$163:$F$298,0))="","",INDEX(WBS2!$J$163:$J$298,MATCH($C40,WBS2!$F$163:$F$298,0))),"")</f>
        <v/>
      </c>
    </row>
    <row r="41" hidden="1" ht="14.25" customHeight="1">
      <c r="A41" s="13" t="n">
        <v>40</v>
      </c>
      <c r="B41" s="13" t="inlineStr">
        <is>
          <t>Công ty Cổ phần phần mềm quản lý doanh nghiệp</t>
        </is>
      </c>
      <c r="C41" s="14" t="inlineStr">
        <is>
          <t>0100727825</t>
        </is>
      </c>
      <c r="D41" s="13" t="inlineStr">
        <is>
          <t>Tầng 3 Tòa nhà CT1B Khu đô thị VOV Mễ Trì, phường Mễ Trì, quận Nam Từ Liêm, TP. Hà Nội</t>
        </is>
      </c>
      <c r="E41" s="18" t="inlineStr">
        <is>
          <t>https://www.fast.com.vn</t>
        </is>
      </c>
      <c r="F41" s="20" t="inlineStr">
        <is>
          <t>Không có captcha</t>
        </is>
      </c>
      <c r="G41" s="23" t="inlineStr">
        <is>
          <t>https://invoice.fast.com.vn/tra-cuu-hoa-don-dien-tu/</t>
        </is>
      </c>
      <c r="H41" s="35">
        <f>IF(N41&lt;&gt;"OK","",IF(IF(O41="✓","Mã tra cứu|","")&amp;IF(P41="✓","MST người bán|","")&amp;IF(Q41="✓","MST người mua|","")&amp;IF(R41="✓","Mẫu số / Ký hiệu|","")&amp;IF(S41="✓","Số HĐ|","")&amp;IF(T41="✓","Ngày lập|","")&amp;IF(U41="✓","Tổng tiền|","")&amp;IF(V41="✓","Mã CQT|","")&amp;IF(W41="✓","Upload XML|","")&amp;IF(X41="✓","Captcha ảnh|","")&amp;IF(Y41="✓","Captcha dạng tích|","")&amp;IF(Z41="✓","Captcha khác (slider/hình)|","")&amp;IF(AA41="✓","Đăng nhập|","")&amp;IF(AB41="✓","Email/SĐT/OTP|","")="","(không có tham số)",SUBSTITUTE(LEFT(IF(O41="✓","Mã tra cứu|","")&amp;IF(P41="✓","MST người bán|","")&amp;IF(Q41="✓","MST người mua|","")&amp;IF(R41="✓","Mẫu số / Ký hiệu|","")&amp;IF(S41="✓","Số HĐ|","")&amp;IF(T41="✓","Ngày lập|","")&amp;IF(U41="✓","Tổng tiền|","")&amp;IF(V41="✓","Mã CQT|","")&amp;IF(W41="✓","Upload XML|","")&amp;IF(X41="✓","Captcha ảnh|","")&amp;IF(Y41="✓","Captcha dạng tích|","")&amp;IF(Z41="✓","Captcha khác (slider/hình)|","")&amp;IF(AA41="✓","Đăng nhập|","")&amp;IF(AB41="✓","Email/SĐT/OTP|",""),LEN(IF(O41="✓","Mã tra cứu|","")&amp;IF(P41="✓","MST người bán|","")&amp;IF(Q41="✓","MST người mua|","")&amp;IF(R41="✓","Mẫu số / Ký hiệu|","")&amp;IF(S41="✓","Số HĐ|","")&amp;IF(T41="✓","Ngày lập|","")&amp;IF(U41="✓","Tổng tiền|","")&amp;IF(V41="✓","Mã CQT|","")&amp;IF(W41="✓","Upload XML|","")&amp;IF(X41="✓","Captcha ảnh|","")&amp;IF(Y41="✓","Captcha dạng tích|","")&amp;IF(Z41="✓","Captcha khác (slider/hình)|","")&amp;IF(AA41="✓","Đăng nhập|","")&amp;IF(AB41="✓","Email/SĐT/OTP|",""))-1),"|"," + ")))</f>
        <v/>
      </c>
      <c r="I41" s="17" t="n"/>
      <c r="J41" s="17" t="n"/>
      <c r="K41" s="17" t="n"/>
      <c r="L41" s="17" t="n"/>
      <c r="M41" s="37" t="n"/>
      <c r="N41" s="38" t="inlineStr">
        <is>
          <t>OK</t>
        </is>
      </c>
      <c r="O41" s="39" t="inlineStr">
        <is>
          <t>✓</t>
        </is>
      </c>
      <c r="P41" s="39" t="n"/>
      <c r="Q41" s="39" t="n"/>
      <c r="R41" s="39" t="n"/>
      <c r="S41" s="39" t="n"/>
      <c r="T41" s="39" t="n"/>
      <c r="U41" s="39" t="n"/>
      <c r="V41" s="39" t="n"/>
      <c r="W41" s="39" t="n"/>
      <c r="X41" s="39" t="inlineStr">
        <is>
          <t>✓</t>
        </is>
      </c>
      <c r="Y41" s="39" t="n"/>
      <c r="Z41" s="39" t="n"/>
      <c r="AA41" s="39" t="n"/>
      <c r="AB41" s="39" t="n"/>
      <c r="AC41" s="39" t="n">
        <v>2</v>
      </c>
      <c r="AD41" s="16" t="inlineStr">
        <is>
          <t>ảnh PNG 100x30, 5 chữ hoa/thường (base64 trong HTML) — đã kiểm khi làm adapter</t>
        </is>
      </c>
      <c r="AE41" s="16" t="inlineStr">
        <is>
          <t>Radio chọn kết quả: 'Xem trực tiếp' / 'Tải hóa đơn gốc (.XML)' / 'Tải file PDF' (cùng 1 ô mã)</t>
        </is>
      </c>
      <c r="AF41" s="16" t="inlineStr">
        <is>
          <t>Trang WordPress invoice.fast.com.vn/tra-cuu-hoa-don-dien-tu không tra được bằng KeySearch trong XML; cổng chạy được là einvoice.fast.com.vn (KeySearch + captcha). Trang WordPress; form POST về chính trang, chỉ 1 ô 'Nhập mã số...'. /tra-cuu/ redirect về trang này. reCAPTCHA trên trang chỉ dùng cho form đăng ký/đặt hàng</t>
        </is>
      </c>
      <c r="AG41" s="16" t="inlineStr">
        <is>
          <t>https://einvoice.fast.com.vn/</t>
        </is>
      </c>
      <c r="AH41" s="1" t="n"/>
      <c r="AI41" s="1" t="n"/>
      <c r="AJ41">
        <f>IFERROR(IF(INDEX(WBS2!$I$2:$I$25,MATCH($C41,WBS2!$F$2:$F$25,0))="","",INDEX(WBS2!$I$2:$I$25,MATCH($C41,WBS2!$F$2:$F$25,0))),"")</f>
        <v/>
      </c>
      <c r="AK41">
        <f>IFERROR(IF(INDEX(WBS2!$I$27:$I$162,MATCH($C41,WBS2!$F$27:$F$162,0))="","",INDEX(WBS2!$I$27:$I$162,MATCH($C41,WBS2!$F$27:$F$162,0))),"")</f>
        <v/>
      </c>
      <c r="AL41" s="102">
        <f>IFERROR(IF(OR($AK41="Chưa hoàn thành",$AK41="Sẵn sàng"),INDEX(WBS2!$H$27:$H$162,MATCH($C41,WBS2!$F$27:$F$162,0)),""),"")</f>
        <v/>
      </c>
      <c r="AM41">
        <f>IFERROR(IF(INDEX(WBS2!$J$27:$J$162,MATCH($C41,WBS2!$F$27:$F$162,0))="","",INDEX(WBS2!$J$27:$J$162,MATCH($C41,WBS2!$F$27:$F$162,0))),"")</f>
        <v/>
      </c>
      <c r="AN41">
        <f>IFERROR(IF(INDEX(WBS2!$I$163:$I$298,MATCH($C41,WBS2!$F$163:$F$298,0))="","",INDEX(WBS2!$I$163:$I$298,MATCH($C41,WBS2!$F$163:$F$298,0))),"")</f>
        <v/>
      </c>
      <c r="AO41" s="102">
        <f>IFERROR(IF(OR($AN41="Chưa hoàn thành",$AN41="Sẵn sàng"),INDEX(WBS2!$H$163:$H$298,MATCH($C41,WBS2!$F$163:$F$298,0)),""),"")</f>
        <v/>
      </c>
      <c r="AP41">
        <f>IFERROR(IF(INDEX(WBS2!$J$163:$J$298,MATCH($C41,WBS2!$F$163:$F$298,0))="","",INDEX(WBS2!$J$163:$J$298,MATCH($C41,WBS2!$F$163:$F$298,0))),"")</f>
        <v/>
      </c>
    </row>
    <row r="42" hidden="1" ht="14.25" customHeight="1">
      <c r="A42" s="13" t="n">
        <v>41</v>
      </c>
      <c r="B42" s="13" t="inlineStr">
        <is>
          <t>Công ty TNHH ACCONLINE.VN</t>
        </is>
      </c>
      <c r="C42" s="14" t="inlineStr">
        <is>
          <t>0315467091</t>
        </is>
      </c>
      <c r="D42" s="13" t="inlineStr">
        <is>
          <t>341 Lê Trọng Tấn, phường Sơn Kỳ, quận Tân Phú,Tp Hồ Chí Minh</t>
        </is>
      </c>
      <c r="E42" s="18" t="inlineStr">
        <is>
          <t>http://www.acconine.vn</t>
        </is>
      </c>
      <c r="F42" s="20" t="inlineStr">
        <is>
          <t>captcha dạng tích</t>
        </is>
      </c>
      <c r="G42" s="63" t="inlineStr">
        <is>
          <t>https://acconline.vn/vn/tra-cuu-hoa-don.htm</t>
        </is>
      </c>
      <c r="H42" s="35">
        <f>IF(N42&lt;&gt;"OK","",IF(IF(O42="✓","Mã tra cứu|","")&amp;IF(P42="✓","MST người bán|","")&amp;IF(Q42="✓","MST người mua|","")&amp;IF(R42="✓","Mẫu số / Ký hiệu|","")&amp;IF(S42="✓","Số HĐ|","")&amp;IF(T42="✓","Ngày lập|","")&amp;IF(U42="✓","Tổng tiền|","")&amp;IF(V42="✓","Mã CQT|","")&amp;IF(W42="✓","Upload XML|","")&amp;IF(X42="✓","Captcha ảnh|","")&amp;IF(Y42="✓","Captcha dạng tích|","")&amp;IF(Z42="✓","Captcha khác (slider/hình)|","")&amp;IF(AA42="✓","Đăng nhập|","")&amp;IF(AB42="✓","Email/SĐT/OTP|","")="","(không có tham số)",SUBSTITUTE(LEFT(IF(O42="✓","Mã tra cứu|","")&amp;IF(P42="✓","MST người bán|","")&amp;IF(Q42="✓","MST người mua|","")&amp;IF(R42="✓","Mẫu số / Ký hiệu|","")&amp;IF(S42="✓","Số HĐ|","")&amp;IF(T42="✓","Ngày lập|","")&amp;IF(U42="✓","Tổng tiền|","")&amp;IF(V42="✓","Mã CQT|","")&amp;IF(W42="✓","Upload XML|","")&amp;IF(X42="✓","Captcha ảnh|","")&amp;IF(Y42="✓","Captcha dạng tích|","")&amp;IF(Z42="✓","Captcha khác (slider/hình)|","")&amp;IF(AA42="✓","Đăng nhập|","")&amp;IF(AB42="✓","Email/SĐT/OTP|",""),LEN(IF(O42="✓","Mã tra cứu|","")&amp;IF(P42="✓","MST người bán|","")&amp;IF(Q42="✓","MST người mua|","")&amp;IF(R42="✓","Mẫu số / Ký hiệu|","")&amp;IF(S42="✓","Số HĐ|","")&amp;IF(T42="✓","Ngày lập|","")&amp;IF(U42="✓","Tổng tiền|","")&amp;IF(V42="✓","Mã CQT|","")&amp;IF(W42="✓","Upload XML|","")&amp;IF(X42="✓","Captcha ảnh|","")&amp;IF(Y42="✓","Captcha dạng tích|","")&amp;IF(Z42="✓","Captcha khác (slider/hình)|","")&amp;IF(AA42="✓","Đăng nhập|","")&amp;IF(AB42="✓","Email/SĐT/OTP|",""))-1),"|"," + ")))</f>
        <v/>
      </c>
      <c r="I42" s="17" t="n"/>
      <c r="J42" s="17" t="n"/>
      <c r="K42" s="17" t="n"/>
      <c r="L42" s="17" t="n"/>
      <c r="M42" s="37" t="n"/>
      <c r="N42" s="38" t="inlineStr">
        <is>
          <t>OK</t>
        </is>
      </c>
      <c r="O42" s="39" t="inlineStr">
        <is>
          <t>✓</t>
        </is>
      </c>
      <c r="P42" s="39" t="inlineStr">
        <is>
          <t>✓</t>
        </is>
      </c>
      <c r="Q42" s="39" t="n"/>
      <c r="R42" s="39" t="n"/>
      <c r="S42" s="39" t="n"/>
      <c r="T42" s="39" t="n"/>
      <c r="U42" s="39" t="n"/>
      <c r="V42" s="39" t="n"/>
      <c r="W42" s="39" t="n"/>
      <c r="X42" s="39" t="n"/>
      <c r="Y42" s="39" t="inlineStr">
        <is>
          <t>✓</t>
        </is>
      </c>
      <c r="Z42" s="39" t="n"/>
      <c r="AA42" s="39" t="n"/>
      <c r="AB42" s="39" t="n"/>
      <c r="AC42" s="39" t="n">
        <v>3</v>
      </c>
      <c r="AD42" s="16" t="inlineStr">
        <is>
          <t>reCAPTCHA v2 checkbox</t>
        </is>
      </c>
      <c r="AE42" s="16" t="n"/>
      <c r="AF42" s="16" t="inlineStr">
        <is>
          <t>Form: MST của đơn vị (bên bán) + Mã tra cứu hóa đơn + reCAPTCHA v2</t>
        </is>
      </c>
      <c r="AG42" s="16" t="inlineStr">
        <is>
          <t>https://acconline.vn/vn/tra-cuu-hoa-don.htm</t>
        </is>
      </c>
      <c r="AH42" s="1" t="n"/>
      <c r="AI42" s="1" t="n"/>
      <c r="AJ42">
        <f>IFERROR(IF(INDEX(WBS2!$I$2:$I$25,MATCH($C42,WBS2!$F$2:$F$25,0))="","",INDEX(WBS2!$I$2:$I$25,MATCH($C42,WBS2!$F$2:$F$25,0))),"")</f>
        <v/>
      </c>
      <c r="AK42">
        <f>IFERROR(IF(INDEX(WBS2!$I$27:$I$162,MATCH($C42,WBS2!$F$27:$F$162,0))="","",INDEX(WBS2!$I$27:$I$162,MATCH($C42,WBS2!$F$27:$F$162,0))),"")</f>
        <v/>
      </c>
      <c r="AL42" s="102">
        <f>IFERROR(IF(OR($AK42="Chưa hoàn thành",$AK42="Sẵn sàng"),INDEX(WBS2!$H$27:$H$162,MATCH($C42,WBS2!$F$27:$F$162,0)),""),"")</f>
        <v/>
      </c>
      <c r="AM42">
        <f>IFERROR(IF(INDEX(WBS2!$J$27:$J$162,MATCH($C42,WBS2!$F$27:$F$162,0))="","",INDEX(WBS2!$J$27:$J$162,MATCH($C42,WBS2!$F$27:$F$162,0))),"")</f>
        <v/>
      </c>
      <c r="AN42">
        <f>IFERROR(IF(INDEX(WBS2!$I$163:$I$298,MATCH($C42,WBS2!$F$163:$F$298,0))="","",INDEX(WBS2!$I$163:$I$298,MATCH($C42,WBS2!$F$163:$F$298,0))),"")</f>
        <v/>
      </c>
      <c r="AO42" s="102">
        <f>IFERROR(IF(OR($AN42="Chưa hoàn thành",$AN42="Sẵn sàng"),INDEX(WBS2!$H$163:$H$298,MATCH($C42,WBS2!$F$163:$F$298,0)),""),"")</f>
        <v/>
      </c>
      <c r="AP42">
        <f>IFERROR(IF(INDEX(WBS2!$J$163:$J$298,MATCH($C42,WBS2!$F$163:$F$298,0))="","",INDEX(WBS2!$J$163:$J$298,MATCH($C42,WBS2!$F$163:$F$298,0))),"")</f>
        <v/>
      </c>
    </row>
    <row r="43" hidden="1" ht="14.25" customHeight="1">
      <c r="A43" s="13" t="n">
        <v>42</v>
      </c>
      <c r="B43" s="13" t="inlineStr">
        <is>
          <t>Công ty Cổ phần công nghệ hóa đơn điện tử HT</t>
        </is>
      </c>
      <c r="C43" s="14" t="inlineStr">
        <is>
          <t>0315638251</t>
        </is>
      </c>
      <c r="D43" s="13" t="inlineStr">
        <is>
          <t>23/3 Mai Lão Bạng, phường 13, quận Tân Bình, Tp Hồ Chí Minh</t>
        </is>
      </c>
      <c r="E43" s="18" t="inlineStr">
        <is>
          <t>http://htinvoice.com.vn</t>
        </is>
      </c>
      <c r="F43" s="20" t="inlineStr">
        <is>
          <t>captcha dạng tích</t>
        </is>
      </c>
      <c r="G43" s="23" t="inlineStr">
        <is>
          <t>https://laphoadon.htinvoice.vn/TraCuu</t>
        </is>
      </c>
      <c r="H43" s="35">
        <f>IF(N43&lt;&gt;"OK","",IF(IF(O43="✓","Mã tra cứu|","")&amp;IF(P43="✓","MST người bán|","")&amp;IF(Q43="✓","MST người mua|","")&amp;IF(R43="✓","Mẫu số / Ký hiệu|","")&amp;IF(S43="✓","Số HĐ|","")&amp;IF(T43="✓","Ngày lập|","")&amp;IF(U43="✓","Tổng tiền|","")&amp;IF(V43="✓","Mã CQT|","")&amp;IF(W43="✓","Upload XML|","")&amp;IF(X43="✓","Captcha ảnh|","")&amp;IF(Y43="✓","Captcha dạng tích|","")&amp;IF(Z43="✓","Captcha khác (slider/hình)|","")&amp;IF(AA43="✓","Đăng nhập|","")&amp;IF(AB43="✓","Email/SĐT/OTP|","")="","(không có tham số)",SUBSTITUTE(LEFT(IF(O43="✓","Mã tra cứu|","")&amp;IF(P43="✓","MST người bán|","")&amp;IF(Q43="✓","MST người mua|","")&amp;IF(R43="✓","Mẫu số / Ký hiệu|","")&amp;IF(S43="✓","Số HĐ|","")&amp;IF(T43="✓","Ngày lập|","")&amp;IF(U43="✓","Tổng tiền|","")&amp;IF(V43="✓","Mã CQT|","")&amp;IF(W43="✓","Upload XML|","")&amp;IF(X43="✓","Captcha ảnh|","")&amp;IF(Y43="✓","Captcha dạng tích|","")&amp;IF(Z43="✓","Captcha khác (slider/hình)|","")&amp;IF(AA43="✓","Đăng nhập|","")&amp;IF(AB43="✓","Email/SĐT/OTP|",""),LEN(IF(O43="✓","Mã tra cứu|","")&amp;IF(P43="✓","MST người bán|","")&amp;IF(Q43="✓","MST người mua|","")&amp;IF(R43="✓","Mẫu số / Ký hiệu|","")&amp;IF(S43="✓","Số HĐ|","")&amp;IF(T43="✓","Ngày lập|","")&amp;IF(U43="✓","Tổng tiền|","")&amp;IF(V43="✓","Mã CQT|","")&amp;IF(W43="✓","Upload XML|","")&amp;IF(X43="✓","Captcha ảnh|","")&amp;IF(Y43="✓","Captcha dạng tích|","")&amp;IF(Z43="✓","Captcha khác (slider/hình)|","")&amp;IF(AA43="✓","Đăng nhập|","")&amp;IF(AB43="✓","Email/SĐT/OTP|",""))-1),"|"," + ")))</f>
        <v/>
      </c>
      <c r="I43" s="17" t="n"/>
      <c r="J43" s="17" t="n"/>
      <c r="K43" s="17" t="n"/>
      <c r="L43" s="17" t="n"/>
      <c r="M43" s="37" t="n"/>
      <c r="N43" s="38" t="inlineStr">
        <is>
          <t>OK</t>
        </is>
      </c>
      <c r="O43" s="39" t="inlineStr">
        <is>
          <t>✓</t>
        </is>
      </c>
      <c r="P43" s="39" t="n"/>
      <c r="Q43" s="39" t="n"/>
      <c r="R43" s="39" t="n"/>
      <c r="S43" s="39" t="n"/>
      <c r="T43" s="39" t="n"/>
      <c r="U43" s="39" t="n"/>
      <c r="V43" s="39" t="n"/>
      <c r="W43" s="39" t="n"/>
      <c r="X43" s="39" t="n"/>
      <c r="Y43" s="39" t="inlineStr">
        <is>
          <t>✓</t>
        </is>
      </c>
      <c r="Z43" s="39" t="n"/>
      <c r="AA43" s="39" t="n"/>
      <c r="AB43" s="39" t="n"/>
      <c r="AC43" s="39" t="n">
        <v>2</v>
      </c>
      <c r="AD43" s="16" t="inlineStr">
        <is>
          <t>reCAPTCHA v2 checkbox</t>
        </is>
      </c>
      <c r="AE43" s="16" t="inlineStr">
        <is>
          <t>Tab 'Biên bản sai sót'; menu 'Đọc hóa đơn XML' (trang đọc XML riêng)</t>
        </is>
      </c>
      <c r="AF43" s="16" t="inlineStr">
        <is>
          <t>Form: 1 ô mã tra cứu + reCAPTCHA v2 (render explicit)</t>
        </is>
      </c>
      <c r="AG43" s="16" t="inlineStr">
        <is>
          <t>https://laphoadon.htinvoice.vn/TraCuu</t>
        </is>
      </c>
      <c r="AH43" s="1" t="n"/>
      <c r="AI43" s="1" t="n"/>
      <c r="AJ43">
        <f>IFERROR(IF(INDEX(WBS2!$I$2:$I$25,MATCH($C43,WBS2!$F$2:$F$25,0))="","",INDEX(WBS2!$I$2:$I$25,MATCH($C43,WBS2!$F$2:$F$25,0))),"")</f>
        <v/>
      </c>
      <c r="AK43">
        <f>IFERROR(IF(INDEX(WBS2!$I$27:$I$162,MATCH($C43,WBS2!$F$27:$F$162,0))="","",INDEX(WBS2!$I$27:$I$162,MATCH($C43,WBS2!$F$27:$F$162,0))),"")</f>
        <v/>
      </c>
      <c r="AL43" s="102">
        <f>IFERROR(IF(OR($AK43="Chưa hoàn thành",$AK43="Sẵn sàng"),INDEX(WBS2!$H$27:$H$162,MATCH($C43,WBS2!$F$27:$F$162,0)),""),"")</f>
        <v/>
      </c>
      <c r="AM43">
        <f>IFERROR(IF(INDEX(WBS2!$J$27:$J$162,MATCH($C43,WBS2!$F$27:$F$162,0))="","",INDEX(WBS2!$J$27:$J$162,MATCH($C43,WBS2!$F$27:$F$162,0))),"")</f>
        <v/>
      </c>
      <c r="AN43">
        <f>IFERROR(IF(INDEX(WBS2!$I$163:$I$298,MATCH($C43,WBS2!$F$163:$F$298,0))="","",INDEX(WBS2!$I$163:$I$298,MATCH($C43,WBS2!$F$163:$F$298,0))),"")</f>
        <v/>
      </c>
      <c r="AO43" s="102">
        <f>IFERROR(IF(OR($AN43="Chưa hoàn thành",$AN43="Sẵn sàng"),INDEX(WBS2!$H$163:$H$298,MATCH($C43,WBS2!$F$163:$F$298,0)),""),"")</f>
        <v/>
      </c>
      <c r="AP43">
        <f>IFERROR(IF(INDEX(WBS2!$J$163:$J$298,MATCH($C43,WBS2!$F$163:$F$298,0))="","",INDEX(WBS2!$J$163:$J$298,MATCH($C43,WBS2!$F$163:$F$298,0))),"")</f>
        <v/>
      </c>
    </row>
    <row r="44" hidden="1" ht="14.25" customHeight="1">
      <c r="A44" s="13" t="n">
        <v>43</v>
      </c>
      <c r="B44" s="13" t="inlineStr">
        <is>
          <t>Công ty Cổ phần công nghệ ITT</t>
        </is>
      </c>
      <c r="C44" s="14" t="inlineStr">
        <is>
          <t>0105958921</t>
        </is>
      </c>
      <c r="D44" s="13" t="inlineStr">
        <is>
          <t>Số 15 ngõ 134 Lê Trọng Tấn, phường Khương Mai, quận Thanh Xuân, Tp Hà Nội</t>
        </is>
      </c>
      <c r="E44" s="18" t="inlineStr">
        <is>
          <t>https://cloudinvoice.vn</t>
        </is>
      </c>
      <c r="F44" s="20" t="inlineStr">
        <is>
          <t>không có captcha</t>
        </is>
      </c>
      <c r="G44" s="63" t="inlineStr">
        <is>
          <t>https://tracuu.cloudinvoice.vn/</t>
        </is>
      </c>
      <c r="H44" s="35">
        <f>IF(N44&lt;&gt;"OK","",IF(IF(O44="✓","Mã tra cứu|","")&amp;IF(P44="✓","MST người bán|","")&amp;IF(Q44="✓","MST người mua|","")&amp;IF(R44="✓","Mẫu số / Ký hiệu|","")&amp;IF(S44="✓","Số HĐ|","")&amp;IF(T44="✓","Ngày lập|","")&amp;IF(U44="✓","Tổng tiền|","")&amp;IF(V44="✓","Mã CQT|","")&amp;IF(W44="✓","Upload XML|","")&amp;IF(X44="✓","Captcha ảnh|","")&amp;IF(Y44="✓","Captcha dạng tích|","")&amp;IF(Z44="✓","Captcha khác (slider/hình)|","")&amp;IF(AA44="✓","Đăng nhập|","")&amp;IF(AB44="✓","Email/SĐT/OTP|","")="","(không có tham số)",SUBSTITUTE(LEFT(IF(O44="✓","Mã tra cứu|","")&amp;IF(P44="✓","MST người bán|","")&amp;IF(Q44="✓","MST người mua|","")&amp;IF(R44="✓","Mẫu số / Ký hiệu|","")&amp;IF(S44="✓","Số HĐ|","")&amp;IF(T44="✓","Ngày lập|","")&amp;IF(U44="✓","Tổng tiền|","")&amp;IF(V44="✓","Mã CQT|","")&amp;IF(W44="✓","Upload XML|","")&amp;IF(X44="✓","Captcha ảnh|","")&amp;IF(Y44="✓","Captcha dạng tích|","")&amp;IF(Z44="✓","Captcha khác (slider/hình)|","")&amp;IF(AA44="✓","Đăng nhập|","")&amp;IF(AB44="✓","Email/SĐT/OTP|",""),LEN(IF(O44="✓","Mã tra cứu|","")&amp;IF(P44="✓","MST người bán|","")&amp;IF(Q44="✓","MST người mua|","")&amp;IF(R44="✓","Mẫu số / Ký hiệu|","")&amp;IF(S44="✓","Số HĐ|","")&amp;IF(T44="✓","Ngày lập|","")&amp;IF(U44="✓","Tổng tiền|","")&amp;IF(V44="✓","Mã CQT|","")&amp;IF(W44="✓","Upload XML|","")&amp;IF(X44="✓","Captcha ảnh|","")&amp;IF(Y44="✓","Captcha dạng tích|","")&amp;IF(Z44="✓","Captcha khác (slider/hình)|","")&amp;IF(AA44="✓","Đăng nhập|","")&amp;IF(AB44="✓","Email/SĐT/OTP|",""))-1),"|"," + ")))</f>
        <v/>
      </c>
      <c r="I44" s="17" t="n"/>
      <c r="J44" s="17" t="n"/>
      <c r="K44" s="17" t="n"/>
      <c r="L44" s="17" t="n"/>
      <c r="M44" s="37" t="n"/>
      <c r="N44" s="38" t="inlineStr">
        <is>
          <t>OK</t>
        </is>
      </c>
      <c r="O44" s="39" t="inlineStr">
        <is>
          <t>✓</t>
        </is>
      </c>
      <c r="P44" s="39" t="n"/>
      <c r="Q44" s="39" t="n"/>
      <c r="R44" s="39" t="n"/>
      <c r="S44" s="39" t="n"/>
      <c r="T44" s="39" t="n"/>
      <c r="U44" s="39" t="n"/>
      <c r="V44" s="39" t="n"/>
      <c r="W44" s="39" t="n"/>
      <c r="X44" s="39" t="n"/>
      <c r="Y44" s="39" t="n"/>
      <c r="Z44" s="39" t="n"/>
      <c r="AA44" s="39" t="n"/>
      <c r="AB44" s="39" t="n"/>
      <c r="AC44" s="39" t="n">
        <v>1</v>
      </c>
      <c r="AD44" s="16" t="inlineStr">
        <is>
          <t>không có</t>
        </is>
      </c>
      <c r="AE44" s="16" t="n"/>
      <c r="AF44" s="16" t="inlineStr">
        <is>
          <t>Chỉ 1 ô 'Nhập mã tra cứu hóa đơn'.</t>
        </is>
      </c>
      <c r="AG44" s="16" t="inlineStr">
        <is>
          <t>https://tracuu.cloudinvoice.vn/</t>
        </is>
      </c>
      <c r="AH44" s="1" t="n"/>
      <c r="AI44" s="1" t="n"/>
      <c r="AJ44">
        <f>IFERROR(IF(INDEX(WBS2!$I$2:$I$25,MATCH($C44,WBS2!$F$2:$F$25,0))="","",INDEX(WBS2!$I$2:$I$25,MATCH($C44,WBS2!$F$2:$F$25,0))),"")</f>
        <v/>
      </c>
      <c r="AK44">
        <f>IFERROR(IF(INDEX(WBS2!$I$27:$I$162,MATCH($C44,WBS2!$F$27:$F$162,0))="","",INDEX(WBS2!$I$27:$I$162,MATCH($C44,WBS2!$F$27:$F$162,0))),"")</f>
        <v/>
      </c>
      <c r="AL44" s="102">
        <f>IFERROR(IF(OR($AK44="Chưa hoàn thành",$AK44="Sẵn sàng"),INDEX(WBS2!$H$27:$H$162,MATCH($C44,WBS2!$F$27:$F$162,0)),""),"")</f>
        <v/>
      </c>
      <c r="AM44">
        <f>IFERROR(IF(INDEX(WBS2!$J$27:$J$162,MATCH($C44,WBS2!$F$27:$F$162,0))="","",INDEX(WBS2!$J$27:$J$162,MATCH($C44,WBS2!$F$27:$F$162,0))),"")</f>
        <v/>
      </c>
      <c r="AN44">
        <f>IFERROR(IF(INDEX(WBS2!$I$163:$I$298,MATCH($C44,WBS2!$F$163:$F$298,0))="","",INDEX(WBS2!$I$163:$I$298,MATCH($C44,WBS2!$F$163:$F$298,0))),"")</f>
        <v/>
      </c>
      <c r="AO44" s="102">
        <f>IFERROR(IF(OR($AN44="Chưa hoàn thành",$AN44="Sẵn sàng"),INDEX(WBS2!$H$163:$H$298,MATCH($C44,WBS2!$F$163:$F$298,0)),""),"")</f>
        <v/>
      </c>
      <c r="AP44">
        <f>IFERROR(IF(INDEX(WBS2!$J$163:$J$298,MATCH($C44,WBS2!$F$163:$F$298,0))="","",INDEX(WBS2!$J$163:$J$298,MATCH($C44,WBS2!$F$163:$F$298,0))),"")</f>
        <v/>
      </c>
    </row>
    <row r="45" ht="14.25" customHeight="1">
      <c r="A45" s="13" t="n">
        <v>44</v>
      </c>
      <c r="B45" s="13" t="inlineStr">
        <is>
          <t>Công ty TNHH PA Việt Nam</t>
        </is>
      </c>
      <c r="C45" s="14" t="inlineStr">
        <is>
          <t>0302431595</t>
        </is>
      </c>
      <c r="D45" s="13" t="inlineStr">
        <is>
          <t>750 Sư Vạn Hạnh (nối dài), phường 12, quận 10, Tp Hồ Chí Minh</t>
        </is>
      </c>
      <c r="E45" s="18" t="inlineStr">
        <is>
          <t>https://hoadon30s.vn</t>
        </is>
      </c>
      <c r="F45" s="20" t="inlineStr">
        <is>
          <t>có captcha</t>
        </is>
      </c>
      <c r="G45" s="78" t="inlineStr">
        <is>
          <t>https://tracuu.hoadon30s.vn/</t>
        </is>
      </c>
      <c r="H45" s="35">
        <f>IF(N45&lt;&gt;"OK","",IF(IF(O45="✓","Mã tra cứu|","")&amp;IF(P45="✓","MST người bán|","")&amp;IF(Q45="✓","MST người mua|","")&amp;IF(R45="✓","Mẫu số / Ký hiệu|","")&amp;IF(S45="✓","Số HĐ|","")&amp;IF(T45="✓","Ngày lập|","")&amp;IF(U45="✓","Tổng tiền|","")&amp;IF(V45="✓","Mã CQT|","")&amp;IF(W45="✓","Upload XML|","")&amp;IF(X45="✓","Captcha ảnh|","")&amp;IF(Y45="✓","Captcha dạng tích|","")&amp;IF(Z45="✓","Captcha khác (slider/hình)|","")&amp;IF(AA45="✓","Đăng nhập|","")&amp;IF(AB45="✓","Email/SĐT/OTP|","")="","(không có tham số)",SUBSTITUTE(LEFT(IF(O45="✓","Mã tra cứu|","")&amp;IF(P45="✓","MST người bán|","")&amp;IF(Q45="✓","MST người mua|","")&amp;IF(R45="✓","Mẫu số / Ký hiệu|","")&amp;IF(S45="✓","Số HĐ|","")&amp;IF(T45="✓","Ngày lập|","")&amp;IF(U45="✓","Tổng tiền|","")&amp;IF(V45="✓","Mã CQT|","")&amp;IF(W45="✓","Upload XML|","")&amp;IF(X45="✓","Captcha ảnh|","")&amp;IF(Y45="✓","Captcha dạng tích|","")&amp;IF(Z45="✓","Captcha khác (slider/hình)|","")&amp;IF(AA45="✓","Đăng nhập|","")&amp;IF(AB45="✓","Email/SĐT/OTP|",""),LEN(IF(O45="✓","Mã tra cứu|","")&amp;IF(P45="✓","MST người bán|","")&amp;IF(Q45="✓","MST người mua|","")&amp;IF(R45="✓","Mẫu số / Ký hiệu|","")&amp;IF(S45="✓","Số HĐ|","")&amp;IF(T45="✓","Ngày lập|","")&amp;IF(U45="✓","Tổng tiền|","")&amp;IF(V45="✓","Mã CQT|","")&amp;IF(W45="✓","Upload XML|","")&amp;IF(X45="✓","Captcha ảnh|","")&amp;IF(Y45="✓","Captcha dạng tích|","")&amp;IF(Z45="✓","Captcha khác (slider/hình)|","")&amp;IF(AA45="✓","Đăng nhập|","")&amp;IF(AB45="✓","Email/SĐT/OTP|",""))-1),"|"," + ")))</f>
        <v/>
      </c>
      <c r="I45" s="20" t="inlineStr">
        <is>
          <t>Xong</t>
        </is>
      </c>
      <c r="J45" s="17" t="n"/>
      <c r="K45" s="67" t="n">
        <v>0</v>
      </c>
      <c r="L45" s="20" t="inlineStr">
        <is>
          <t>g_160x75</t>
        </is>
      </c>
      <c r="M45" s="37" t="n"/>
      <c r="N45" s="38" t="inlineStr">
        <is>
          <t>OK</t>
        </is>
      </c>
      <c r="O45" s="39" t="inlineStr">
        <is>
          <t>✓</t>
        </is>
      </c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inlineStr">
        <is>
          <t>✓</t>
        </is>
      </c>
      <c r="Y45" s="39" t="n"/>
      <c r="Z45" s="39" t="n"/>
      <c r="AA45" s="39" t="n"/>
      <c r="AB45" s="39" t="n"/>
      <c r="AC45" s="39" t="n">
        <v>2</v>
      </c>
      <c r="AD45" s="16" t="inlineStr">
        <is>
          <t>ảnh 160x75 (GET /load-capcha, đặt làm background của ô input), ô 'Mã bảo vệ'</t>
        </is>
      </c>
      <c r="AE45" s="16" t="inlineStr">
        <is>
          <t>Chọn 'Theo file xml' (dropdown ckbtype): upload XML, ô captcha bị ẩn; dropdown thông tư 78 (mặc định) / 32</t>
        </is>
      </c>
      <c r="AF45" s="16" t="inlineStr">
        <is>
          <t>Form thường, không phải SPA. Ghi chú trên trang: mã tra cứu nằm trong email người bán gửi.</t>
        </is>
      </c>
      <c r="AG45" s="16" t="inlineStr">
        <is>
          <t>https://tracuu.hoadon30s.vn/</t>
        </is>
      </c>
      <c r="AH45" s="1" t="n"/>
      <c r="AI45" s="1" t="n"/>
      <c r="AJ45">
        <f>IFERROR(IF(INDEX(WBS2!$I$2:$I$25,MATCH($C45,WBS2!$F$2:$F$25,0))="","",INDEX(WBS2!$I$2:$I$25,MATCH($C45,WBS2!$F$2:$F$25,0))),"")</f>
        <v/>
      </c>
      <c r="AK45">
        <f>IFERROR(IF(INDEX(WBS2!$I$27:$I$162,MATCH($C45,WBS2!$F$27:$F$162,0))="","",INDEX(WBS2!$I$27:$I$162,MATCH($C45,WBS2!$F$27:$F$162,0))),"")</f>
        <v/>
      </c>
      <c r="AL45" s="102">
        <f>IFERROR(IF(OR($AK45="Chưa hoàn thành",$AK45="Sẵn sàng"),INDEX(WBS2!$H$27:$H$162,MATCH($C45,WBS2!$F$27:$F$162,0)),""),"")</f>
        <v/>
      </c>
      <c r="AM45">
        <f>IFERROR(IF(INDEX(WBS2!$J$27:$J$162,MATCH($C45,WBS2!$F$27:$F$162,0))="","",INDEX(WBS2!$J$27:$J$162,MATCH($C45,WBS2!$F$27:$F$162,0))),"")</f>
        <v/>
      </c>
      <c r="AN45">
        <f>IFERROR(IF(INDEX(WBS2!$I$163:$I$298,MATCH($C45,WBS2!$F$163:$F$298,0))="","",INDEX(WBS2!$I$163:$I$298,MATCH($C45,WBS2!$F$163:$F$298,0))),"")</f>
        <v/>
      </c>
      <c r="AO45" s="102">
        <f>IFERROR(IF(OR($AN45="Chưa hoàn thành",$AN45="Sẵn sàng"),INDEX(WBS2!$H$163:$H$298,MATCH($C45,WBS2!$F$163:$F$298,0)),""),"")</f>
        <v/>
      </c>
      <c r="AP45">
        <f>IFERROR(IF(INDEX(WBS2!$J$163:$J$298,MATCH($C45,WBS2!$F$163:$F$298,0))="","",INDEX(WBS2!$J$163:$J$298,MATCH($C45,WBS2!$F$163:$F$298,0))),"")</f>
        <v/>
      </c>
    </row>
    <row r="46" ht="14.25" customHeight="1">
      <c r="A46" s="13" t="n">
        <v>45</v>
      </c>
      <c r="B46" s="13" t="inlineStr">
        <is>
          <t>Công ty Cổ phần tích hợp công nghệ VNISC</t>
        </is>
      </c>
      <c r="C46" s="14" t="inlineStr">
        <is>
          <t>0103018807</t>
        </is>
      </c>
      <c r="D46" s="13" t="inlineStr">
        <is>
          <t>Số 21 ngõ 84/24 phó Ngọc Khánh, phường Giảng Võ, quận Ba Đình, Tp Hà Nội</t>
        </is>
      </c>
      <c r="E46" s="77" t="inlineStr">
        <is>
          <t>https://vnisc.com.vn</t>
        </is>
      </c>
      <c r="F46" s="20" t="inlineStr">
        <is>
          <t>có captcha</t>
        </is>
      </c>
      <c r="G46" s="63" t="inlineStr">
        <is>
          <t xml:space="preserve">https://invoice.abcsys.vn/Invoice/Search
</t>
        </is>
      </c>
      <c r="H46" s="35">
        <f>IF(N46&lt;&gt;"OK","",IF(IF(O46="✓","Mã tra cứu|","")&amp;IF(P46="✓","MST người bán|","")&amp;IF(Q46="✓","MST người mua|","")&amp;IF(R46="✓","Mẫu số / Ký hiệu|","")&amp;IF(S46="✓","Số HĐ|","")&amp;IF(T46="✓","Ngày lập|","")&amp;IF(U46="✓","Tổng tiền|","")&amp;IF(V46="✓","Mã CQT|","")&amp;IF(W46="✓","Upload XML|","")&amp;IF(X46="✓","Captcha ảnh|","")&amp;IF(Y46="✓","Captcha dạng tích|","")&amp;IF(Z46="✓","Captcha khác (slider/hình)|","")&amp;IF(AA46="✓","Đăng nhập|","")&amp;IF(AB46="✓","Email/SĐT/OTP|","")="","(không có tham số)",SUBSTITUTE(LEFT(IF(O46="✓","Mã tra cứu|","")&amp;IF(P46="✓","MST người bán|","")&amp;IF(Q46="✓","MST người mua|","")&amp;IF(R46="✓","Mẫu số / Ký hiệu|","")&amp;IF(S46="✓","Số HĐ|","")&amp;IF(T46="✓","Ngày lập|","")&amp;IF(U46="✓","Tổng tiền|","")&amp;IF(V46="✓","Mã CQT|","")&amp;IF(W46="✓","Upload XML|","")&amp;IF(X46="✓","Captcha ảnh|","")&amp;IF(Y46="✓","Captcha dạng tích|","")&amp;IF(Z46="✓","Captcha khác (slider/hình)|","")&amp;IF(AA46="✓","Đăng nhập|","")&amp;IF(AB46="✓","Email/SĐT/OTP|",""),LEN(IF(O46="✓","Mã tra cứu|","")&amp;IF(P46="✓","MST người bán|","")&amp;IF(Q46="✓","MST người mua|","")&amp;IF(R46="✓","Mẫu số / Ký hiệu|","")&amp;IF(S46="✓","Số HĐ|","")&amp;IF(T46="✓","Ngày lập|","")&amp;IF(U46="✓","Tổng tiền|","")&amp;IF(V46="✓","Mã CQT|","")&amp;IF(W46="✓","Upload XML|","")&amp;IF(X46="✓","Captcha ảnh|","")&amp;IF(Y46="✓","Captcha dạng tích|","")&amp;IF(Z46="✓","Captcha khác (slider/hình)|","")&amp;IF(AA46="✓","Đăng nhập|","")&amp;IF(AB46="✓","Email/SĐT/OTP|",""))-1),"|"," + ")))</f>
        <v/>
      </c>
      <c r="I46" s="20" t="inlineStr">
        <is>
          <t>Xong</t>
        </is>
      </c>
      <c r="J46" s="17" t="n"/>
      <c r="K46" s="17" t="n"/>
      <c r="L46" s="20" t="inlineStr">
        <is>
          <t>g_150x50_1</t>
        </is>
      </c>
      <c r="M46" s="79" t="inlineStr">
        <is>
          <t>https://invoice.abcsys.vn/Capchar/ShowCaptchaImage</t>
        </is>
      </c>
      <c r="N46" s="38" t="inlineStr">
        <is>
          <t>OK</t>
        </is>
      </c>
      <c r="O46" s="39" t="inlineStr">
        <is>
          <t>✓</t>
        </is>
      </c>
      <c r="P46" s="39" t="inlineStr">
        <is>
          <t>✓</t>
        </is>
      </c>
      <c r="Q46" s="39" t="n"/>
      <c r="R46" s="39" t="n"/>
      <c r="S46" s="39" t="n"/>
      <c r="T46" s="39" t="inlineStr">
        <is>
          <t>✓</t>
        </is>
      </c>
      <c r="U46" s="39" t="n"/>
      <c r="V46" s="39" t="n"/>
      <c r="W46" s="39" t="n"/>
      <c r="X46" s="39" t="inlineStr">
        <is>
          <t>✓</t>
        </is>
      </c>
      <c r="Y46" s="39" t="n"/>
      <c r="Z46" s="39" t="n"/>
      <c r="AA46" s="39" t="n"/>
      <c r="AB46" s="39" t="n"/>
      <c r="AC46" s="39" t="n">
        <v>4</v>
      </c>
      <c r="AD46" s="16" t="inlineStr">
        <is>
          <t>ảnh PNG base64 180x50 từ API gateway.v50.vninvoice.vn/api/portal/PortalApiService/captcha (hiển thị 288x80); nút 'reCaptcha' chỉ để làm mới ảnh, không phải Google reCAPTCHA</t>
        </is>
      </c>
      <c r="AE46" s="16" t="inlineStr">
        <is>
          <t>Tab 'Tra cứu chứng từ TNCN': số bảo mật + captcha ảnh; Tab 'Tra cứu theo XML': loại chứng từ + upload XML + captcha ảnh; Tab 'Xác thực XML': upload XML + captcha ảnh</t>
        </is>
      </c>
      <c r="AF46" s="16" t="inlineStr">
        <is>
          <t>SPA Angular (ng-zorro). Form mặc định: khoảng ngày HĐ (bắt đầu/kết thúc) + số bảo mật + MST người bán + mã xác thực. Ảnh thật 180x50, khác tên nhóm g_150x50_1.</t>
        </is>
      </c>
      <c r="AG46" s="16" t="inlineStr">
        <is>
          <t>https://tracuu.v50.vninvoice.vn/</t>
        </is>
      </c>
      <c r="AH46" s="1" t="n"/>
      <c r="AI46" s="1" t="n"/>
      <c r="AJ46">
        <f>IFERROR(IF(INDEX(WBS2!$I$2:$I$25,MATCH($C46,WBS2!$F$2:$F$25,0))="","",INDEX(WBS2!$I$2:$I$25,MATCH($C46,WBS2!$F$2:$F$25,0))),"")</f>
        <v/>
      </c>
      <c r="AK46">
        <f>IFERROR(IF(INDEX(WBS2!$I$27:$I$162,MATCH($C46,WBS2!$F$27:$F$162,0))="","",INDEX(WBS2!$I$27:$I$162,MATCH($C46,WBS2!$F$27:$F$162,0))),"")</f>
        <v/>
      </c>
      <c r="AL46" s="102">
        <f>IFERROR(IF(OR($AK46="Chưa hoàn thành",$AK46="Sẵn sàng"),INDEX(WBS2!$H$27:$H$162,MATCH($C46,WBS2!$F$27:$F$162,0)),""),"")</f>
        <v/>
      </c>
      <c r="AM46">
        <f>IFERROR(IF(INDEX(WBS2!$J$27:$J$162,MATCH($C46,WBS2!$F$27:$F$162,0))="","",INDEX(WBS2!$J$27:$J$162,MATCH($C46,WBS2!$F$27:$F$162,0))),"")</f>
        <v/>
      </c>
      <c r="AN46">
        <f>IFERROR(IF(INDEX(WBS2!$I$163:$I$298,MATCH($C46,WBS2!$F$163:$F$298,0))="","",INDEX(WBS2!$I$163:$I$298,MATCH($C46,WBS2!$F$163:$F$298,0))),"")</f>
        <v/>
      </c>
      <c r="AO46" s="102">
        <f>IFERROR(IF(OR($AN46="Chưa hoàn thành",$AN46="Sẵn sàng"),INDEX(WBS2!$H$163:$H$298,MATCH($C46,WBS2!$F$163:$F$298,0)),""),"")</f>
        <v/>
      </c>
      <c r="AP46">
        <f>IFERROR(IF(INDEX(WBS2!$J$163:$J$298,MATCH($C46,WBS2!$F$163:$F$298,0))="","",INDEX(WBS2!$J$163:$J$298,MATCH($C46,WBS2!$F$163:$F$298,0))),"")</f>
        <v/>
      </c>
    </row>
    <row r="47" ht="14.25" customHeight="1">
      <c r="A47" s="13" t="n">
        <v>46</v>
      </c>
      <c r="B47" s="13" t="inlineStr">
        <is>
          <t>Công ty TNHH Giải pháp hóa đơn điện tử My – Invoice</t>
        </is>
      </c>
      <c r="C47" s="14" t="inlineStr">
        <is>
          <t>0106820789</t>
        </is>
      </c>
      <c r="D47" s="13" t="inlineStr">
        <is>
          <t>Số 1/35 ngõ 196 đường Đại Mỗ, phường Đại Mỗ, quận Nam Từ Liêm, Tp Hà Nội</t>
        </is>
      </c>
      <c r="E47" s="18" t="inlineStr">
        <is>
          <t>https://hoadondientuvn.info</t>
        </is>
      </c>
      <c r="F47" s="20" t="inlineStr">
        <is>
          <t>có captcha</t>
        </is>
      </c>
      <c r="G47" s="78" t="inlineStr">
        <is>
          <t>https://tracuu.hoadondientuvn.info/#/tracuuhoadon/tracuu</t>
        </is>
      </c>
      <c r="H47" s="35">
        <f>IF(N47&lt;&gt;"OK","",IF(IF(O47="✓","Mã tra cứu|","")&amp;IF(P47="✓","MST người bán|","")&amp;IF(Q47="✓","MST người mua|","")&amp;IF(R47="✓","Mẫu số / Ký hiệu|","")&amp;IF(S47="✓","Số HĐ|","")&amp;IF(T47="✓","Ngày lập|","")&amp;IF(U47="✓","Tổng tiền|","")&amp;IF(V47="✓","Mã CQT|","")&amp;IF(W47="✓","Upload XML|","")&amp;IF(X47="✓","Captcha ảnh|","")&amp;IF(Y47="✓","Captcha dạng tích|","")&amp;IF(Z47="✓","Captcha khác (slider/hình)|","")&amp;IF(AA47="✓","Đăng nhập|","")&amp;IF(AB47="✓","Email/SĐT/OTP|","")="","(không có tham số)",SUBSTITUTE(LEFT(IF(O47="✓","Mã tra cứu|","")&amp;IF(P47="✓","MST người bán|","")&amp;IF(Q47="✓","MST người mua|","")&amp;IF(R47="✓","Mẫu số / Ký hiệu|","")&amp;IF(S47="✓","Số HĐ|","")&amp;IF(T47="✓","Ngày lập|","")&amp;IF(U47="✓","Tổng tiền|","")&amp;IF(V47="✓","Mã CQT|","")&amp;IF(W47="✓","Upload XML|","")&amp;IF(X47="✓","Captcha ảnh|","")&amp;IF(Y47="✓","Captcha dạng tích|","")&amp;IF(Z47="✓","Captcha khác (slider/hình)|","")&amp;IF(AA47="✓","Đăng nhập|","")&amp;IF(AB47="✓","Email/SĐT/OTP|",""),LEN(IF(O47="✓","Mã tra cứu|","")&amp;IF(P47="✓","MST người bán|","")&amp;IF(Q47="✓","MST người mua|","")&amp;IF(R47="✓","Mẫu số / Ký hiệu|","")&amp;IF(S47="✓","Số HĐ|","")&amp;IF(T47="✓","Ngày lập|","")&amp;IF(U47="✓","Tổng tiền|","")&amp;IF(V47="✓","Mã CQT|","")&amp;IF(W47="✓","Upload XML|","")&amp;IF(X47="✓","Captcha ảnh|","")&amp;IF(Y47="✓","Captcha dạng tích|","")&amp;IF(Z47="✓","Captcha khác (slider/hình)|","")&amp;IF(AA47="✓","Đăng nhập|","")&amp;IF(AB47="✓","Email/SĐT/OTP|",""))-1),"|"," + ")))</f>
        <v/>
      </c>
      <c r="I47" s="20" t="inlineStr">
        <is>
          <t>Xong</t>
        </is>
      </c>
      <c r="J47" s="23" t="inlineStr">
        <is>
          <t>https://bill2app.xcyber.vn/api/services/hddt/TraCuuHoaDon/RefreshCaptcha</t>
        </is>
      </c>
      <c r="K47" s="60" t="n">
        <v>0.9447</v>
      </c>
      <c r="L47" s="20" t="inlineStr">
        <is>
          <t>g_180x45</t>
        </is>
      </c>
      <c r="M47" s="37" t="n"/>
      <c r="N47" s="38" t="inlineStr">
        <is>
          <t>OK</t>
        </is>
      </c>
      <c r="O47" s="39" t="inlineStr">
        <is>
          <t>✓</t>
        </is>
      </c>
      <c r="P47" s="39" t="n"/>
      <c r="Q47" s="39" t="n"/>
      <c r="R47" s="39" t="n"/>
      <c r="S47" s="39" t="n"/>
      <c r="T47" s="39" t="n"/>
      <c r="U47" s="39" t="n"/>
      <c r="V47" s="39" t="n"/>
      <c r="W47" s="39" t="n"/>
      <c r="X47" s="39" t="inlineStr">
        <is>
          <t>✓</t>
        </is>
      </c>
      <c r="Y47" s="39" t="n"/>
      <c r="Z47" s="39" t="n"/>
      <c r="AA47" s="39" t="n"/>
      <c r="AB47" s="39" t="n"/>
      <c r="AC47" s="39" t="n">
        <v>2</v>
      </c>
      <c r="AD47" s="16" t="inlineStr">
        <is>
          <t>ảnh base64 300x75 (hiển thị 180x45) từ API bill2app.xcyber.vn/.../TraCuuHoaDon/RefreshCaptcha; recaptcha/api.js có nạp nhưng không render ô tích</t>
        </is>
      </c>
      <c r="AE47" s="16" t="inlineStr">
        <is>
          <t>Tab 'Xác thực hóa đơn' (#/tracuuhoadon/xacthuc): upload file XML + chọn cấu trúc (TT32 cũ/mới) + captcha ảnh</t>
        </is>
      </c>
      <c r="AF47" s="16" t="inlineStr">
        <is>
          <t>SPA (nền tảng xcyber, giống tracuu.lienson.vn). Ảnh thật 300x75; nhóm ghi g_180x45 là kích thước hiển thị.</t>
        </is>
      </c>
      <c r="AG47" s="16" t="inlineStr">
        <is>
          <t>https://tracuu.hoadondientuvn.info/#/tracuuhoadon/tracuu</t>
        </is>
      </c>
      <c r="AH47" s="1" t="n"/>
      <c r="AI47" s="1" t="n"/>
      <c r="AJ47">
        <f>IFERROR(IF(INDEX(WBS2!$I$2:$I$25,MATCH($C47,WBS2!$F$2:$F$25,0))="","",INDEX(WBS2!$I$2:$I$25,MATCH($C47,WBS2!$F$2:$F$25,0))),"")</f>
        <v/>
      </c>
      <c r="AK47">
        <f>IFERROR(IF(INDEX(WBS2!$I$27:$I$162,MATCH($C47,WBS2!$F$27:$F$162,0))="","",INDEX(WBS2!$I$27:$I$162,MATCH($C47,WBS2!$F$27:$F$162,0))),"")</f>
        <v/>
      </c>
      <c r="AL47" s="102">
        <f>IFERROR(IF(OR($AK47="Chưa hoàn thành",$AK47="Sẵn sàng"),INDEX(WBS2!$H$27:$H$162,MATCH($C47,WBS2!$F$27:$F$162,0)),""),"")</f>
        <v/>
      </c>
      <c r="AM47">
        <f>IFERROR(IF(INDEX(WBS2!$J$27:$J$162,MATCH($C47,WBS2!$F$27:$F$162,0))="","",INDEX(WBS2!$J$27:$J$162,MATCH($C47,WBS2!$F$27:$F$162,0))),"")</f>
        <v/>
      </c>
      <c r="AN47">
        <f>IFERROR(IF(INDEX(WBS2!$I$163:$I$298,MATCH($C47,WBS2!$F$163:$F$298,0))="","",INDEX(WBS2!$I$163:$I$298,MATCH($C47,WBS2!$F$163:$F$298,0))),"")</f>
        <v/>
      </c>
      <c r="AO47" s="102">
        <f>IFERROR(IF(OR($AN47="Chưa hoàn thành",$AN47="Sẵn sàng"),INDEX(WBS2!$H$163:$H$298,MATCH($C47,WBS2!$F$163:$F$298,0)),""),"")</f>
        <v/>
      </c>
      <c r="AP47">
        <f>IFERROR(IF(INDEX(WBS2!$J$163:$J$298,MATCH($C47,WBS2!$F$163:$F$298,0))="","",INDEX(WBS2!$J$163:$J$298,MATCH($C47,WBS2!$F$163:$F$298,0))),"")</f>
        <v/>
      </c>
    </row>
    <row r="48" hidden="1" ht="14.25" customHeight="1">
      <c r="A48" s="13" t="n">
        <v>47</v>
      </c>
      <c r="B48" s="13" t="inlineStr">
        <is>
          <t>Công ty Cổ phần Chứng số An toàn</t>
        </is>
      </c>
      <c r="C48" s="14" t="inlineStr">
        <is>
          <t>0310151055</t>
        </is>
      </c>
      <c r="D48" s="13" t="inlineStr">
        <is>
          <t>X-04.77, tòa nhà North Towers, Sunrise City, số 27 Nguyễn Hữu Thọ, phường Tân Hưng, quận 7, Tp Hồ Chí Minh</t>
        </is>
      </c>
      <c r="E48" s="18" t="inlineStr">
        <is>
          <t>https://www.SAFEinvoice.vn</t>
        </is>
      </c>
      <c r="F48" s="20" t="inlineStr">
        <is>
          <t>captcha dạng tích</t>
        </is>
      </c>
      <c r="G48" s="63" t="inlineStr">
        <is>
          <t>https://www.safecert.com.vn/search_certificate</t>
        </is>
      </c>
      <c r="H48" s="35">
        <f>IF(N48&lt;&gt;"OK","",IF(IF(O48="✓","Mã tra cứu|","")&amp;IF(P48="✓","MST người bán|","")&amp;IF(Q48="✓","MST người mua|","")&amp;IF(R48="✓","Mẫu số / Ký hiệu|","")&amp;IF(S48="✓","Số HĐ|","")&amp;IF(T48="✓","Ngày lập|","")&amp;IF(U48="✓","Tổng tiền|","")&amp;IF(V48="✓","Mã CQT|","")&amp;IF(W48="✓","Upload XML|","")&amp;IF(X48="✓","Captcha ảnh|","")&amp;IF(Y48="✓","Captcha dạng tích|","")&amp;IF(Z48="✓","Captcha khác (slider/hình)|","")&amp;IF(AA48="✓","Đăng nhập|","")&amp;IF(AB48="✓","Email/SĐT/OTP|","")="","(không có tham số)",SUBSTITUTE(LEFT(IF(O48="✓","Mã tra cứu|","")&amp;IF(P48="✓","MST người bán|","")&amp;IF(Q48="✓","MST người mua|","")&amp;IF(R48="✓","Mẫu số / Ký hiệu|","")&amp;IF(S48="✓","Số HĐ|","")&amp;IF(T48="✓","Ngày lập|","")&amp;IF(U48="✓","Tổng tiền|","")&amp;IF(V48="✓","Mã CQT|","")&amp;IF(W48="✓","Upload XML|","")&amp;IF(X48="✓","Captcha ảnh|","")&amp;IF(Y48="✓","Captcha dạng tích|","")&amp;IF(Z48="✓","Captcha khác (slider/hình)|","")&amp;IF(AA48="✓","Đăng nhập|","")&amp;IF(AB48="✓","Email/SĐT/OTP|",""),LEN(IF(O48="✓","Mã tra cứu|","")&amp;IF(P48="✓","MST người bán|","")&amp;IF(Q48="✓","MST người mua|","")&amp;IF(R48="✓","Mẫu số / Ký hiệu|","")&amp;IF(S48="✓","Số HĐ|","")&amp;IF(T48="✓","Ngày lập|","")&amp;IF(U48="✓","Tổng tiền|","")&amp;IF(V48="✓","Mã CQT|","")&amp;IF(W48="✓","Upload XML|","")&amp;IF(X48="✓","Captcha ảnh|","")&amp;IF(Y48="✓","Captcha dạng tích|","")&amp;IF(Z48="✓","Captcha khác (slider/hình)|","")&amp;IF(AA48="✓","Đăng nhập|","")&amp;IF(AB48="✓","Email/SĐT/OTP|",""))-1),"|"," + ")))</f>
        <v/>
      </c>
      <c r="I48" s="17" t="n"/>
      <c r="J48" s="17" t="n"/>
      <c r="K48" s="17" t="n"/>
      <c r="L48" s="17" t="n"/>
      <c r="M48" s="37" t="n"/>
      <c r="N48" s="38" t="inlineStr">
        <is>
          <t>Không xác định</t>
        </is>
      </c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inlineStr">
        <is>
          <t>✓</t>
        </is>
      </c>
      <c r="Z48" s="39" t="n"/>
      <c r="AA48" s="39" t="n"/>
      <c r="AB48" s="39" t="n"/>
      <c r="AC48" s="39" t="n"/>
      <c r="AD48" s="16" t="inlineStr">
        <is>
          <t>reCAPTCHA v2 checkbox (size=normal)</t>
        </is>
      </c>
      <c r="AE48" s="16" t="n"/>
      <c r="AF48" s="16" t="inlineStr">
        <is>
          <t>Link là trang tra cứu CHỨNG THƯ SỐ (tên cá nhân/tổ chức + MST/CCCD/CMND), không phải form tra HĐ. Web www.SAFEinvoice.vn không phân giải DNS; menu safecert.com.vn chỉ có link này. Không tìm được cổng tra HĐ.</t>
        </is>
      </c>
      <c r="AG48" s="16" t="inlineStr">
        <is>
          <t>https://www.safecert.com.vn/search_certificate</t>
        </is>
      </c>
      <c r="AH48" s="1" t="n"/>
      <c r="AI48" s="1" t="n"/>
      <c r="AJ48">
        <f>IFERROR(IF(INDEX(WBS2!$I$2:$I$25,MATCH($C48,WBS2!$F$2:$F$25,0))="","",INDEX(WBS2!$I$2:$I$25,MATCH($C48,WBS2!$F$2:$F$25,0))),"")</f>
        <v/>
      </c>
      <c r="AK48">
        <f>IFERROR(IF(INDEX(WBS2!$I$27:$I$162,MATCH($C48,WBS2!$F$27:$F$162,0))="","",INDEX(WBS2!$I$27:$I$162,MATCH($C48,WBS2!$F$27:$F$162,0))),"")</f>
        <v/>
      </c>
      <c r="AL48" s="102">
        <f>IFERROR(IF(OR($AK48="Chưa hoàn thành",$AK48="Sẵn sàng"),INDEX(WBS2!$H$27:$H$162,MATCH($C48,WBS2!$F$27:$F$162,0)),""),"")</f>
        <v/>
      </c>
      <c r="AM48">
        <f>IFERROR(IF(INDEX(WBS2!$J$27:$J$162,MATCH($C48,WBS2!$F$27:$F$162,0))="","",INDEX(WBS2!$J$27:$J$162,MATCH($C48,WBS2!$F$27:$F$162,0))),"")</f>
        <v/>
      </c>
      <c r="AN48">
        <f>IFERROR(IF(INDEX(WBS2!$I$163:$I$298,MATCH($C48,WBS2!$F$163:$F$298,0))="","",INDEX(WBS2!$I$163:$I$298,MATCH($C48,WBS2!$F$163:$F$298,0))),"")</f>
        <v/>
      </c>
      <c r="AO48" s="102">
        <f>IFERROR(IF(OR($AN48="Chưa hoàn thành",$AN48="Sẵn sàng"),INDEX(WBS2!$H$163:$H$298,MATCH($C48,WBS2!$F$163:$F$298,0)),""),"")</f>
        <v/>
      </c>
      <c r="AP48">
        <f>IFERROR(IF(INDEX(WBS2!$J$163:$J$298,MATCH($C48,WBS2!$F$163:$F$298,0))="","",INDEX(WBS2!$J$163:$J$298,MATCH($C48,WBS2!$F$163:$F$298,0))),"")</f>
        <v/>
      </c>
    </row>
    <row r="49" hidden="1" ht="14.25" customHeight="1">
      <c r="A49" s="13" t="n">
        <v>48</v>
      </c>
      <c r="B49" s="13" t="inlineStr">
        <is>
          <t>Công ty Cổ phần công nghệ San Phú</t>
        </is>
      </c>
      <c r="C49" s="14" t="inlineStr">
        <is>
          <t>0303430876</t>
        </is>
      </c>
      <c r="D49" s="13" t="inlineStr">
        <is>
          <t>Phòng 0206, Block A, tòa nhà Lexingtn, 67 Mai Chí Thọ, phường An Phú, thành phố Thủ Đức, Tp Hồ Chí Minh</t>
        </is>
      </c>
      <c r="E49" s="18" t="inlineStr">
        <is>
          <t>www.spc-technology.com</t>
        </is>
      </c>
      <c r="F49" s="20" t="inlineStr">
        <is>
          <t>đọc xml</t>
        </is>
      </c>
      <c r="G49" s="63" t="inlineStr">
        <is>
          <t>https://dailychukyso.com.vn/mst/tools/read-xml.php</t>
        </is>
      </c>
      <c r="H49" s="35">
        <f>IF(N49&lt;&gt;"OK","",IF(IF(O49="✓","Mã tra cứu|","")&amp;IF(P49="✓","MST người bán|","")&amp;IF(Q49="✓","MST người mua|","")&amp;IF(R49="✓","Mẫu số / Ký hiệu|","")&amp;IF(S49="✓","Số HĐ|","")&amp;IF(T49="✓","Ngày lập|","")&amp;IF(U49="✓","Tổng tiền|","")&amp;IF(V49="✓","Mã CQT|","")&amp;IF(W49="✓","Upload XML|","")&amp;IF(X49="✓","Captcha ảnh|","")&amp;IF(Y49="✓","Captcha dạng tích|","")&amp;IF(Z49="✓","Captcha khác (slider/hình)|","")&amp;IF(AA49="✓","Đăng nhập|","")&amp;IF(AB49="✓","Email/SĐT/OTP|","")="","(không có tham số)",SUBSTITUTE(LEFT(IF(O49="✓","Mã tra cứu|","")&amp;IF(P49="✓","MST người bán|","")&amp;IF(Q49="✓","MST người mua|","")&amp;IF(R49="✓","Mẫu số / Ký hiệu|","")&amp;IF(S49="✓","Số HĐ|","")&amp;IF(T49="✓","Ngày lập|","")&amp;IF(U49="✓","Tổng tiền|","")&amp;IF(V49="✓","Mã CQT|","")&amp;IF(W49="✓","Upload XML|","")&amp;IF(X49="✓","Captcha ảnh|","")&amp;IF(Y49="✓","Captcha dạng tích|","")&amp;IF(Z49="✓","Captcha khác (slider/hình)|","")&amp;IF(AA49="✓","Đăng nhập|","")&amp;IF(AB49="✓","Email/SĐT/OTP|",""),LEN(IF(O49="✓","Mã tra cứu|","")&amp;IF(P49="✓","MST người bán|","")&amp;IF(Q49="✓","MST người mua|","")&amp;IF(R49="✓","Mẫu số / Ký hiệu|","")&amp;IF(S49="✓","Số HĐ|","")&amp;IF(T49="✓","Ngày lập|","")&amp;IF(U49="✓","Tổng tiền|","")&amp;IF(V49="✓","Mã CQT|","")&amp;IF(W49="✓","Upload XML|","")&amp;IF(X49="✓","Captcha ảnh|","")&amp;IF(Y49="✓","Captcha dạng tích|","")&amp;IF(Z49="✓","Captcha khác (slider/hình)|","")&amp;IF(AA49="✓","Đăng nhập|","")&amp;IF(AB49="✓","Email/SĐT/OTP|",""))-1),"|"," + ")))</f>
        <v/>
      </c>
      <c r="I49" s="17" t="n"/>
      <c r="J49" s="17" t="n"/>
      <c r="K49" s="17" t="n"/>
      <c r="L49" s="17" t="n"/>
      <c r="M49" s="37" t="n"/>
      <c r="N49" s="38" t="inlineStr">
        <is>
          <t>OK</t>
        </is>
      </c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inlineStr">
        <is>
          <t>✓</t>
        </is>
      </c>
      <c r="X49" s="39" t="n"/>
      <c r="Y49" s="39" t="n"/>
      <c r="Z49" s="39" t="n"/>
      <c r="AA49" s="39" t="n"/>
      <c r="AB49" s="39" t="n"/>
      <c r="AC49" s="39" t="n">
        <v>1</v>
      </c>
      <c r="AD49" s="16" t="inlineStr">
        <is>
          <t>không có trên form chính (có khối captcha GDT dạng SVG 140x50 đang ẩn, có lẽ chỉ hiện khi kiểm tra với CQT sau khi đọc XML)</t>
        </is>
      </c>
      <c r="AE49" s="16" t="n"/>
      <c r="AF49" s="16" t="inlineStr">
        <is>
          <t>Công cụ đọc XML của bên thứ ba (MST Lookup), không phải cổng tra cứu của NCC: kéo thả file XML, đọc ngay trên trình duyệt, in PDF từ XML. Web spc-technology.com là trang ERP, không có link tra HĐ.</t>
        </is>
      </c>
      <c r="AG49" s="16" t="inlineStr">
        <is>
          <t>https://dailychukyso.com.vn/mst/tools/read-xml.php</t>
        </is>
      </c>
      <c r="AH49" s="1" t="n"/>
      <c r="AI49" s="1" t="n"/>
      <c r="AJ49">
        <f>IFERROR(IF(INDEX(WBS2!$I$2:$I$25,MATCH($C49,WBS2!$F$2:$F$25,0))="","",INDEX(WBS2!$I$2:$I$25,MATCH($C49,WBS2!$F$2:$F$25,0))),"")</f>
        <v/>
      </c>
      <c r="AK49">
        <f>IFERROR(IF(INDEX(WBS2!$I$27:$I$162,MATCH($C49,WBS2!$F$27:$F$162,0))="","",INDEX(WBS2!$I$27:$I$162,MATCH($C49,WBS2!$F$27:$F$162,0))),"")</f>
        <v/>
      </c>
      <c r="AL49" s="102">
        <f>IFERROR(IF(OR($AK49="Chưa hoàn thành",$AK49="Sẵn sàng"),INDEX(WBS2!$H$27:$H$162,MATCH($C49,WBS2!$F$27:$F$162,0)),""),"")</f>
        <v/>
      </c>
      <c r="AM49">
        <f>IFERROR(IF(INDEX(WBS2!$J$27:$J$162,MATCH($C49,WBS2!$F$27:$F$162,0))="","",INDEX(WBS2!$J$27:$J$162,MATCH($C49,WBS2!$F$27:$F$162,0))),"")</f>
        <v/>
      </c>
      <c r="AN49">
        <f>IFERROR(IF(INDEX(WBS2!$I$163:$I$298,MATCH($C49,WBS2!$F$163:$F$298,0))="","",INDEX(WBS2!$I$163:$I$298,MATCH($C49,WBS2!$F$163:$F$298,0))),"")</f>
        <v/>
      </c>
      <c r="AO49" s="102">
        <f>IFERROR(IF(OR($AN49="Chưa hoàn thành",$AN49="Sẵn sàng"),INDEX(WBS2!$H$163:$H$298,MATCH($C49,WBS2!$F$163:$F$298,0)),""),"")</f>
        <v/>
      </c>
      <c r="AP49">
        <f>IFERROR(IF(INDEX(WBS2!$J$163:$J$298,MATCH($C49,WBS2!$F$163:$F$298,0))="","",INDEX(WBS2!$J$163:$J$298,MATCH($C49,WBS2!$F$163:$F$298,0))),"")</f>
        <v/>
      </c>
    </row>
    <row r="50" ht="14.25" customHeight="1">
      <c r="A50" s="13" t="n">
        <v>49</v>
      </c>
      <c r="B50" s="13" t="inlineStr">
        <is>
          <t>Công ty TNHH Giấy vi tính Liên Sơn</t>
        </is>
      </c>
      <c r="C50" s="14" t="inlineStr">
        <is>
          <t>0301452923</t>
        </is>
      </c>
      <c r="D50" s="13" t="inlineStr">
        <is>
          <t>34 Nguyễn Bỉnh Khiêm, phường Đa Kao, quận 1, Tp Hồ Chí Minh</t>
        </is>
      </c>
      <c r="E50" s="18" t="inlineStr">
        <is>
          <t>https://hoadondientu.lienson.vn</t>
        </is>
      </c>
      <c r="F50" s="20" t="inlineStr">
        <is>
          <t>có captcha</t>
        </is>
      </c>
      <c r="G50" s="68" t="inlineStr">
        <is>
          <t>https://tracuu.lienson.vn/#/tracuuhoadon/tracuu</t>
        </is>
      </c>
      <c r="H50" s="35">
        <f>IF(N50&lt;&gt;"OK","",IF(IF(O50="✓","Mã tra cứu|","")&amp;IF(P50="✓","MST người bán|","")&amp;IF(Q50="✓","MST người mua|","")&amp;IF(R50="✓","Mẫu số / Ký hiệu|","")&amp;IF(S50="✓","Số HĐ|","")&amp;IF(T50="✓","Ngày lập|","")&amp;IF(U50="✓","Tổng tiền|","")&amp;IF(V50="✓","Mã CQT|","")&amp;IF(W50="✓","Upload XML|","")&amp;IF(X50="✓","Captcha ảnh|","")&amp;IF(Y50="✓","Captcha dạng tích|","")&amp;IF(Z50="✓","Captcha khác (slider/hình)|","")&amp;IF(AA50="✓","Đăng nhập|","")&amp;IF(AB50="✓","Email/SĐT/OTP|","")="","(không có tham số)",SUBSTITUTE(LEFT(IF(O50="✓","Mã tra cứu|","")&amp;IF(P50="✓","MST người bán|","")&amp;IF(Q50="✓","MST người mua|","")&amp;IF(R50="✓","Mẫu số / Ký hiệu|","")&amp;IF(S50="✓","Số HĐ|","")&amp;IF(T50="✓","Ngày lập|","")&amp;IF(U50="✓","Tổng tiền|","")&amp;IF(V50="✓","Mã CQT|","")&amp;IF(W50="✓","Upload XML|","")&amp;IF(X50="✓","Captcha ảnh|","")&amp;IF(Y50="✓","Captcha dạng tích|","")&amp;IF(Z50="✓","Captcha khác (slider/hình)|","")&amp;IF(AA50="✓","Đăng nhập|","")&amp;IF(AB50="✓","Email/SĐT/OTP|",""),LEN(IF(O50="✓","Mã tra cứu|","")&amp;IF(P50="✓","MST người bán|","")&amp;IF(Q50="✓","MST người mua|","")&amp;IF(R50="✓","Mẫu số / Ký hiệu|","")&amp;IF(S50="✓","Số HĐ|","")&amp;IF(T50="✓","Ngày lập|","")&amp;IF(U50="✓","Tổng tiền|","")&amp;IF(V50="✓","Mã CQT|","")&amp;IF(W50="✓","Upload XML|","")&amp;IF(X50="✓","Captcha ảnh|","")&amp;IF(Y50="✓","Captcha dạng tích|","")&amp;IF(Z50="✓","Captcha khác (slider/hình)|","")&amp;IF(AA50="✓","Đăng nhập|","")&amp;IF(AB50="✓","Email/SĐT/OTP|",""))-1),"|"," + ")))</f>
        <v/>
      </c>
      <c r="I50" s="20" t="inlineStr">
        <is>
          <t>Xong</t>
        </is>
      </c>
      <c r="J50" s="17" t="n"/>
      <c r="K50" s="67" t="n">
        <v>0.977</v>
      </c>
      <c r="L50" s="20" t="inlineStr">
        <is>
          <t>g_300x75</t>
        </is>
      </c>
      <c r="M50" s="37" t="n"/>
      <c r="N50" s="38" t="inlineStr">
        <is>
          <t>OK</t>
        </is>
      </c>
      <c r="O50" s="39" t="inlineStr">
        <is>
          <t>✓</t>
        </is>
      </c>
      <c r="P50" s="39" t="n"/>
      <c r="Q50" s="39" t="n"/>
      <c r="R50" s="39" t="n"/>
      <c r="S50" s="39" t="n"/>
      <c r="T50" s="39" t="n"/>
      <c r="U50" s="39" t="n"/>
      <c r="V50" s="39" t="n"/>
      <c r="W50" s="39" t="n"/>
      <c r="X50" s="39" t="inlineStr">
        <is>
          <t>✓</t>
        </is>
      </c>
      <c r="Y50" s="39" t="n"/>
      <c r="Z50" s="39" t="n"/>
      <c r="AA50" s="39" t="n"/>
      <c r="AB50" s="39" t="n"/>
      <c r="AC50" s="39" t="n">
        <v>2</v>
      </c>
      <c r="AD50" s="16" t="inlineStr">
        <is>
          <t>ảnh base64 300x75 (hiển thị 180x45) từ API ls-invoiceapp.lienson.vn/.../TraCuuHoaDon/RefreshCaptcha; recaptcha/api.js có nạp nhưng không render ô tích</t>
        </is>
      </c>
      <c r="AE50" s="16" t="inlineStr">
        <is>
          <t>Tab 'Xác thực hóa đơn': upload file XML + chọn cấu trúc + captcha ảnh</t>
        </is>
      </c>
      <c r="AF50" s="16" t="inlineStr">
        <is>
          <t>SPA, cùng nền tảng xcyber với tracuu.hoadondientuvn.info (row 47).</t>
        </is>
      </c>
      <c r="AG50" s="16" t="inlineStr">
        <is>
          <t>https://tracuu.lienson.vn/#/tracuuhoadon/tracuu</t>
        </is>
      </c>
      <c r="AH50" s="1" t="n"/>
      <c r="AI50" s="1" t="n"/>
      <c r="AJ50">
        <f>IFERROR(IF(INDEX(WBS2!$I$2:$I$25,MATCH($C50,WBS2!$F$2:$F$25,0))="","",INDEX(WBS2!$I$2:$I$25,MATCH($C50,WBS2!$F$2:$F$25,0))),"")</f>
        <v/>
      </c>
      <c r="AK50">
        <f>IFERROR(IF(INDEX(WBS2!$I$27:$I$162,MATCH($C50,WBS2!$F$27:$F$162,0))="","",INDEX(WBS2!$I$27:$I$162,MATCH($C50,WBS2!$F$27:$F$162,0))),"")</f>
        <v/>
      </c>
      <c r="AL50" s="102">
        <f>IFERROR(IF(OR($AK50="Chưa hoàn thành",$AK50="Sẵn sàng"),INDEX(WBS2!$H$27:$H$162,MATCH($C50,WBS2!$F$27:$F$162,0)),""),"")</f>
        <v/>
      </c>
      <c r="AM50">
        <f>IFERROR(IF(INDEX(WBS2!$J$27:$J$162,MATCH($C50,WBS2!$F$27:$F$162,0))="","",INDEX(WBS2!$J$27:$J$162,MATCH($C50,WBS2!$F$27:$F$162,0))),"")</f>
        <v/>
      </c>
      <c r="AN50">
        <f>IFERROR(IF(INDEX(WBS2!$I$163:$I$298,MATCH($C50,WBS2!$F$163:$F$298,0))="","",INDEX(WBS2!$I$163:$I$298,MATCH($C50,WBS2!$F$163:$F$298,0))),"")</f>
        <v/>
      </c>
      <c r="AO50" s="102">
        <f>IFERROR(IF(OR($AN50="Chưa hoàn thành",$AN50="Sẵn sàng"),INDEX(WBS2!$H$163:$H$298,MATCH($C50,WBS2!$F$163:$F$298,0)),""),"")</f>
        <v/>
      </c>
      <c r="AP50">
        <f>IFERROR(IF(INDEX(WBS2!$J$163:$J$298,MATCH($C50,WBS2!$F$163:$F$298,0))="","",INDEX(WBS2!$J$163:$J$298,MATCH($C50,WBS2!$F$163:$F$298,0))),"")</f>
        <v/>
      </c>
    </row>
    <row r="51" hidden="1" ht="14.25" customHeight="1">
      <c r="A51" s="13" t="n">
        <v>50</v>
      </c>
      <c r="B51" s="13" t="inlineStr">
        <is>
          <t>Công ty TNHH Thương Mại dịch vụ Online VI NA</t>
        </is>
      </c>
      <c r="C51" s="14" t="inlineStr">
        <is>
          <t>0314185087</t>
        </is>
      </c>
      <c r="D51" s="13" t="inlineStr">
        <is>
          <t>22/1/2 Nguyễn Văn Săng, phường Tân Sơn Nhì, quận Tân Phú, Tp Hồ Chí Minh</t>
        </is>
      </c>
      <c r="E51" s="18" t="inlineStr">
        <is>
          <t>https://onlinevina.com.vn</t>
        </is>
      </c>
      <c r="F51" s="20" t="inlineStr">
        <is>
          <t>Không có captcha</t>
        </is>
      </c>
      <c r="G51" s="20" t="inlineStr">
        <is>
          <t>https://hoadon.onlinevina.com.vn/invoice</t>
        </is>
      </c>
      <c r="H51" s="35">
        <f>IF(N51&lt;&gt;"OK","",IF(IF(O51="✓","Mã tra cứu|","")&amp;IF(P51="✓","MST người bán|","")&amp;IF(Q51="✓","MST người mua|","")&amp;IF(R51="✓","Mẫu số / Ký hiệu|","")&amp;IF(S51="✓","Số HĐ|","")&amp;IF(T51="✓","Ngày lập|","")&amp;IF(U51="✓","Tổng tiền|","")&amp;IF(V51="✓","Mã CQT|","")&amp;IF(W51="✓","Upload XML|","")&amp;IF(X51="✓","Captcha ảnh|","")&amp;IF(Y51="✓","Captcha dạng tích|","")&amp;IF(Z51="✓","Captcha khác (slider/hình)|","")&amp;IF(AA51="✓","Đăng nhập|","")&amp;IF(AB51="✓","Email/SĐT/OTP|","")="","(không có tham số)",SUBSTITUTE(LEFT(IF(O51="✓","Mã tra cứu|","")&amp;IF(P51="✓","MST người bán|","")&amp;IF(Q51="✓","MST người mua|","")&amp;IF(R51="✓","Mẫu số / Ký hiệu|","")&amp;IF(S51="✓","Số HĐ|","")&amp;IF(T51="✓","Ngày lập|","")&amp;IF(U51="✓","Tổng tiền|","")&amp;IF(V51="✓","Mã CQT|","")&amp;IF(W51="✓","Upload XML|","")&amp;IF(X51="✓","Captcha ảnh|","")&amp;IF(Y51="✓","Captcha dạng tích|","")&amp;IF(Z51="✓","Captcha khác (slider/hình)|","")&amp;IF(AA51="✓","Đăng nhập|","")&amp;IF(AB51="✓","Email/SĐT/OTP|",""),LEN(IF(O51="✓","Mã tra cứu|","")&amp;IF(P51="✓","MST người bán|","")&amp;IF(Q51="✓","MST người mua|","")&amp;IF(R51="✓","Mẫu số / Ký hiệu|","")&amp;IF(S51="✓","Số HĐ|","")&amp;IF(T51="✓","Ngày lập|","")&amp;IF(U51="✓","Tổng tiền|","")&amp;IF(V51="✓","Mã CQT|","")&amp;IF(W51="✓","Upload XML|","")&amp;IF(X51="✓","Captcha ảnh|","")&amp;IF(Y51="✓","Captcha dạng tích|","")&amp;IF(Z51="✓","Captcha khác (slider/hình)|","")&amp;IF(AA51="✓","Đăng nhập|","")&amp;IF(AB51="✓","Email/SĐT/OTP|",""))-1),"|"," + ")))</f>
        <v/>
      </c>
      <c r="I51" s="17" t="n"/>
      <c r="J51" s="17" t="n"/>
      <c r="K51" s="17" t="n"/>
      <c r="L51" s="17" t="n"/>
      <c r="M51" s="37" t="n"/>
      <c r="N51" s="38" t="inlineStr">
        <is>
          <t>OK</t>
        </is>
      </c>
      <c r="O51" s="39" t="inlineStr">
        <is>
          <t>✓</t>
        </is>
      </c>
      <c r="P51" s="39" t="n"/>
      <c r="Q51" s="39" t="n"/>
      <c r="R51" s="39" t="n"/>
      <c r="S51" s="39" t="n"/>
      <c r="T51" s="39" t="n"/>
      <c r="U51" s="39" t="n"/>
      <c r="V51" s="39" t="n"/>
      <c r="W51" s="39" t="n"/>
      <c r="X51" s="39" t="n"/>
      <c r="Y51" s="39" t="n"/>
      <c r="Z51" s="39" t="n"/>
      <c r="AA51" s="39" t="n"/>
      <c r="AB51" s="39" t="n"/>
      <c r="AC51" s="39" t="n">
        <v>1</v>
      </c>
      <c r="AD51" s="16" t="inlineStr">
        <is>
          <t>không có</t>
        </is>
      </c>
      <c r="AE51" s="16" t="n"/>
      <c r="AF51" s="16" t="inlineStr">
        <is>
          <t>Chỉ 1 ô 'Mã tra cứu(*)' (input type=password).</t>
        </is>
      </c>
      <c r="AG51" s="16" t="inlineStr">
        <is>
          <t>https://hoadon.onlinevina.com.vn/invoice</t>
        </is>
      </c>
      <c r="AH51" s="1" t="n"/>
      <c r="AI51" s="1" t="n"/>
      <c r="AJ51">
        <f>IFERROR(IF(INDEX(WBS2!$I$2:$I$25,MATCH($C51,WBS2!$F$2:$F$25,0))="","",INDEX(WBS2!$I$2:$I$25,MATCH($C51,WBS2!$F$2:$F$25,0))),"")</f>
        <v/>
      </c>
      <c r="AK51">
        <f>IFERROR(IF(INDEX(WBS2!$I$27:$I$162,MATCH($C51,WBS2!$F$27:$F$162,0))="","",INDEX(WBS2!$I$27:$I$162,MATCH($C51,WBS2!$F$27:$F$162,0))),"")</f>
        <v/>
      </c>
      <c r="AL51" s="102">
        <f>IFERROR(IF(OR($AK51="Chưa hoàn thành",$AK51="Sẵn sàng"),INDEX(WBS2!$H$27:$H$162,MATCH($C51,WBS2!$F$27:$F$162,0)),""),"")</f>
        <v/>
      </c>
      <c r="AM51">
        <f>IFERROR(IF(INDEX(WBS2!$J$27:$J$162,MATCH($C51,WBS2!$F$27:$F$162,0))="","",INDEX(WBS2!$J$27:$J$162,MATCH($C51,WBS2!$F$27:$F$162,0))),"")</f>
        <v/>
      </c>
      <c r="AN51">
        <f>IFERROR(IF(INDEX(WBS2!$I$163:$I$298,MATCH($C51,WBS2!$F$163:$F$298,0))="","",INDEX(WBS2!$I$163:$I$298,MATCH($C51,WBS2!$F$163:$F$298,0))),"")</f>
        <v/>
      </c>
      <c r="AO51" s="102">
        <f>IFERROR(IF(OR($AN51="Chưa hoàn thành",$AN51="Sẵn sàng"),INDEX(WBS2!$H$163:$H$298,MATCH($C51,WBS2!$F$163:$F$298,0)),""),"")</f>
        <v/>
      </c>
      <c r="AP51">
        <f>IFERROR(IF(INDEX(WBS2!$J$163:$J$298,MATCH($C51,WBS2!$F$163:$F$298,0))="","",INDEX(WBS2!$J$163:$J$298,MATCH($C51,WBS2!$F$163:$F$298,0))),"")</f>
        <v/>
      </c>
    </row>
    <row r="52" hidden="1" ht="14.25" customHeight="1">
      <c r="A52" s="13" t="n">
        <v>51</v>
      </c>
      <c r="B52" s="13" t="inlineStr">
        <is>
          <t>Công ty Cổ phần dịch vụ viễn thông và in Bưu điện</t>
        </is>
      </c>
      <c r="C52" s="14" t="inlineStr">
        <is>
          <t>0100687474</t>
        </is>
      </c>
      <c r="D52" s="13" t="inlineStr">
        <is>
          <t>Số 564, đường Nguyễn Văn Cừ, phường Gia Thụy, quận Long Biên, Tp Hà Nội</t>
        </is>
      </c>
      <c r="E52" s="18" t="inlineStr">
        <is>
          <t>https://hoadondientu-ptp.vn</t>
        </is>
      </c>
      <c r="F52" s="20" t="inlineStr">
        <is>
          <t>Không có captcha</t>
        </is>
      </c>
      <c r="G52" s="23" t="inlineStr">
        <is>
          <t>https://hoadondientu-ptp.vn/tra-cuu/</t>
        </is>
      </c>
      <c r="H52" s="35">
        <f>IF(N52&lt;&gt;"OK","",IF(IF(O52="✓","Mã tra cứu|","")&amp;IF(P52="✓","MST người bán|","")&amp;IF(Q52="✓","MST người mua|","")&amp;IF(R52="✓","Mẫu số / Ký hiệu|","")&amp;IF(S52="✓","Số HĐ|","")&amp;IF(T52="✓","Ngày lập|","")&amp;IF(U52="✓","Tổng tiền|","")&amp;IF(V52="✓","Mã CQT|","")&amp;IF(W52="✓","Upload XML|","")&amp;IF(X52="✓","Captcha ảnh|","")&amp;IF(Y52="✓","Captcha dạng tích|","")&amp;IF(Z52="✓","Captcha khác (slider/hình)|","")&amp;IF(AA52="✓","Đăng nhập|","")&amp;IF(AB52="✓","Email/SĐT/OTP|","")="","(không có tham số)",SUBSTITUTE(LEFT(IF(O52="✓","Mã tra cứu|","")&amp;IF(P52="✓","MST người bán|","")&amp;IF(Q52="✓","MST người mua|","")&amp;IF(R52="✓","Mẫu số / Ký hiệu|","")&amp;IF(S52="✓","Số HĐ|","")&amp;IF(T52="✓","Ngày lập|","")&amp;IF(U52="✓","Tổng tiền|","")&amp;IF(V52="✓","Mã CQT|","")&amp;IF(W52="✓","Upload XML|","")&amp;IF(X52="✓","Captcha ảnh|","")&amp;IF(Y52="✓","Captcha dạng tích|","")&amp;IF(Z52="✓","Captcha khác (slider/hình)|","")&amp;IF(AA52="✓","Đăng nhập|","")&amp;IF(AB52="✓","Email/SĐT/OTP|",""),LEN(IF(O52="✓","Mã tra cứu|","")&amp;IF(P52="✓","MST người bán|","")&amp;IF(Q52="✓","MST người mua|","")&amp;IF(R52="✓","Mẫu số / Ký hiệu|","")&amp;IF(S52="✓","Số HĐ|","")&amp;IF(T52="✓","Ngày lập|","")&amp;IF(U52="✓","Tổng tiền|","")&amp;IF(V52="✓","Mã CQT|","")&amp;IF(W52="✓","Upload XML|","")&amp;IF(X52="✓","Captcha ảnh|","")&amp;IF(Y52="✓","Captcha dạng tích|","")&amp;IF(Z52="✓","Captcha khác (slider/hình)|","")&amp;IF(AA52="✓","Đăng nhập|","")&amp;IF(AB52="✓","Email/SĐT/OTP|",""))-1),"|"," + ")))</f>
        <v/>
      </c>
      <c r="I52" s="17" t="n"/>
      <c r="J52" s="17" t="n"/>
      <c r="K52" s="17" t="n"/>
      <c r="L52" s="17" t="n"/>
      <c r="M52" s="37" t="n"/>
      <c r="N52" s="38" t="inlineStr">
        <is>
          <t>OK</t>
        </is>
      </c>
      <c r="O52" s="39" t="inlineStr">
        <is>
          <t>✓</t>
        </is>
      </c>
      <c r="P52" s="39" t="inlineStr">
        <is>
          <t>✓</t>
        </is>
      </c>
      <c r="Q52" s="39" t="n"/>
      <c r="R52" s="39" t="n"/>
      <c r="S52" s="39" t="n"/>
      <c r="T52" s="39" t="n"/>
      <c r="U52" s="39" t="n"/>
      <c r="V52" s="39" t="n"/>
      <c r="W52" s="39" t="n"/>
      <c r="X52" s="39" t="n"/>
      <c r="Y52" s="39" t="n"/>
      <c r="Z52" s="39" t="n"/>
      <c r="AA52" s="39" t="n"/>
      <c r="AB52" s="39" t="n"/>
      <c r="AC52" s="39" t="n">
        <v>2</v>
      </c>
      <c r="AD52" s="16" t="inlineStr">
        <is>
          <t>không có</t>
        </is>
      </c>
      <c r="AE52" s="16" t="inlineStr">
        <is>
          <t>Cùng trang: form 'Chọn file' upload .zip/.xml; nút 'Download File XML' tải XML theo MST + số bảo mật</t>
        </is>
      </c>
      <c r="AF52" s="16" t="inlineStr">
        <is>
          <t>Form thường (WordPress): MST đơn vị bán + Số bảo mật.</t>
        </is>
      </c>
      <c r="AG52" s="16" t="inlineStr">
        <is>
          <t>https://hoadondientu-ptp.vn/tra-cuu/</t>
        </is>
      </c>
      <c r="AH52" s="1" t="n"/>
      <c r="AI52" s="1" t="n"/>
      <c r="AJ52">
        <f>IFERROR(IF(INDEX(WBS2!$I$2:$I$25,MATCH($C52,WBS2!$F$2:$F$25,0))="","",INDEX(WBS2!$I$2:$I$25,MATCH($C52,WBS2!$F$2:$F$25,0))),"")</f>
        <v/>
      </c>
      <c r="AK52">
        <f>IFERROR(IF(INDEX(WBS2!$I$27:$I$162,MATCH($C52,WBS2!$F$27:$F$162,0))="","",INDEX(WBS2!$I$27:$I$162,MATCH($C52,WBS2!$F$27:$F$162,0))),"")</f>
        <v/>
      </c>
      <c r="AL52" s="102">
        <f>IFERROR(IF(OR($AK52="Chưa hoàn thành",$AK52="Sẵn sàng"),INDEX(WBS2!$H$27:$H$162,MATCH($C52,WBS2!$F$27:$F$162,0)),""),"")</f>
        <v/>
      </c>
      <c r="AM52">
        <f>IFERROR(IF(INDEX(WBS2!$J$27:$J$162,MATCH($C52,WBS2!$F$27:$F$162,0))="","",INDEX(WBS2!$J$27:$J$162,MATCH($C52,WBS2!$F$27:$F$162,0))),"")</f>
        <v/>
      </c>
      <c r="AN52">
        <f>IFERROR(IF(INDEX(WBS2!$I$163:$I$298,MATCH($C52,WBS2!$F$163:$F$298,0))="","",INDEX(WBS2!$I$163:$I$298,MATCH($C52,WBS2!$F$163:$F$298,0))),"")</f>
        <v/>
      </c>
      <c r="AO52" s="102">
        <f>IFERROR(IF(OR($AN52="Chưa hoàn thành",$AN52="Sẵn sàng"),INDEX(WBS2!$H$163:$H$298,MATCH($C52,WBS2!$F$163:$F$298,0)),""),"")</f>
        <v/>
      </c>
      <c r="AP52">
        <f>IFERROR(IF(INDEX(WBS2!$J$163:$J$298,MATCH($C52,WBS2!$F$163:$F$298,0))="","",INDEX(WBS2!$J$163:$J$298,MATCH($C52,WBS2!$F$163:$F$298,0))),"")</f>
        <v/>
      </c>
    </row>
    <row r="53" hidden="1" ht="14.25" customHeight="1">
      <c r="A53" s="13" t="n">
        <v>52</v>
      </c>
      <c r="B53" s="13" t="inlineStr">
        <is>
          <t>Công ty TNHH Tuần Châu</t>
        </is>
      </c>
      <c r="C53" s="14" t="inlineStr">
        <is>
          <t>0400462489</t>
        </is>
      </c>
      <c r="D53" s="13" t="inlineStr">
        <is>
          <t>K484/34-36 Trần Cao Vân, Phường Xuân Hà, Quận Thanh Khê, Thành phố Đà Nẵng</t>
        </is>
      </c>
      <c r="E53" s="18" t="inlineStr">
        <is>
          <t>http://e-invoicetuanchau.com</t>
        </is>
      </c>
      <c r="F53" s="20" t="inlineStr">
        <is>
          <t>Không có captcha</t>
        </is>
      </c>
      <c r="G53" s="20" t="inlineStr">
        <is>
          <t>https://e-invoicetuanchau.com/Tra-cuu</t>
        </is>
      </c>
      <c r="H53" s="35">
        <f>IF(N53&lt;&gt;"OK","",IF(IF(O53="✓","Mã tra cứu|","")&amp;IF(P53="✓","MST người bán|","")&amp;IF(Q53="✓","MST người mua|","")&amp;IF(R53="✓","Mẫu số / Ký hiệu|","")&amp;IF(S53="✓","Số HĐ|","")&amp;IF(T53="✓","Ngày lập|","")&amp;IF(U53="✓","Tổng tiền|","")&amp;IF(V53="✓","Mã CQT|","")&amp;IF(W53="✓","Upload XML|","")&amp;IF(X53="✓","Captcha ảnh|","")&amp;IF(Y53="✓","Captcha dạng tích|","")&amp;IF(Z53="✓","Captcha khác (slider/hình)|","")&amp;IF(AA53="✓","Đăng nhập|","")&amp;IF(AB53="✓","Email/SĐT/OTP|","")="","(không có tham số)",SUBSTITUTE(LEFT(IF(O53="✓","Mã tra cứu|","")&amp;IF(P53="✓","MST người bán|","")&amp;IF(Q53="✓","MST người mua|","")&amp;IF(R53="✓","Mẫu số / Ký hiệu|","")&amp;IF(S53="✓","Số HĐ|","")&amp;IF(T53="✓","Ngày lập|","")&amp;IF(U53="✓","Tổng tiền|","")&amp;IF(V53="✓","Mã CQT|","")&amp;IF(W53="✓","Upload XML|","")&amp;IF(X53="✓","Captcha ảnh|","")&amp;IF(Y53="✓","Captcha dạng tích|","")&amp;IF(Z53="✓","Captcha khác (slider/hình)|","")&amp;IF(AA53="✓","Đăng nhập|","")&amp;IF(AB53="✓","Email/SĐT/OTP|",""),LEN(IF(O53="✓","Mã tra cứu|","")&amp;IF(P53="✓","MST người bán|","")&amp;IF(Q53="✓","MST người mua|","")&amp;IF(R53="✓","Mẫu số / Ký hiệu|","")&amp;IF(S53="✓","Số HĐ|","")&amp;IF(T53="✓","Ngày lập|","")&amp;IF(U53="✓","Tổng tiền|","")&amp;IF(V53="✓","Mã CQT|","")&amp;IF(W53="✓","Upload XML|","")&amp;IF(X53="✓","Captcha ảnh|","")&amp;IF(Y53="✓","Captcha dạng tích|","")&amp;IF(Z53="✓","Captcha khác (slider/hình)|","")&amp;IF(AA53="✓","Đăng nhập|","")&amp;IF(AB53="✓","Email/SĐT/OTP|",""))-1),"|"," + ")))</f>
        <v/>
      </c>
      <c r="I53" s="17" t="n"/>
      <c r="J53" s="17" t="n"/>
      <c r="K53" s="17" t="n"/>
      <c r="L53" s="17" t="n"/>
      <c r="M53" s="37" t="n"/>
      <c r="N53" s="38" t="inlineStr">
        <is>
          <t>OK</t>
        </is>
      </c>
      <c r="O53" s="39" t="inlineStr">
        <is>
          <t>✓</t>
        </is>
      </c>
      <c r="P53" s="39" t="n"/>
      <c r="Q53" s="39" t="n"/>
      <c r="R53" s="39" t="n"/>
      <c r="S53" s="39" t="n"/>
      <c r="T53" s="39" t="n"/>
      <c r="U53" s="39" t="n"/>
      <c r="V53" s="39" t="n"/>
      <c r="W53" s="39" t="n"/>
      <c r="X53" s="39" t="n"/>
      <c r="Y53" s="39" t="n"/>
      <c r="Z53" s="39" t="n"/>
      <c r="AA53" s="39" t="n"/>
      <c r="AB53" s="39" t="n"/>
      <c r="AC53" s="39" t="n">
        <v>1</v>
      </c>
      <c r="AD53" s="16" t="inlineStr">
        <is>
          <t>không có</t>
        </is>
      </c>
      <c r="AE53" s="16" t="inlineStr">
        <is>
          <t>Dropdown loại: 'Mã số thuế' (nhập MST, kiểm tra serial), 'Token sử dụng Vsign', 'Cty bỏ trốn' (không dùng để tra 1 HĐ)</t>
        </is>
      </c>
      <c r="AF53" s="16" t="inlineStr">
        <is>
          <t>ASP.NET PageMethods, nền tảng Acc2k (giống hoadonminhthuvungtau.com). 1 ô 'Mã hóa đơn hoặc mst' + dropdown mặc định 'Mã hóa đơn'.</t>
        </is>
      </c>
      <c r="AG53" s="16" t="inlineStr">
        <is>
          <t>https://e-invoicetuanchau.com/Tra-cuu</t>
        </is>
      </c>
      <c r="AH53" s="1" t="n"/>
      <c r="AI53" s="1" t="n"/>
      <c r="AJ53">
        <f>IFERROR(IF(INDEX(WBS2!$I$2:$I$25,MATCH($C53,WBS2!$F$2:$F$25,0))="","",INDEX(WBS2!$I$2:$I$25,MATCH($C53,WBS2!$F$2:$F$25,0))),"")</f>
        <v/>
      </c>
      <c r="AK53">
        <f>IFERROR(IF(INDEX(WBS2!$I$27:$I$162,MATCH($C53,WBS2!$F$27:$F$162,0))="","",INDEX(WBS2!$I$27:$I$162,MATCH($C53,WBS2!$F$27:$F$162,0))),"")</f>
        <v/>
      </c>
      <c r="AL53" s="102">
        <f>IFERROR(IF(OR($AK53="Chưa hoàn thành",$AK53="Sẵn sàng"),INDEX(WBS2!$H$27:$H$162,MATCH($C53,WBS2!$F$27:$F$162,0)),""),"")</f>
        <v/>
      </c>
      <c r="AM53">
        <f>IFERROR(IF(INDEX(WBS2!$J$27:$J$162,MATCH($C53,WBS2!$F$27:$F$162,0))="","",INDEX(WBS2!$J$27:$J$162,MATCH($C53,WBS2!$F$27:$F$162,0))),"")</f>
        <v/>
      </c>
      <c r="AN53">
        <f>IFERROR(IF(INDEX(WBS2!$I$163:$I$298,MATCH($C53,WBS2!$F$163:$F$298,0))="","",INDEX(WBS2!$I$163:$I$298,MATCH($C53,WBS2!$F$163:$F$298,0))),"")</f>
        <v/>
      </c>
      <c r="AO53" s="102">
        <f>IFERROR(IF(OR($AN53="Chưa hoàn thành",$AN53="Sẵn sàng"),INDEX(WBS2!$H$163:$H$298,MATCH($C53,WBS2!$F$163:$F$298,0)),""),"")</f>
        <v/>
      </c>
      <c r="AP53">
        <f>IFERROR(IF(INDEX(WBS2!$J$163:$J$298,MATCH($C53,WBS2!$F$163:$F$298,0))="","",INDEX(WBS2!$J$163:$J$298,MATCH($C53,WBS2!$F$163:$F$298,0))),"")</f>
        <v/>
      </c>
    </row>
    <row r="54" hidden="1" ht="14.25" customHeight="1">
      <c r="A54" s="13" t="n">
        <v>53</v>
      </c>
      <c r="B54" s="13" t="inlineStr">
        <is>
          <t>Công ty TNHH Minh Thư</t>
        </is>
      </c>
      <c r="C54" s="14" t="inlineStr">
        <is>
          <t>3500456910</t>
        </is>
      </c>
      <c r="D54" s="13" t="inlineStr">
        <is>
          <t>68 Phan Chu Trinh, Phường 2, Thành phố Vũng Tàu, Tỉnh Bà Rịa - Vũng Tàu</t>
        </is>
      </c>
      <c r="E54" s="18" t="inlineStr">
        <is>
          <t>https://hoadonminhthuvungtau.com</t>
        </is>
      </c>
      <c r="F54" s="20" t="inlineStr">
        <is>
          <t>Không có captcha</t>
        </is>
      </c>
      <c r="G54" s="20" t="inlineStr">
        <is>
          <t>https://hoadonminhthuvungtau.com/Tra-cuu</t>
        </is>
      </c>
      <c r="H54" s="35">
        <f>IF(N54&lt;&gt;"OK","",IF(IF(O54="✓","Mã tra cứu|","")&amp;IF(P54="✓","MST người bán|","")&amp;IF(Q54="✓","MST người mua|","")&amp;IF(R54="✓","Mẫu số / Ký hiệu|","")&amp;IF(S54="✓","Số HĐ|","")&amp;IF(T54="✓","Ngày lập|","")&amp;IF(U54="✓","Tổng tiền|","")&amp;IF(V54="✓","Mã CQT|","")&amp;IF(W54="✓","Upload XML|","")&amp;IF(X54="✓","Captcha ảnh|","")&amp;IF(Y54="✓","Captcha dạng tích|","")&amp;IF(Z54="✓","Captcha khác (slider/hình)|","")&amp;IF(AA54="✓","Đăng nhập|","")&amp;IF(AB54="✓","Email/SĐT/OTP|","")="","(không có tham số)",SUBSTITUTE(LEFT(IF(O54="✓","Mã tra cứu|","")&amp;IF(P54="✓","MST người bán|","")&amp;IF(Q54="✓","MST người mua|","")&amp;IF(R54="✓","Mẫu số / Ký hiệu|","")&amp;IF(S54="✓","Số HĐ|","")&amp;IF(T54="✓","Ngày lập|","")&amp;IF(U54="✓","Tổng tiền|","")&amp;IF(V54="✓","Mã CQT|","")&amp;IF(W54="✓","Upload XML|","")&amp;IF(X54="✓","Captcha ảnh|","")&amp;IF(Y54="✓","Captcha dạng tích|","")&amp;IF(Z54="✓","Captcha khác (slider/hình)|","")&amp;IF(AA54="✓","Đăng nhập|","")&amp;IF(AB54="✓","Email/SĐT/OTP|",""),LEN(IF(O54="✓","Mã tra cứu|","")&amp;IF(P54="✓","MST người bán|","")&amp;IF(Q54="✓","MST người mua|","")&amp;IF(R54="✓","Mẫu số / Ký hiệu|","")&amp;IF(S54="✓","Số HĐ|","")&amp;IF(T54="✓","Ngày lập|","")&amp;IF(U54="✓","Tổng tiền|","")&amp;IF(V54="✓","Mã CQT|","")&amp;IF(W54="✓","Upload XML|","")&amp;IF(X54="✓","Captcha ảnh|","")&amp;IF(Y54="✓","Captcha dạng tích|","")&amp;IF(Z54="✓","Captcha khác (slider/hình)|","")&amp;IF(AA54="✓","Đăng nhập|","")&amp;IF(AB54="✓","Email/SĐT/OTP|",""))-1),"|"," + ")))</f>
        <v/>
      </c>
      <c r="I54" s="17" t="n"/>
      <c r="J54" s="17" t="n"/>
      <c r="K54" s="17" t="n"/>
      <c r="L54" s="17" t="n"/>
      <c r="M54" s="37" t="n"/>
      <c r="N54" s="38" t="inlineStr">
        <is>
          <t>OK</t>
        </is>
      </c>
      <c r="O54" s="39" t="inlineStr">
        <is>
          <t>✓</t>
        </is>
      </c>
      <c r="P54" s="39" t="n"/>
      <c r="Q54" s="39" t="n"/>
      <c r="R54" s="39" t="n"/>
      <c r="S54" s="39" t="n"/>
      <c r="T54" s="39" t="n"/>
      <c r="U54" s="39" t="n"/>
      <c r="V54" s="39" t="n"/>
      <c r="W54" s="39" t="n"/>
      <c r="X54" s="39" t="n"/>
      <c r="Y54" s="39" t="n"/>
      <c r="Z54" s="39" t="n"/>
      <c r="AA54" s="39" t="n"/>
      <c r="AB54" s="39" t="n"/>
      <c r="AC54" s="39" t="n">
        <v>1</v>
      </c>
      <c r="AD54" s="16" t="inlineStr">
        <is>
          <t>không có</t>
        </is>
      </c>
      <c r="AE54" s="16" t="inlineStr">
        <is>
          <t>Dropdown loại: 'Mã số thuế', 'Token sử dụng Vsign', 'Cty bỏ trốn' (không dùng để tra 1 HĐ)</t>
        </is>
      </c>
      <c r="AF54" s="16" t="inlineStr">
        <is>
          <t>Cùng nền tảng Acc2k với e-invoicetuanchau.com (row 53). 1 ô 'Mã hóa đơn hoặc mst' + dropdown mặc định 'Mã hóa đơn'.</t>
        </is>
      </c>
      <c r="AG54" s="16" t="inlineStr">
        <is>
          <t>https://hoadonminhthuvungtau.com/Tra-cuu</t>
        </is>
      </c>
      <c r="AH54" s="1" t="n"/>
      <c r="AI54" s="1" t="n"/>
      <c r="AJ54">
        <f>IFERROR(IF(INDEX(WBS2!$I$2:$I$25,MATCH($C54,WBS2!$F$2:$F$25,0))="","",INDEX(WBS2!$I$2:$I$25,MATCH($C54,WBS2!$F$2:$F$25,0))),"")</f>
        <v/>
      </c>
      <c r="AK54">
        <f>IFERROR(IF(INDEX(WBS2!$I$27:$I$162,MATCH($C54,WBS2!$F$27:$F$162,0))="","",INDEX(WBS2!$I$27:$I$162,MATCH($C54,WBS2!$F$27:$F$162,0))),"")</f>
        <v/>
      </c>
      <c r="AL54" s="102">
        <f>IFERROR(IF(OR($AK54="Chưa hoàn thành",$AK54="Sẵn sàng"),INDEX(WBS2!$H$27:$H$162,MATCH($C54,WBS2!$F$27:$F$162,0)),""),"")</f>
        <v/>
      </c>
      <c r="AM54">
        <f>IFERROR(IF(INDEX(WBS2!$J$27:$J$162,MATCH($C54,WBS2!$F$27:$F$162,0))="","",INDEX(WBS2!$J$27:$J$162,MATCH($C54,WBS2!$F$27:$F$162,0))),"")</f>
        <v/>
      </c>
      <c r="AN54">
        <f>IFERROR(IF(INDEX(WBS2!$I$163:$I$298,MATCH($C54,WBS2!$F$163:$F$298,0))="","",INDEX(WBS2!$I$163:$I$298,MATCH($C54,WBS2!$F$163:$F$298,0))),"")</f>
        <v/>
      </c>
      <c r="AO54" s="102">
        <f>IFERROR(IF(OR($AN54="Chưa hoàn thành",$AN54="Sẵn sàng"),INDEX(WBS2!$H$163:$H$298,MATCH($C54,WBS2!$F$163:$F$298,0)),""),"")</f>
        <v/>
      </c>
      <c r="AP54">
        <f>IFERROR(IF(INDEX(WBS2!$J$163:$J$298,MATCH($C54,WBS2!$F$163:$F$298,0))="","",INDEX(WBS2!$J$163:$J$298,MATCH($C54,WBS2!$F$163:$F$298,0))),"")</f>
        <v/>
      </c>
    </row>
    <row r="55" hidden="1" ht="14.25" customHeight="1">
      <c r="A55" s="13" t="n">
        <v>54</v>
      </c>
      <c r="B55" s="13" t="inlineStr">
        <is>
          <t>Công ty Cổ phần phát triển công nghệ ACMAN</t>
        </is>
      </c>
      <c r="C55" s="14" t="inlineStr">
        <is>
          <t>0104908371</t>
        </is>
      </c>
      <c r="D55" s="13" t="inlineStr">
        <is>
          <t>Số nhà 28, ngõ 460, đường Khương Đình, phường Hạ Đình, quận Thanh Xuân, Tp Hà Nội</t>
        </is>
      </c>
      <c r="E55" s="18" t="inlineStr">
        <is>
          <t>https://www.acman.vn/hoa-don-dien-tu.html</t>
        </is>
      </c>
      <c r="F55" s="20" t="inlineStr">
        <is>
          <t>Không có captcha</t>
        </is>
      </c>
      <c r="G55" s="23" t="inlineStr">
        <is>
          <t>https://hoadondientu.acman.vn/tra-cuu/hoa-don.html</t>
        </is>
      </c>
      <c r="H55" s="35">
        <f>IF(N55&lt;&gt;"OK","",IF(IF(O55="✓","Mã tra cứu|","")&amp;IF(P55="✓","MST người bán|","")&amp;IF(Q55="✓","MST người mua|","")&amp;IF(R55="✓","Mẫu số / Ký hiệu|","")&amp;IF(S55="✓","Số HĐ|","")&amp;IF(T55="✓","Ngày lập|","")&amp;IF(U55="✓","Tổng tiền|","")&amp;IF(V55="✓","Mã CQT|","")&amp;IF(W55="✓","Upload XML|","")&amp;IF(X55="✓","Captcha ảnh|","")&amp;IF(Y55="✓","Captcha dạng tích|","")&amp;IF(Z55="✓","Captcha khác (slider/hình)|","")&amp;IF(AA55="✓","Đăng nhập|","")&amp;IF(AB55="✓","Email/SĐT/OTP|","")="","(không có tham số)",SUBSTITUTE(LEFT(IF(O55="✓","Mã tra cứu|","")&amp;IF(P55="✓","MST người bán|","")&amp;IF(Q55="✓","MST người mua|","")&amp;IF(R55="✓","Mẫu số / Ký hiệu|","")&amp;IF(S55="✓","Số HĐ|","")&amp;IF(T55="✓","Ngày lập|","")&amp;IF(U55="✓","Tổng tiền|","")&amp;IF(V55="✓","Mã CQT|","")&amp;IF(W55="✓","Upload XML|","")&amp;IF(X55="✓","Captcha ảnh|","")&amp;IF(Y55="✓","Captcha dạng tích|","")&amp;IF(Z55="✓","Captcha khác (slider/hình)|","")&amp;IF(AA55="✓","Đăng nhập|","")&amp;IF(AB55="✓","Email/SĐT/OTP|",""),LEN(IF(O55="✓","Mã tra cứu|","")&amp;IF(P55="✓","MST người bán|","")&amp;IF(Q55="✓","MST người mua|","")&amp;IF(R55="✓","Mẫu số / Ký hiệu|","")&amp;IF(S55="✓","Số HĐ|","")&amp;IF(T55="✓","Ngày lập|","")&amp;IF(U55="✓","Tổng tiền|","")&amp;IF(V55="✓","Mã CQT|","")&amp;IF(W55="✓","Upload XML|","")&amp;IF(X55="✓","Captcha ảnh|","")&amp;IF(Y55="✓","Captcha dạng tích|","")&amp;IF(Z55="✓","Captcha khác (slider/hình)|","")&amp;IF(AA55="✓","Đăng nhập|","")&amp;IF(AB55="✓","Email/SĐT/OTP|",""))-1),"|"," + ")))</f>
        <v/>
      </c>
      <c r="I55" s="17" t="n"/>
      <c r="J55" s="17" t="n"/>
      <c r="K55" s="17" t="n"/>
      <c r="L55" s="17" t="n"/>
      <c r="M55" s="37" t="n"/>
      <c r="N55" s="38" t="inlineStr">
        <is>
          <t>OK</t>
        </is>
      </c>
      <c r="O55" s="39" t="inlineStr">
        <is>
          <t>✓</t>
        </is>
      </c>
      <c r="P55" s="39" t="inlineStr">
        <is>
          <t>✓</t>
        </is>
      </c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39" t="n"/>
      <c r="AA55" s="39" t="n"/>
      <c r="AB55" s="39" t="n"/>
      <c r="AC55" s="39" t="n">
        <v>2</v>
      </c>
      <c r="AD55" s="16" t="inlineStr">
        <is>
          <t>không có</t>
        </is>
      </c>
      <c r="AE55" s="16" t="n"/>
      <c r="AF55" s="16" t="inlineStr">
        <is>
          <t>ASP.NET WebForms. 'Mã số thuế đơn vị phát hành' + 'Mã tra cứu hóa đơn (MST đơn vị nhận)': nhãn gợi ý mã tra cứu chính là MST bên mua.</t>
        </is>
      </c>
      <c r="AG55" s="16" t="inlineStr">
        <is>
          <t>https://hoadondientu.acman.vn/tra-cuu/hoa-don.html</t>
        </is>
      </c>
      <c r="AH55" s="1" t="n"/>
      <c r="AI55" s="1" t="n"/>
      <c r="AJ55">
        <f>IFERROR(IF(INDEX(WBS2!$I$2:$I$25,MATCH($C55,WBS2!$F$2:$F$25,0))="","",INDEX(WBS2!$I$2:$I$25,MATCH($C55,WBS2!$F$2:$F$25,0))),"")</f>
        <v/>
      </c>
      <c r="AK55">
        <f>IFERROR(IF(INDEX(WBS2!$I$27:$I$162,MATCH($C55,WBS2!$F$27:$F$162,0))="","",INDEX(WBS2!$I$27:$I$162,MATCH($C55,WBS2!$F$27:$F$162,0))),"")</f>
        <v/>
      </c>
      <c r="AL55" s="102">
        <f>IFERROR(IF(OR($AK55="Chưa hoàn thành",$AK55="Sẵn sàng"),INDEX(WBS2!$H$27:$H$162,MATCH($C55,WBS2!$F$27:$F$162,0)),""),"")</f>
        <v/>
      </c>
      <c r="AM55">
        <f>IFERROR(IF(INDEX(WBS2!$J$27:$J$162,MATCH($C55,WBS2!$F$27:$F$162,0))="","",INDEX(WBS2!$J$27:$J$162,MATCH($C55,WBS2!$F$27:$F$162,0))),"")</f>
        <v/>
      </c>
      <c r="AN55">
        <f>IFERROR(IF(INDEX(WBS2!$I$163:$I$298,MATCH($C55,WBS2!$F$163:$F$298,0))="","",INDEX(WBS2!$I$163:$I$298,MATCH($C55,WBS2!$F$163:$F$298,0))),"")</f>
        <v/>
      </c>
      <c r="AO55" s="102">
        <f>IFERROR(IF(OR($AN55="Chưa hoàn thành",$AN55="Sẵn sàng"),INDEX(WBS2!$H$163:$H$298,MATCH($C55,WBS2!$F$163:$F$298,0)),""),"")</f>
        <v/>
      </c>
      <c r="AP55">
        <f>IFERROR(IF(INDEX(WBS2!$J$163:$J$298,MATCH($C55,WBS2!$F$163:$F$298,0))="","",INDEX(WBS2!$J$163:$J$298,MATCH($C55,WBS2!$F$163:$F$298,0))),"")</f>
        <v/>
      </c>
    </row>
    <row r="56" hidden="1" ht="14.25" customHeight="1">
      <c r="A56" s="13" t="n">
        <v>55</v>
      </c>
      <c r="B56" s="13" t="inlineStr">
        <is>
          <t>Công ty TNHH Tư vấn thương mại Trí Việt Luật</t>
        </is>
      </c>
      <c r="C56" s="14" t="inlineStr">
        <is>
          <t>0315191291</t>
        </is>
      </c>
      <c r="D56" s="13" t="inlineStr">
        <is>
          <t>435/26 Thống Nhất, phường 11, quận Gò Vấp, Tp Hồ Chí Minh</t>
        </is>
      </c>
      <c r="E56" s="77" t="inlineStr">
        <is>
          <t xml:space="preserve">https://hoadonsovn.net </t>
        </is>
      </c>
      <c r="F56" s="20" t="inlineStr">
        <is>
          <t>Không có captcha</t>
        </is>
      </c>
      <c r="G56" s="63" t="inlineStr">
        <is>
          <t>hoadonsovn.evat.vn</t>
        </is>
      </c>
      <c r="H56" s="35">
        <f>IF(N56&lt;&gt;"OK","",IF(IF(O56="✓","Mã tra cứu|","")&amp;IF(P56="✓","MST người bán|","")&amp;IF(Q56="✓","MST người mua|","")&amp;IF(R56="✓","Mẫu số / Ký hiệu|","")&amp;IF(S56="✓","Số HĐ|","")&amp;IF(T56="✓","Ngày lập|","")&amp;IF(U56="✓","Tổng tiền|","")&amp;IF(V56="✓","Mã CQT|","")&amp;IF(W56="✓","Upload XML|","")&amp;IF(X56="✓","Captcha ảnh|","")&amp;IF(Y56="✓","Captcha dạng tích|","")&amp;IF(Z56="✓","Captcha khác (slider/hình)|","")&amp;IF(AA56="✓","Đăng nhập|","")&amp;IF(AB56="✓","Email/SĐT/OTP|","")="","(không có tham số)",SUBSTITUTE(LEFT(IF(O56="✓","Mã tra cứu|","")&amp;IF(P56="✓","MST người bán|","")&amp;IF(Q56="✓","MST người mua|","")&amp;IF(R56="✓","Mẫu số / Ký hiệu|","")&amp;IF(S56="✓","Số HĐ|","")&amp;IF(T56="✓","Ngày lập|","")&amp;IF(U56="✓","Tổng tiền|","")&amp;IF(V56="✓","Mã CQT|","")&amp;IF(W56="✓","Upload XML|","")&amp;IF(X56="✓","Captcha ảnh|","")&amp;IF(Y56="✓","Captcha dạng tích|","")&amp;IF(Z56="✓","Captcha khác (slider/hình)|","")&amp;IF(AA56="✓","Đăng nhập|","")&amp;IF(AB56="✓","Email/SĐT/OTP|",""),LEN(IF(O56="✓","Mã tra cứu|","")&amp;IF(P56="✓","MST người bán|","")&amp;IF(Q56="✓","MST người mua|","")&amp;IF(R56="✓","Mẫu số / Ký hiệu|","")&amp;IF(S56="✓","Số HĐ|","")&amp;IF(T56="✓","Ngày lập|","")&amp;IF(U56="✓","Tổng tiền|","")&amp;IF(V56="✓","Mã CQT|","")&amp;IF(W56="✓","Upload XML|","")&amp;IF(X56="✓","Captcha ảnh|","")&amp;IF(Y56="✓","Captcha dạng tích|","")&amp;IF(Z56="✓","Captcha khác (slider/hình)|","")&amp;IF(AA56="✓","Đăng nhập|","")&amp;IF(AB56="✓","Email/SĐT/OTP|",""))-1),"|"," + ")))</f>
        <v/>
      </c>
      <c r="I56" s="17" t="n"/>
      <c r="J56" s="17" t="n"/>
      <c r="K56" s="17" t="n"/>
      <c r="L56" s="17" t="n"/>
      <c r="M56" s="37" t="n"/>
      <c r="N56" s="38" t="inlineStr">
        <is>
          <t>OK</t>
        </is>
      </c>
      <c r="O56" s="39" t="inlineStr">
        <is>
          <t>✓</t>
        </is>
      </c>
      <c r="P56" s="39" t="n"/>
      <c r="Q56" s="39" t="n"/>
      <c r="R56" s="39" t="n"/>
      <c r="S56" s="39" t="n"/>
      <c r="T56" s="39" t="n"/>
      <c r="U56" s="39" t="n"/>
      <c r="V56" s="39" t="n"/>
      <c r="W56" s="39" t="n"/>
      <c r="X56" s="39" t="n"/>
      <c r="Y56" s="39" t="n"/>
      <c r="Z56" s="39" t="n"/>
      <c r="AA56" s="39" t="n"/>
      <c r="AB56" s="39" t="n"/>
      <c r="AC56" s="39" t="n">
        <v>1</v>
      </c>
      <c r="AD56" s="16" t="inlineStr">
        <is>
          <t>không có widget (recaptcha/api.js có nạp nhưng không render ô nào trên form)</t>
        </is>
      </c>
      <c r="AE56" s="16" t="inlineStr">
        <is>
          <t>Nút 'Đăng nhập bằng tài khoản'</t>
        </is>
      </c>
      <c r="AF56" s="16" t="inlineStr">
        <is>
          <t>Nền tảng eVAT của Trí Việt Luật (giống tvl.evat.vn, vlc.evat.vn). Form: 'Mã tra cứu' + 'Mã công ty' (cmpn_key; chưa rõ có phải MST bán không).</t>
        </is>
      </c>
      <c r="AG56" s="16" t="inlineStr">
        <is>
          <t>https://hoadonsovn.evat.vn/</t>
        </is>
      </c>
      <c r="AH56" s="1" t="n"/>
      <c r="AI56" s="1" t="n"/>
      <c r="AJ56">
        <f>IFERROR(IF(INDEX(WBS2!$I$2:$I$25,MATCH($C56,WBS2!$F$2:$F$25,0))="","",INDEX(WBS2!$I$2:$I$25,MATCH($C56,WBS2!$F$2:$F$25,0))),"")</f>
        <v/>
      </c>
      <c r="AK56">
        <f>IFERROR(IF(INDEX(WBS2!$I$27:$I$162,MATCH($C56,WBS2!$F$27:$F$162,0))="","",INDEX(WBS2!$I$27:$I$162,MATCH($C56,WBS2!$F$27:$F$162,0))),"")</f>
        <v/>
      </c>
      <c r="AL56" s="102">
        <f>IFERROR(IF(OR($AK56="Chưa hoàn thành",$AK56="Sẵn sàng"),INDEX(WBS2!$H$27:$H$162,MATCH($C56,WBS2!$F$27:$F$162,0)),""),"")</f>
        <v/>
      </c>
      <c r="AM56">
        <f>IFERROR(IF(INDEX(WBS2!$J$27:$J$162,MATCH($C56,WBS2!$F$27:$F$162,0))="","",INDEX(WBS2!$J$27:$J$162,MATCH($C56,WBS2!$F$27:$F$162,0))),"")</f>
        <v/>
      </c>
      <c r="AN56">
        <f>IFERROR(IF(INDEX(WBS2!$I$163:$I$298,MATCH($C56,WBS2!$F$163:$F$298,0))="","",INDEX(WBS2!$I$163:$I$298,MATCH($C56,WBS2!$F$163:$F$298,0))),"")</f>
        <v/>
      </c>
      <c r="AO56" s="102">
        <f>IFERROR(IF(OR($AN56="Chưa hoàn thành",$AN56="Sẵn sàng"),INDEX(WBS2!$H$163:$H$298,MATCH($C56,WBS2!$F$163:$F$298,0)),""),"")</f>
        <v/>
      </c>
      <c r="AP56">
        <f>IFERROR(IF(INDEX(WBS2!$J$163:$J$298,MATCH($C56,WBS2!$F$163:$F$298,0))="","",INDEX(WBS2!$J$163:$J$298,MATCH($C56,WBS2!$F$163:$F$298,0))),"")</f>
        <v/>
      </c>
    </row>
    <row r="57" hidden="1" ht="14.25" customHeight="1">
      <c r="A57" s="13" t="n">
        <v>56</v>
      </c>
      <c r="B57" s="13" t="inlineStr">
        <is>
          <t>Công ty TNHH Đầu tư Hòn Ngọc Việt</t>
        </is>
      </c>
      <c r="C57" s="14" t="inlineStr">
        <is>
          <t>0313844107</t>
        </is>
      </c>
      <c r="D57" s="13" t="inlineStr">
        <is>
          <t>L26 đường Lê Thị Riêng, khu phố 1, phường Thới An, quận 12, Tp Hồ Chí Minh</t>
        </is>
      </c>
      <c r="E57" s="18" t="inlineStr">
        <is>
          <t>http://voice.hoadondientu.net.vn</t>
        </is>
      </c>
      <c r="F57" s="20" t="inlineStr">
        <is>
          <t>Không có captcha</t>
        </is>
      </c>
      <c r="G57" s="23" t="inlineStr">
        <is>
          <t>http://voice.hoadondientu.net.vn/tra-cuu</t>
        </is>
      </c>
      <c r="H57" s="35">
        <f>IF(N57&lt;&gt;"OK","",IF(IF(O57="✓","Mã tra cứu|","")&amp;IF(P57="✓","MST người bán|","")&amp;IF(Q57="✓","MST người mua|","")&amp;IF(R57="✓","Mẫu số / Ký hiệu|","")&amp;IF(S57="✓","Số HĐ|","")&amp;IF(T57="✓","Ngày lập|","")&amp;IF(U57="✓","Tổng tiền|","")&amp;IF(V57="✓","Mã CQT|","")&amp;IF(W57="✓","Upload XML|","")&amp;IF(X57="✓","Captcha ảnh|","")&amp;IF(Y57="✓","Captcha dạng tích|","")&amp;IF(Z57="✓","Captcha khác (slider/hình)|","")&amp;IF(AA57="✓","Đăng nhập|","")&amp;IF(AB57="✓","Email/SĐT/OTP|","")="","(không có tham số)",SUBSTITUTE(LEFT(IF(O57="✓","Mã tra cứu|","")&amp;IF(P57="✓","MST người bán|","")&amp;IF(Q57="✓","MST người mua|","")&amp;IF(R57="✓","Mẫu số / Ký hiệu|","")&amp;IF(S57="✓","Số HĐ|","")&amp;IF(T57="✓","Ngày lập|","")&amp;IF(U57="✓","Tổng tiền|","")&amp;IF(V57="✓","Mã CQT|","")&amp;IF(W57="✓","Upload XML|","")&amp;IF(X57="✓","Captcha ảnh|","")&amp;IF(Y57="✓","Captcha dạng tích|","")&amp;IF(Z57="✓","Captcha khác (slider/hình)|","")&amp;IF(AA57="✓","Đăng nhập|","")&amp;IF(AB57="✓","Email/SĐT/OTP|",""),LEN(IF(O57="✓","Mã tra cứu|","")&amp;IF(P57="✓","MST người bán|","")&amp;IF(Q57="✓","MST người mua|","")&amp;IF(R57="✓","Mẫu số / Ký hiệu|","")&amp;IF(S57="✓","Số HĐ|","")&amp;IF(T57="✓","Ngày lập|","")&amp;IF(U57="✓","Tổng tiền|","")&amp;IF(V57="✓","Mã CQT|","")&amp;IF(W57="✓","Upload XML|","")&amp;IF(X57="✓","Captcha ảnh|","")&amp;IF(Y57="✓","Captcha dạng tích|","")&amp;IF(Z57="✓","Captcha khác (slider/hình)|","")&amp;IF(AA57="✓","Đăng nhập|","")&amp;IF(AB57="✓","Email/SĐT/OTP|",""))-1),"|"," + ")))</f>
        <v/>
      </c>
      <c r="I57" s="17" t="n"/>
      <c r="J57" s="17" t="n"/>
      <c r="K57" s="17" t="n"/>
      <c r="L57" s="17" t="n"/>
      <c r="M57" s="37" t="n"/>
      <c r="N57" s="38" t="inlineStr">
        <is>
          <t>OK</t>
        </is>
      </c>
      <c r="O57" s="39" t="inlineStr">
        <is>
          <t>✓</t>
        </is>
      </c>
      <c r="P57" s="39" t="n"/>
      <c r="Q57" s="39" t="n"/>
      <c r="R57" s="39" t="n"/>
      <c r="S57" s="39" t="n"/>
      <c r="T57" s="39" t="n"/>
      <c r="U57" s="39" t="n"/>
      <c r="V57" s="39" t="n"/>
      <c r="W57" s="39" t="n"/>
      <c r="X57" s="39" t="n"/>
      <c r="Y57" s="39" t="n"/>
      <c r="Z57" s="39" t="n"/>
      <c r="AA57" s="39" t="n"/>
      <c r="AB57" s="39" t="n"/>
      <c r="AC57" s="39" t="n">
        <v>1</v>
      </c>
      <c r="AD57" s="16" t="inlineStr">
        <is>
          <t>không có</t>
        </is>
      </c>
      <c r="AE57" s="16" t="inlineStr">
        <is>
          <t>Trang chủ: đăng nhập MST + mật khẩu ('xem hóa đơn theo thông tư 32')</t>
        </is>
      </c>
      <c r="AF57" s="16" t="inlineStr">
        <is>
          <t>Form GET đơn giản: 'Nhập mã hóa đơn' (keyword). Site cũ (©2007-2018), chỉ có HTTP.</t>
        </is>
      </c>
      <c r="AG57" s="16" t="inlineStr">
        <is>
          <t>http://voice.hoadondientu.net.vn/tra-cuu</t>
        </is>
      </c>
      <c r="AH57" s="1" t="n"/>
      <c r="AI57" s="1" t="n"/>
      <c r="AJ57">
        <f>IFERROR(IF(INDEX(WBS2!$I$2:$I$25,MATCH($C57,WBS2!$F$2:$F$25,0))="","",INDEX(WBS2!$I$2:$I$25,MATCH($C57,WBS2!$F$2:$F$25,0))),"")</f>
        <v/>
      </c>
      <c r="AK57">
        <f>IFERROR(IF(INDEX(WBS2!$I$27:$I$162,MATCH($C57,WBS2!$F$27:$F$162,0))="","",INDEX(WBS2!$I$27:$I$162,MATCH($C57,WBS2!$F$27:$F$162,0))),"")</f>
        <v/>
      </c>
      <c r="AL57" s="102">
        <f>IFERROR(IF(OR($AK57="Chưa hoàn thành",$AK57="Sẵn sàng"),INDEX(WBS2!$H$27:$H$162,MATCH($C57,WBS2!$F$27:$F$162,0)),""),"")</f>
        <v/>
      </c>
      <c r="AM57">
        <f>IFERROR(IF(INDEX(WBS2!$J$27:$J$162,MATCH($C57,WBS2!$F$27:$F$162,0))="","",INDEX(WBS2!$J$27:$J$162,MATCH($C57,WBS2!$F$27:$F$162,0))),"")</f>
        <v/>
      </c>
      <c r="AN57">
        <f>IFERROR(IF(INDEX(WBS2!$I$163:$I$298,MATCH($C57,WBS2!$F$163:$F$298,0))="","",INDEX(WBS2!$I$163:$I$298,MATCH($C57,WBS2!$F$163:$F$298,0))),"")</f>
        <v/>
      </c>
      <c r="AO57" s="102">
        <f>IFERROR(IF(OR($AN57="Chưa hoàn thành",$AN57="Sẵn sàng"),INDEX(WBS2!$H$163:$H$298,MATCH($C57,WBS2!$F$163:$F$298,0)),""),"")</f>
        <v/>
      </c>
      <c r="AP57">
        <f>IFERROR(IF(INDEX(WBS2!$J$163:$J$298,MATCH($C57,WBS2!$F$163:$F$298,0))="","",INDEX(WBS2!$J$163:$J$298,MATCH($C57,WBS2!$F$163:$F$298,0))),"")</f>
        <v/>
      </c>
    </row>
    <row r="58" hidden="1" ht="14.25" customHeight="1">
      <c r="A58" s="13" t="n">
        <v>57</v>
      </c>
      <c r="B58" s="13" t="inlineStr">
        <is>
          <t>Công ty TNHH Dịch vụ Trí Việt Luật</t>
        </is>
      </c>
      <c r="C58" s="14" t="inlineStr">
        <is>
          <t>0311622035</t>
        </is>
      </c>
      <c r="D58" s="13" t="inlineStr">
        <is>
          <t>186/76 Vườn Lài, phường Tân Thành, quận Tân Phú, Tp Hồ Chí Minh</t>
        </is>
      </c>
      <c r="E58" s="80" t="inlineStr">
        <is>
          <t xml:space="preserve">http://congtyinhoadon.com  </t>
        </is>
      </c>
      <c r="F58" s="20" t="inlineStr">
        <is>
          <t>đăng nhập mới xem hóa đơn</t>
        </is>
      </c>
      <c r="G58" s="66" t="inlineStr">
        <is>
          <t>https://tvl.evat.vn/</t>
        </is>
      </c>
      <c r="H58" s="35">
        <f>IF(N58&lt;&gt;"OK","",IF(IF(O58="✓","Mã tra cứu|","")&amp;IF(P58="✓","MST người bán|","")&amp;IF(Q58="✓","MST người mua|","")&amp;IF(R58="✓","Mẫu số / Ký hiệu|","")&amp;IF(S58="✓","Số HĐ|","")&amp;IF(T58="✓","Ngày lập|","")&amp;IF(U58="✓","Tổng tiền|","")&amp;IF(V58="✓","Mã CQT|","")&amp;IF(W58="✓","Upload XML|","")&amp;IF(X58="✓","Captcha ảnh|","")&amp;IF(Y58="✓","Captcha dạng tích|","")&amp;IF(Z58="✓","Captcha khác (slider/hình)|","")&amp;IF(AA58="✓","Đăng nhập|","")&amp;IF(AB58="✓","Email/SĐT/OTP|","")="","(không có tham số)",SUBSTITUTE(LEFT(IF(O58="✓","Mã tra cứu|","")&amp;IF(P58="✓","MST người bán|","")&amp;IF(Q58="✓","MST người mua|","")&amp;IF(R58="✓","Mẫu số / Ký hiệu|","")&amp;IF(S58="✓","Số HĐ|","")&amp;IF(T58="✓","Ngày lập|","")&amp;IF(U58="✓","Tổng tiền|","")&amp;IF(V58="✓","Mã CQT|","")&amp;IF(W58="✓","Upload XML|","")&amp;IF(X58="✓","Captcha ảnh|","")&amp;IF(Y58="✓","Captcha dạng tích|","")&amp;IF(Z58="✓","Captcha khác (slider/hình)|","")&amp;IF(AA58="✓","Đăng nhập|","")&amp;IF(AB58="✓","Email/SĐT/OTP|",""),LEN(IF(O58="✓","Mã tra cứu|","")&amp;IF(P58="✓","MST người bán|","")&amp;IF(Q58="✓","MST người mua|","")&amp;IF(R58="✓","Mẫu số / Ký hiệu|","")&amp;IF(S58="✓","Số HĐ|","")&amp;IF(T58="✓","Ngày lập|","")&amp;IF(U58="✓","Tổng tiền|","")&amp;IF(V58="✓","Mã CQT|","")&amp;IF(W58="✓","Upload XML|","")&amp;IF(X58="✓","Captcha ảnh|","")&amp;IF(Y58="✓","Captcha dạng tích|","")&amp;IF(Z58="✓","Captcha khác (slider/hình)|","")&amp;IF(AA58="✓","Đăng nhập|","")&amp;IF(AB58="✓","Email/SĐT/OTP|",""))-1),"|"," + ")))</f>
        <v/>
      </c>
      <c r="I58" s="17" t="n"/>
      <c r="J58" s="17" t="n"/>
      <c r="K58" s="17" t="n"/>
      <c r="L58" s="17" t="n"/>
      <c r="M58" s="37" t="n"/>
      <c r="N58" s="38" t="inlineStr">
        <is>
          <t>OK</t>
        </is>
      </c>
      <c r="O58" s="39" t="inlineStr">
        <is>
          <t>✓</t>
        </is>
      </c>
      <c r="P58" s="39" t="n"/>
      <c r="Q58" s="39" t="n"/>
      <c r="R58" s="39" t="n"/>
      <c r="S58" s="39" t="n"/>
      <c r="T58" s="39" t="n"/>
      <c r="U58" s="39" t="n"/>
      <c r="V58" s="39" t="n"/>
      <c r="W58" s="39" t="n"/>
      <c r="X58" s="39" t="n"/>
      <c r="Y58" s="39" t="n"/>
      <c r="Z58" s="39" t="n"/>
      <c r="AA58" s="39" t="n"/>
      <c r="AB58" s="39" t="n"/>
      <c r="AC58" s="39" t="n">
        <v>1</v>
      </c>
      <c r="AD58" s="16" t="inlineStr">
        <is>
          <t>không có widget (recaptcha/api.js có nạp nhưng không render ô nào trên form)</t>
        </is>
      </c>
      <c r="AE58" s="16" t="inlineStr">
        <is>
          <t>Nút 'Đăng nhập bằng tài khoản'</t>
        </is>
      </c>
      <c r="AF58" s="16" t="inlineStr">
        <is>
          <t>eVAT Trí Việt Luật. Vẫn có form công khai 'Mã tra cứu' + 'Mã công ty'. Bảng nguồn ghi 'đăng nhập mới xem hóa đơn'; chưa kiểm được vì không gửi form.</t>
        </is>
      </c>
      <c r="AG58" s="16" t="inlineStr">
        <is>
          <t>https://tvl.evat.vn/</t>
        </is>
      </c>
      <c r="AH58" s="1" t="n"/>
      <c r="AI58" s="1" t="n"/>
      <c r="AJ58">
        <f>IFERROR(IF(INDEX(WBS2!$I$2:$I$25,MATCH($C58,WBS2!$F$2:$F$25,0))="","",INDEX(WBS2!$I$2:$I$25,MATCH($C58,WBS2!$F$2:$F$25,0))),"")</f>
        <v/>
      </c>
      <c r="AK58">
        <f>IFERROR(IF(INDEX(WBS2!$I$27:$I$162,MATCH($C58,WBS2!$F$27:$F$162,0))="","",INDEX(WBS2!$I$27:$I$162,MATCH($C58,WBS2!$F$27:$F$162,0))),"")</f>
        <v/>
      </c>
      <c r="AL58" s="102">
        <f>IFERROR(IF(OR($AK58="Chưa hoàn thành",$AK58="Sẵn sàng"),INDEX(WBS2!$H$27:$H$162,MATCH($C58,WBS2!$F$27:$F$162,0)),""),"")</f>
        <v/>
      </c>
      <c r="AM58">
        <f>IFERROR(IF(INDEX(WBS2!$J$27:$J$162,MATCH($C58,WBS2!$F$27:$F$162,0))="","",INDEX(WBS2!$J$27:$J$162,MATCH($C58,WBS2!$F$27:$F$162,0))),"")</f>
        <v/>
      </c>
      <c r="AN58">
        <f>IFERROR(IF(INDEX(WBS2!$I$163:$I$298,MATCH($C58,WBS2!$F$163:$F$298,0))="","",INDEX(WBS2!$I$163:$I$298,MATCH($C58,WBS2!$F$163:$F$298,0))),"")</f>
        <v/>
      </c>
      <c r="AO58" s="102">
        <f>IFERROR(IF(OR($AN58="Chưa hoàn thành",$AN58="Sẵn sàng"),INDEX(WBS2!$H$163:$H$298,MATCH($C58,WBS2!$F$163:$F$298,0)),""),"")</f>
        <v/>
      </c>
      <c r="AP58">
        <f>IFERROR(IF(INDEX(WBS2!$J$163:$J$298,MATCH($C58,WBS2!$F$163:$F$298,0))="","",INDEX(WBS2!$J$163:$J$298,MATCH($C58,WBS2!$F$163:$F$298,0))),"")</f>
        <v/>
      </c>
    </row>
    <row r="59" hidden="1" ht="14.25" customHeight="1">
      <c r="A59" s="13" t="n">
        <v>58</v>
      </c>
      <c r="B59" s="13" t="inlineStr">
        <is>
          <t>Công ty Cổ phần truyền số liệu Việt Nam</t>
        </is>
      </c>
      <c r="C59" s="14" t="inlineStr">
        <is>
          <t>0106361479</t>
        </is>
      </c>
      <c r="D59" s="13" t="inlineStr">
        <is>
          <t>Tầng 12 tòa nhà Việt Á, số 9 Duy Tân, phường Dịch Vọng Hậu, quận Cầu Giấy, Tp Hà Nội</t>
        </is>
      </c>
      <c r="E59" s="18" t="inlineStr">
        <is>
          <t>https://ahoadon.com</t>
        </is>
      </c>
      <c r="F59" s="20" t="inlineStr">
        <is>
          <t>site đã đổi chủ (redirect sang trang cờ bạc)</t>
        </is>
      </c>
      <c r="G59" s="20" t="n"/>
      <c r="H59" s="35">
        <f>IF(N59&lt;&gt;"OK","",IF(IF(O59="✓","Mã tra cứu|","")&amp;IF(P59="✓","MST người bán|","")&amp;IF(Q59="✓","MST người mua|","")&amp;IF(R59="✓","Mẫu số / Ký hiệu|","")&amp;IF(S59="✓","Số HĐ|","")&amp;IF(T59="✓","Ngày lập|","")&amp;IF(U59="✓","Tổng tiền|","")&amp;IF(V59="✓","Mã CQT|","")&amp;IF(W59="✓","Upload XML|","")&amp;IF(X59="✓","Captcha ảnh|","")&amp;IF(Y59="✓","Captcha dạng tích|","")&amp;IF(Z59="✓","Captcha khác (slider/hình)|","")&amp;IF(AA59="✓","Đăng nhập|","")&amp;IF(AB59="✓","Email/SĐT/OTP|","")="","(không có tham số)",SUBSTITUTE(LEFT(IF(O59="✓","Mã tra cứu|","")&amp;IF(P59="✓","MST người bán|","")&amp;IF(Q59="✓","MST người mua|","")&amp;IF(R59="✓","Mẫu số / Ký hiệu|","")&amp;IF(S59="✓","Số HĐ|","")&amp;IF(T59="✓","Ngày lập|","")&amp;IF(U59="✓","Tổng tiền|","")&amp;IF(V59="✓","Mã CQT|","")&amp;IF(W59="✓","Upload XML|","")&amp;IF(X59="✓","Captcha ảnh|","")&amp;IF(Y59="✓","Captcha dạng tích|","")&amp;IF(Z59="✓","Captcha khác (slider/hình)|","")&amp;IF(AA59="✓","Đăng nhập|","")&amp;IF(AB59="✓","Email/SĐT/OTP|",""),LEN(IF(O59="✓","Mã tra cứu|","")&amp;IF(P59="✓","MST người bán|","")&amp;IF(Q59="✓","MST người mua|","")&amp;IF(R59="✓","Mẫu số / Ký hiệu|","")&amp;IF(S59="✓","Số HĐ|","")&amp;IF(T59="✓","Ngày lập|","")&amp;IF(U59="✓","Tổng tiền|","")&amp;IF(V59="✓","Mã CQT|","")&amp;IF(W59="✓","Upload XML|","")&amp;IF(X59="✓","Captcha ảnh|","")&amp;IF(Y59="✓","Captcha dạng tích|","")&amp;IF(Z59="✓","Captcha khác (slider/hình)|","")&amp;IF(AA59="✓","Đăng nhập|","")&amp;IF(AB59="✓","Email/SĐT/OTP|",""))-1),"|"," + ")))</f>
        <v/>
      </c>
      <c r="I59" s="17" t="n"/>
      <c r="J59" s="17" t="n"/>
      <c r="K59" s="17" t="n"/>
      <c r="L59" s="17" t="n"/>
      <c r="M59" s="37" t="n"/>
      <c r="N59" s="38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7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1" t="n"/>
      <c r="AI59" s="1" t="n"/>
      <c r="AJ59">
        <f>IFERROR(IF(INDEX(WBS2!$I$2:$I$25,MATCH($C59,WBS2!$F$2:$F$25,0))="","",INDEX(WBS2!$I$2:$I$25,MATCH($C59,WBS2!$F$2:$F$25,0))),"")</f>
        <v/>
      </c>
      <c r="AK59">
        <f>IFERROR(IF(INDEX(WBS2!$I$27:$I$162,MATCH($C59,WBS2!$F$27:$F$162,0))="","",INDEX(WBS2!$I$27:$I$162,MATCH($C59,WBS2!$F$27:$F$162,0))),"")</f>
        <v/>
      </c>
      <c r="AL59" s="102">
        <f>IFERROR(IF(OR($AK59="Chưa hoàn thành",$AK59="Sẵn sàng"),INDEX(WBS2!$H$27:$H$162,MATCH($C59,WBS2!$F$27:$F$162,0)),""),"")</f>
        <v/>
      </c>
      <c r="AM59">
        <f>IFERROR(IF(INDEX(WBS2!$J$27:$J$162,MATCH($C59,WBS2!$F$27:$F$162,0))="","",INDEX(WBS2!$J$27:$J$162,MATCH($C59,WBS2!$F$27:$F$162,0))),"")</f>
        <v/>
      </c>
      <c r="AN59">
        <f>IFERROR(IF(INDEX(WBS2!$I$163:$I$298,MATCH($C59,WBS2!$F$163:$F$298,0))="","",INDEX(WBS2!$I$163:$I$298,MATCH($C59,WBS2!$F$163:$F$298,0))),"")</f>
        <v/>
      </c>
      <c r="AO59" s="102">
        <f>IFERROR(IF(OR($AN59="Chưa hoàn thành",$AN59="Sẵn sàng"),INDEX(WBS2!$H$163:$H$298,MATCH($C59,WBS2!$F$163:$F$298,0)),""),"")</f>
        <v/>
      </c>
      <c r="AP59">
        <f>IFERROR(IF(INDEX(WBS2!$J$163:$J$298,MATCH($C59,WBS2!$F$163:$F$298,0))="","",INDEX(WBS2!$J$163:$J$298,MATCH($C59,WBS2!$F$163:$F$298,0))),"")</f>
        <v/>
      </c>
    </row>
    <row r="60" hidden="1" ht="14.25" customHeight="1">
      <c r="A60" s="13" t="n">
        <v>59</v>
      </c>
      <c r="B60" s="13" t="inlineStr">
        <is>
          <t>Công ty TNHH NC9 Việt Nam</t>
        </is>
      </c>
      <c r="C60" s="14" t="inlineStr">
        <is>
          <t>0312270160</t>
        </is>
      </c>
      <c r="D60" s="13" t="inlineStr">
        <is>
          <t>Số 87, đường Nguyễn Thị Thập, khu đô thị mới HimLam, phường Tân Hưng, quận 7, Tp Hồ Chí Minh</t>
        </is>
      </c>
      <c r="E60" s="18" t="inlineStr">
        <is>
          <t>http://ameinvoice.com.vn</t>
        </is>
      </c>
      <c r="F60" s="20" t="inlineStr">
        <is>
          <t>site lỗi 503</t>
        </is>
      </c>
      <c r="G60" s="63" t="inlineStr">
        <is>
          <t>https://ameinvoice.vn/invoice-inquiry/</t>
        </is>
      </c>
      <c r="H60" s="35">
        <f>IF(N60&lt;&gt;"OK","",IF(IF(O60="✓","Mã tra cứu|","")&amp;IF(P60="✓","MST người bán|","")&amp;IF(Q60="✓","MST người mua|","")&amp;IF(R60="✓","Mẫu số / Ký hiệu|","")&amp;IF(S60="✓","Số HĐ|","")&amp;IF(T60="✓","Ngày lập|","")&amp;IF(U60="✓","Tổng tiền|","")&amp;IF(V60="✓","Mã CQT|","")&amp;IF(W60="✓","Upload XML|","")&amp;IF(X60="✓","Captcha ảnh|","")&amp;IF(Y60="✓","Captcha dạng tích|","")&amp;IF(Z60="✓","Captcha khác (slider/hình)|","")&amp;IF(AA60="✓","Đăng nhập|","")&amp;IF(AB60="✓","Email/SĐT/OTP|","")="","(không có tham số)",SUBSTITUTE(LEFT(IF(O60="✓","Mã tra cứu|","")&amp;IF(P60="✓","MST người bán|","")&amp;IF(Q60="✓","MST người mua|","")&amp;IF(R60="✓","Mẫu số / Ký hiệu|","")&amp;IF(S60="✓","Số HĐ|","")&amp;IF(T60="✓","Ngày lập|","")&amp;IF(U60="✓","Tổng tiền|","")&amp;IF(V60="✓","Mã CQT|","")&amp;IF(W60="✓","Upload XML|","")&amp;IF(X60="✓","Captcha ảnh|","")&amp;IF(Y60="✓","Captcha dạng tích|","")&amp;IF(Z60="✓","Captcha khác (slider/hình)|","")&amp;IF(AA60="✓","Đăng nhập|","")&amp;IF(AB60="✓","Email/SĐT/OTP|",""),LEN(IF(O60="✓","Mã tra cứu|","")&amp;IF(P60="✓","MST người bán|","")&amp;IF(Q60="✓","MST người mua|","")&amp;IF(R60="✓","Mẫu số / Ký hiệu|","")&amp;IF(S60="✓","Số HĐ|","")&amp;IF(T60="✓","Ngày lập|","")&amp;IF(U60="✓","Tổng tiền|","")&amp;IF(V60="✓","Mã CQT|","")&amp;IF(W60="✓","Upload XML|","")&amp;IF(X60="✓","Captcha ảnh|","")&amp;IF(Y60="✓","Captcha dạng tích|","")&amp;IF(Z60="✓","Captcha khác (slider/hình)|","")&amp;IF(AA60="✓","Đăng nhập|","")&amp;IF(AB60="✓","Email/SĐT/OTP|",""))-1),"|"," + ")))</f>
        <v/>
      </c>
      <c r="I60" s="17" t="n"/>
      <c r="J60" s="17" t="n"/>
      <c r="K60" s="17" t="n"/>
      <c r="L60" s="17" t="n"/>
      <c r="M60" s="37" t="n"/>
      <c r="N60" s="38" t="inlineStr">
        <is>
          <t>OK</t>
        </is>
      </c>
      <c r="O60" s="39" t="inlineStr">
        <is>
          <t>✓</t>
        </is>
      </c>
      <c r="P60" s="39" t="inlineStr">
        <is>
          <t>✓</t>
        </is>
      </c>
      <c r="Q60" s="39" t="n"/>
      <c r="R60" s="39" t="n"/>
      <c r="S60" s="39" t="n"/>
      <c r="T60" s="39" t="n"/>
      <c r="U60" s="39" t="n"/>
      <c r="V60" s="39" t="n"/>
      <c r="W60" s="39" t="n"/>
      <c r="X60" s="39" t="n"/>
      <c r="Y60" s="39" t="n"/>
      <c r="Z60" s="39" t="n"/>
      <c r="AA60" s="39" t="n"/>
      <c r="AB60" s="39" t="n"/>
      <c r="AC60" s="39" t="n">
        <v>2</v>
      </c>
      <c r="AD60" s="16" t="inlineStr">
        <is>
          <t>không có trên form (reCAPTCHA v3 ẩn của plugin Contact Form 7 nạp cho cả site)</t>
        </is>
      </c>
      <c r="AE60" s="16" t="inlineStr">
        <is>
          <t>Trang 'Seller – buyer invoice inquiry': MST bán + Secret code + radio Seller/Buyer lookup; Trang 'Search file xml': upload XML</t>
        </is>
      </c>
      <c r="AF60" s="16" t="inlineStr">
        <is>
          <t>WordPress. Form: 'Seller tax code' + 'Inquiry code' (company_cd). Bảng nguồn ghi lỗi 503 nhưng nay trả 200.</t>
        </is>
      </c>
      <c r="AG60" s="16" t="inlineStr">
        <is>
          <t>https://ameinvoice.vn/invoice-inquiry/</t>
        </is>
      </c>
      <c r="AH60" s="1" t="n"/>
      <c r="AI60" s="1" t="n"/>
      <c r="AJ60">
        <f>IFERROR(IF(INDEX(WBS2!$I$2:$I$25,MATCH($C60,WBS2!$F$2:$F$25,0))="","",INDEX(WBS2!$I$2:$I$25,MATCH($C60,WBS2!$F$2:$F$25,0))),"")</f>
        <v/>
      </c>
      <c r="AK60">
        <f>IFERROR(IF(INDEX(WBS2!$I$27:$I$162,MATCH($C60,WBS2!$F$27:$F$162,0))="","",INDEX(WBS2!$I$27:$I$162,MATCH($C60,WBS2!$F$27:$F$162,0))),"")</f>
        <v/>
      </c>
      <c r="AL60" s="102">
        <f>IFERROR(IF(OR($AK60="Chưa hoàn thành",$AK60="Sẵn sàng"),INDEX(WBS2!$H$27:$H$162,MATCH($C60,WBS2!$F$27:$F$162,0)),""),"")</f>
        <v/>
      </c>
      <c r="AM60">
        <f>IFERROR(IF(INDEX(WBS2!$J$27:$J$162,MATCH($C60,WBS2!$F$27:$F$162,0))="","",INDEX(WBS2!$J$27:$J$162,MATCH($C60,WBS2!$F$27:$F$162,0))),"")</f>
        <v/>
      </c>
      <c r="AN60">
        <f>IFERROR(IF(INDEX(WBS2!$I$163:$I$298,MATCH($C60,WBS2!$F$163:$F$298,0))="","",INDEX(WBS2!$I$163:$I$298,MATCH($C60,WBS2!$F$163:$F$298,0))),"")</f>
        <v/>
      </c>
      <c r="AO60" s="102">
        <f>IFERROR(IF(OR($AN60="Chưa hoàn thành",$AN60="Sẵn sàng"),INDEX(WBS2!$H$163:$H$298,MATCH($C60,WBS2!$F$163:$F$298,0)),""),"")</f>
        <v/>
      </c>
      <c r="AP60">
        <f>IFERROR(IF(INDEX(WBS2!$J$163:$J$298,MATCH($C60,WBS2!$F$163:$F$298,0))="","",INDEX(WBS2!$J$163:$J$298,MATCH($C60,WBS2!$F$163:$F$298,0))),"")</f>
        <v/>
      </c>
    </row>
    <row r="61" hidden="1" ht="14.25" customHeight="1">
      <c r="A61" s="13" t="n">
        <v>60</v>
      </c>
      <c r="B61" s="13" t="inlineStr">
        <is>
          <t>Công ty Cổ phần giải pháp First Trust</t>
        </is>
      </c>
      <c r="C61" s="14" t="inlineStr">
        <is>
          <t>0104493085</t>
        </is>
      </c>
      <c r="D61" s="13" t="inlineStr">
        <is>
          <t>Số 17/36 đường Hoàng Quốc Việt, phường Nghĩa Đô, quận Cầu Giấy, Tp Hà Nội</t>
        </is>
      </c>
      <c r="E61" s="18" t="inlineStr">
        <is>
          <t xml:space="preserve">https://www.fts.com.vn/phan-mem-hoa-don-dien-tu/ </t>
        </is>
      </c>
      <c r="F61" s="20" t="inlineStr">
        <is>
          <t>Không có captcha</t>
        </is>
      </c>
      <c r="G61" s="63" t="inlineStr">
        <is>
          <t>https://invoice.fast.com.vn/tra-cuu-hoa-don-dien-tu/</t>
        </is>
      </c>
      <c r="H61" s="35">
        <f>IF(N61&lt;&gt;"OK","",IF(IF(O61="✓","Mã tra cứu|","")&amp;IF(P61="✓","MST người bán|","")&amp;IF(Q61="✓","MST người mua|","")&amp;IF(R61="✓","Mẫu số / Ký hiệu|","")&amp;IF(S61="✓","Số HĐ|","")&amp;IF(T61="✓","Ngày lập|","")&amp;IF(U61="✓","Tổng tiền|","")&amp;IF(V61="✓","Mã CQT|","")&amp;IF(W61="✓","Upload XML|","")&amp;IF(X61="✓","Captcha ảnh|","")&amp;IF(Y61="✓","Captcha dạng tích|","")&amp;IF(Z61="✓","Captcha khác (slider/hình)|","")&amp;IF(AA61="✓","Đăng nhập|","")&amp;IF(AB61="✓","Email/SĐT/OTP|","")="","(không có tham số)",SUBSTITUTE(LEFT(IF(O61="✓","Mã tra cứu|","")&amp;IF(P61="✓","MST người bán|","")&amp;IF(Q61="✓","MST người mua|","")&amp;IF(R61="✓","Mẫu số / Ký hiệu|","")&amp;IF(S61="✓","Số HĐ|","")&amp;IF(T61="✓","Ngày lập|","")&amp;IF(U61="✓","Tổng tiền|","")&amp;IF(V61="✓","Mã CQT|","")&amp;IF(W61="✓","Upload XML|","")&amp;IF(X61="✓","Captcha ảnh|","")&amp;IF(Y61="✓","Captcha dạng tích|","")&amp;IF(Z61="✓","Captcha khác (slider/hình)|","")&amp;IF(AA61="✓","Đăng nhập|","")&amp;IF(AB61="✓","Email/SĐT/OTP|",""),LEN(IF(O61="✓","Mã tra cứu|","")&amp;IF(P61="✓","MST người bán|","")&amp;IF(Q61="✓","MST người mua|","")&amp;IF(R61="✓","Mẫu số / Ký hiệu|","")&amp;IF(S61="✓","Số HĐ|","")&amp;IF(T61="✓","Ngày lập|","")&amp;IF(U61="✓","Tổng tiền|","")&amp;IF(V61="✓","Mã CQT|","")&amp;IF(W61="✓","Upload XML|","")&amp;IF(X61="✓","Captcha ảnh|","")&amp;IF(Y61="✓","Captcha dạng tích|","")&amp;IF(Z61="✓","Captcha khác (slider/hình)|","")&amp;IF(AA61="✓","Đăng nhập|","")&amp;IF(AB61="✓","Email/SĐT/OTP|",""))-1),"|"," + ")))</f>
        <v/>
      </c>
      <c r="I61" s="17" t="n"/>
      <c r="J61" s="17" t="n"/>
      <c r="K61" s="17" t="n"/>
      <c r="L61" s="17" t="n"/>
      <c r="M61" s="37" t="n"/>
      <c r="N61" s="38" t="inlineStr">
        <is>
          <t>OK</t>
        </is>
      </c>
      <c r="O61" s="39" t="inlineStr">
        <is>
          <t>✓</t>
        </is>
      </c>
      <c r="P61" s="39" t="n"/>
      <c r="Q61" s="39" t="n"/>
      <c r="R61" s="39" t="n"/>
      <c r="S61" s="39" t="n"/>
      <c r="T61" s="39" t="n"/>
      <c r="U61" s="39" t="n"/>
      <c r="V61" s="39" t="n"/>
      <c r="W61" s="39" t="n"/>
      <c r="X61" s="39" t="inlineStr">
        <is>
          <t>✓</t>
        </is>
      </c>
      <c r="Y61" s="39" t="n"/>
      <c r="Z61" s="39" t="n"/>
      <c r="AA61" s="39" t="n"/>
      <c r="AB61" s="39" t="n"/>
      <c r="AC61" s="39" t="n">
        <v>2</v>
      </c>
      <c r="AD61" s="16" t="inlineStr">
        <is>
          <t>Link trỏ tới cổng FAST: thực tế dùng einvoice.fast.com.vn (KeySearch + captcha ảnh 100x30)</t>
        </is>
      </c>
      <c r="AE61" s="16" t="inlineStr">
        <is>
          <t>Cùng form, radio chọn kết quả: Xem trực tiếp / Tải XML gốc / Tải PDF</t>
        </is>
      </c>
      <c r="AF61" s="16" t="inlineStr">
        <is>
          <t>Link của First Trust trỏ tới hệ thống FAST (0100727825). Link thuộc FAST (0100727825), không phải First Trust (fts.com.vn). 1 ô 'Nhập mã số...'. CLAUDE.md ghi cổng FAST cần nhóm captcha ~g_100x30, nên captcha có thể hiện ở bước sau khi gửi (chưa kiểm vì không gửi form).</t>
        </is>
      </c>
      <c r="AG61" s="16" t="inlineStr">
        <is>
          <t>https://invoice.fast.com.vn/tra-cuu-hoa-don-dien-tu/</t>
        </is>
      </c>
      <c r="AH61" s="1" t="n"/>
      <c r="AI61" s="1" t="n"/>
      <c r="AJ61">
        <f>IFERROR(IF(INDEX(WBS2!$I$2:$I$25,MATCH($C61,WBS2!$F$2:$F$25,0))="","",INDEX(WBS2!$I$2:$I$25,MATCH($C61,WBS2!$F$2:$F$25,0))),"")</f>
        <v/>
      </c>
      <c r="AK61">
        <f>IFERROR(IF(INDEX(WBS2!$I$27:$I$162,MATCH($C61,WBS2!$F$27:$F$162,0))="","",INDEX(WBS2!$I$27:$I$162,MATCH($C61,WBS2!$F$27:$F$162,0))),"")</f>
        <v/>
      </c>
      <c r="AL61" s="102">
        <f>IFERROR(IF(OR($AK61="Chưa hoàn thành",$AK61="Sẵn sàng"),INDEX(WBS2!$H$27:$H$162,MATCH($C61,WBS2!$F$27:$F$162,0)),""),"")</f>
        <v/>
      </c>
      <c r="AM61">
        <f>IFERROR(IF(INDEX(WBS2!$J$27:$J$162,MATCH($C61,WBS2!$F$27:$F$162,0))="","",INDEX(WBS2!$J$27:$J$162,MATCH($C61,WBS2!$F$27:$F$162,0))),"")</f>
        <v/>
      </c>
      <c r="AN61">
        <f>IFERROR(IF(INDEX(WBS2!$I$163:$I$298,MATCH($C61,WBS2!$F$163:$F$298,0))="","",INDEX(WBS2!$I$163:$I$298,MATCH($C61,WBS2!$F$163:$F$298,0))),"")</f>
        <v/>
      </c>
      <c r="AO61" s="102">
        <f>IFERROR(IF(OR($AN61="Chưa hoàn thành",$AN61="Sẵn sàng"),INDEX(WBS2!$H$163:$H$298,MATCH($C61,WBS2!$F$163:$F$298,0)),""),"")</f>
        <v/>
      </c>
      <c r="AP61">
        <f>IFERROR(IF(INDEX(WBS2!$J$163:$J$298,MATCH($C61,WBS2!$F$163:$F$298,0))="","",INDEX(WBS2!$J$163:$J$298,MATCH($C61,WBS2!$F$163:$F$298,0))),"")</f>
        <v/>
      </c>
    </row>
    <row r="62" hidden="1" ht="14.25" customHeight="1">
      <c r="A62" s="13" t="n">
        <v>61</v>
      </c>
      <c r="B62" s="13" t="inlineStr">
        <is>
          <t>Công ty TNHH Phần mềm Nhân Hòa</t>
        </is>
      </c>
      <c r="C62" s="14" t="inlineStr">
        <is>
          <t>0101289966</t>
        </is>
      </c>
      <c r="D62" s="13" t="inlineStr">
        <is>
          <t>Tầng 4 tòa nhà 97 - 99 Láng Hạ, phường Láng Hạ, quận Đống Đa, Tp Hà Nội</t>
        </is>
      </c>
      <c r="E62" s="18" t="inlineStr">
        <is>
          <t>https://hoadon.biz</t>
        </is>
      </c>
      <c r="F62" s="20" t="inlineStr">
        <is>
          <t>Không có captcha</t>
        </is>
      </c>
      <c r="G62" s="20" t="inlineStr">
        <is>
          <t>https://tracuu.e-hoadon.cloud/</t>
        </is>
      </c>
      <c r="H62" s="35">
        <f>IF(N62&lt;&gt;"OK","",IF(IF(O62="✓","Mã tra cứu|","")&amp;IF(P62="✓","MST người bán|","")&amp;IF(Q62="✓","MST người mua|","")&amp;IF(R62="✓","Mẫu số / Ký hiệu|","")&amp;IF(S62="✓","Số HĐ|","")&amp;IF(T62="✓","Ngày lập|","")&amp;IF(U62="✓","Tổng tiền|","")&amp;IF(V62="✓","Mã CQT|","")&amp;IF(W62="✓","Upload XML|","")&amp;IF(X62="✓","Captcha ảnh|","")&amp;IF(Y62="✓","Captcha dạng tích|","")&amp;IF(Z62="✓","Captcha khác (slider/hình)|","")&amp;IF(AA62="✓","Đăng nhập|","")&amp;IF(AB62="✓","Email/SĐT/OTP|","")="","(không có tham số)",SUBSTITUTE(LEFT(IF(O62="✓","Mã tra cứu|","")&amp;IF(P62="✓","MST người bán|","")&amp;IF(Q62="✓","MST người mua|","")&amp;IF(R62="✓","Mẫu số / Ký hiệu|","")&amp;IF(S62="✓","Số HĐ|","")&amp;IF(T62="✓","Ngày lập|","")&amp;IF(U62="✓","Tổng tiền|","")&amp;IF(V62="✓","Mã CQT|","")&amp;IF(W62="✓","Upload XML|","")&amp;IF(X62="✓","Captcha ảnh|","")&amp;IF(Y62="✓","Captcha dạng tích|","")&amp;IF(Z62="✓","Captcha khác (slider/hình)|","")&amp;IF(AA62="✓","Đăng nhập|","")&amp;IF(AB62="✓","Email/SĐT/OTP|",""),LEN(IF(O62="✓","Mã tra cứu|","")&amp;IF(P62="✓","MST người bán|","")&amp;IF(Q62="✓","MST người mua|","")&amp;IF(R62="✓","Mẫu số / Ký hiệu|","")&amp;IF(S62="✓","Số HĐ|","")&amp;IF(T62="✓","Ngày lập|","")&amp;IF(U62="✓","Tổng tiền|","")&amp;IF(V62="✓","Mã CQT|","")&amp;IF(W62="✓","Upload XML|","")&amp;IF(X62="✓","Captcha ảnh|","")&amp;IF(Y62="✓","Captcha dạng tích|","")&amp;IF(Z62="✓","Captcha khác (slider/hình)|","")&amp;IF(AA62="✓","Đăng nhập|","")&amp;IF(AB62="✓","Email/SĐT/OTP|",""))-1),"|"," + ")))</f>
        <v/>
      </c>
      <c r="I62" s="17" t="n"/>
      <c r="J62" s="17" t="n"/>
      <c r="K62" s="17" t="n"/>
      <c r="L62" s="17" t="n"/>
      <c r="M62" s="37" t="n"/>
      <c r="N62" s="38" t="inlineStr">
        <is>
          <t>OK</t>
        </is>
      </c>
      <c r="O62" s="39" t="inlineStr">
        <is>
          <t>✓</t>
        </is>
      </c>
      <c r="P62" s="39" t="inlineStr">
        <is>
          <t>✓</t>
        </is>
      </c>
      <c r="Q62" s="39" t="n"/>
      <c r="R62" s="39" t="n"/>
      <c r="S62" s="39" t="n"/>
      <c r="T62" s="39" t="n"/>
      <c r="U62" s="39" t="n"/>
      <c r="V62" s="39" t="n"/>
      <c r="W62" s="39" t="n"/>
      <c r="X62" s="39" t="n"/>
      <c r="Y62" s="39" t="n"/>
      <c r="Z62" s="39" t="n"/>
      <c r="AA62" s="39" t="n"/>
      <c r="AB62" s="39" t="n"/>
      <c r="AC62" s="39" t="n">
        <v>2</v>
      </c>
      <c r="AD62" s="16" t="inlineStr">
        <is>
          <t>reCAPTCHA v3 ẩn</t>
        </is>
      </c>
      <c r="AE62" s="16" t="n"/>
      <c r="AF62" s="16" t="inlineStr">
        <is>
          <t>MST đơn vị xuất HĐ + Mã tra cứu 16 ký tự. Nhân Hòa (HoaDon.Biz).</t>
        </is>
      </c>
      <c r="AG62" s="16" t="inlineStr">
        <is>
          <t>https://tracuu.e-hoadon.cloud/</t>
        </is>
      </c>
      <c r="AH62" s="1" t="n"/>
      <c r="AI62" s="1" t="n"/>
      <c r="AJ62">
        <f>IFERROR(IF(INDEX(WBS2!$I$2:$I$25,MATCH($C62,WBS2!$F$2:$F$25,0))="","",INDEX(WBS2!$I$2:$I$25,MATCH($C62,WBS2!$F$2:$F$25,0))),"")</f>
        <v/>
      </c>
      <c r="AK62">
        <f>IFERROR(IF(INDEX(WBS2!$I$27:$I$162,MATCH($C62,WBS2!$F$27:$F$162,0))="","",INDEX(WBS2!$I$27:$I$162,MATCH($C62,WBS2!$F$27:$F$162,0))),"")</f>
        <v/>
      </c>
      <c r="AL62" s="102">
        <f>IFERROR(IF(OR($AK62="Chưa hoàn thành",$AK62="Sẵn sàng"),INDEX(WBS2!$H$27:$H$162,MATCH($C62,WBS2!$F$27:$F$162,0)),""),"")</f>
        <v/>
      </c>
      <c r="AM62">
        <f>IFERROR(IF(INDEX(WBS2!$J$27:$J$162,MATCH($C62,WBS2!$F$27:$F$162,0))="","",INDEX(WBS2!$J$27:$J$162,MATCH($C62,WBS2!$F$27:$F$162,0))),"")</f>
        <v/>
      </c>
      <c r="AN62">
        <f>IFERROR(IF(INDEX(WBS2!$I$163:$I$298,MATCH($C62,WBS2!$F$163:$F$298,0))="","",INDEX(WBS2!$I$163:$I$298,MATCH($C62,WBS2!$F$163:$F$298,0))),"")</f>
        <v/>
      </c>
      <c r="AO62" s="102">
        <f>IFERROR(IF(OR($AN62="Chưa hoàn thành",$AN62="Sẵn sàng"),INDEX(WBS2!$H$163:$H$298,MATCH($C62,WBS2!$F$163:$F$298,0)),""),"")</f>
        <v/>
      </c>
      <c r="AP62">
        <f>IFERROR(IF(INDEX(WBS2!$J$163:$J$298,MATCH($C62,WBS2!$F$163:$F$298,0))="","",INDEX(WBS2!$J$163:$J$298,MATCH($C62,WBS2!$F$163:$F$298,0))),"")</f>
        <v/>
      </c>
    </row>
    <row r="63" hidden="1" ht="14.25" customHeight="1">
      <c r="A63" s="13" t="n">
        <v>62</v>
      </c>
      <c r="B63" s="13" t="inlineStr">
        <is>
          <t>Công ty TNHH Kế toán và tư vấn V.L.C</t>
        </is>
      </c>
      <c r="C63" s="14" t="inlineStr">
        <is>
          <t>0303211948</t>
        </is>
      </c>
      <c r="D63" s="13" t="inlineStr">
        <is>
          <t>628 Lê Hồng Phong, phường 10, quận 10, Tp Hồ Chí Minh</t>
        </is>
      </c>
      <c r="E63" s="18" t="inlineStr">
        <is>
          <t>https://ketoanvlc.com</t>
        </is>
      </c>
      <c r="F63" s="20" t="inlineStr">
        <is>
          <t>lỗi máy chủ</t>
        </is>
      </c>
      <c r="G63" s="66" t="inlineStr">
        <is>
          <t>https://vlc.evat.vn/</t>
        </is>
      </c>
      <c r="H63" s="35">
        <f>IF(N63&lt;&gt;"OK","",IF(IF(O63="✓","Mã tra cứu|","")&amp;IF(P63="✓","MST người bán|","")&amp;IF(Q63="✓","MST người mua|","")&amp;IF(R63="✓","Mẫu số / Ký hiệu|","")&amp;IF(S63="✓","Số HĐ|","")&amp;IF(T63="✓","Ngày lập|","")&amp;IF(U63="✓","Tổng tiền|","")&amp;IF(V63="✓","Mã CQT|","")&amp;IF(W63="✓","Upload XML|","")&amp;IF(X63="✓","Captcha ảnh|","")&amp;IF(Y63="✓","Captcha dạng tích|","")&amp;IF(Z63="✓","Captcha khác (slider/hình)|","")&amp;IF(AA63="✓","Đăng nhập|","")&amp;IF(AB63="✓","Email/SĐT/OTP|","")="","(không có tham số)",SUBSTITUTE(LEFT(IF(O63="✓","Mã tra cứu|","")&amp;IF(P63="✓","MST người bán|","")&amp;IF(Q63="✓","MST người mua|","")&amp;IF(R63="✓","Mẫu số / Ký hiệu|","")&amp;IF(S63="✓","Số HĐ|","")&amp;IF(T63="✓","Ngày lập|","")&amp;IF(U63="✓","Tổng tiền|","")&amp;IF(V63="✓","Mã CQT|","")&amp;IF(W63="✓","Upload XML|","")&amp;IF(X63="✓","Captcha ảnh|","")&amp;IF(Y63="✓","Captcha dạng tích|","")&amp;IF(Z63="✓","Captcha khác (slider/hình)|","")&amp;IF(AA63="✓","Đăng nhập|","")&amp;IF(AB63="✓","Email/SĐT/OTP|",""),LEN(IF(O63="✓","Mã tra cứu|","")&amp;IF(P63="✓","MST người bán|","")&amp;IF(Q63="✓","MST người mua|","")&amp;IF(R63="✓","Mẫu số / Ký hiệu|","")&amp;IF(S63="✓","Số HĐ|","")&amp;IF(T63="✓","Ngày lập|","")&amp;IF(U63="✓","Tổng tiền|","")&amp;IF(V63="✓","Mã CQT|","")&amp;IF(W63="✓","Upload XML|","")&amp;IF(X63="✓","Captcha ảnh|","")&amp;IF(Y63="✓","Captcha dạng tích|","")&amp;IF(Z63="✓","Captcha khác (slider/hình)|","")&amp;IF(AA63="✓","Đăng nhập|","")&amp;IF(AB63="✓","Email/SĐT/OTP|",""))-1),"|"," + ")))</f>
        <v/>
      </c>
      <c r="I63" s="17" t="n"/>
      <c r="J63" s="17" t="n"/>
      <c r="K63" s="17" t="n"/>
      <c r="L63" s="17" t="n"/>
      <c r="M63" s="37" t="n"/>
      <c r="N63" s="38" t="inlineStr">
        <is>
          <t>OK</t>
        </is>
      </c>
      <c r="O63" s="39" t="inlineStr">
        <is>
          <t>✓</t>
        </is>
      </c>
      <c r="P63" s="39" t="n"/>
      <c r="Q63" s="39" t="n"/>
      <c r="R63" s="39" t="n"/>
      <c r="S63" s="39" t="n"/>
      <c r="T63" s="39" t="n"/>
      <c r="U63" s="39" t="n"/>
      <c r="V63" s="39" t="n"/>
      <c r="W63" s="39" t="n"/>
      <c r="X63" s="39" t="n"/>
      <c r="Y63" s="39" t="n"/>
      <c r="Z63" s="39" t="n"/>
      <c r="AA63" s="39" t="n"/>
      <c r="AB63" s="39" t="n"/>
      <c r="AC63" s="39" t="n">
        <v>1</v>
      </c>
      <c r="AD63" s="16" t="inlineStr">
        <is>
          <t>không có widget (recaptcha/api.js có nạp nhưng không render ô nào trên form)</t>
        </is>
      </c>
      <c r="AE63" s="16" t="inlineStr">
        <is>
          <t>Nút 'Đăng nhập bằng tài khoản'</t>
        </is>
      </c>
      <c r="AF63" s="16" t="inlineStr">
        <is>
          <t>eVAT Trí Việt Luật. Form: 'Mã tra cứu' + 'Mã công ty'. Bảng nguồn ghi 'lỗi máy chủ' nhưng nay trả 200, form hiển thị bình thường.</t>
        </is>
      </c>
      <c r="AG63" s="16" t="inlineStr">
        <is>
          <t>https://vlc.evat.vn/</t>
        </is>
      </c>
      <c r="AH63" s="1" t="n"/>
      <c r="AI63" s="1" t="n"/>
      <c r="AJ63">
        <f>IFERROR(IF(INDEX(WBS2!$I$2:$I$25,MATCH($C63,WBS2!$F$2:$F$25,0))="","",INDEX(WBS2!$I$2:$I$25,MATCH($C63,WBS2!$F$2:$F$25,0))),"")</f>
        <v/>
      </c>
      <c r="AK63">
        <f>IFERROR(IF(INDEX(WBS2!$I$27:$I$162,MATCH($C63,WBS2!$F$27:$F$162,0))="","",INDEX(WBS2!$I$27:$I$162,MATCH($C63,WBS2!$F$27:$F$162,0))),"")</f>
        <v/>
      </c>
      <c r="AL63" s="102">
        <f>IFERROR(IF(OR($AK63="Chưa hoàn thành",$AK63="Sẵn sàng"),INDEX(WBS2!$H$27:$H$162,MATCH($C63,WBS2!$F$27:$F$162,0)),""),"")</f>
        <v/>
      </c>
      <c r="AM63">
        <f>IFERROR(IF(INDEX(WBS2!$J$27:$J$162,MATCH($C63,WBS2!$F$27:$F$162,0))="","",INDEX(WBS2!$J$27:$J$162,MATCH($C63,WBS2!$F$27:$F$162,0))),"")</f>
        <v/>
      </c>
      <c r="AN63">
        <f>IFERROR(IF(INDEX(WBS2!$I$163:$I$298,MATCH($C63,WBS2!$F$163:$F$298,0))="","",INDEX(WBS2!$I$163:$I$298,MATCH($C63,WBS2!$F$163:$F$298,0))),"")</f>
        <v/>
      </c>
      <c r="AO63" s="102">
        <f>IFERROR(IF(OR($AN63="Chưa hoàn thành",$AN63="Sẵn sàng"),INDEX(WBS2!$H$163:$H$298,MATCH($C63,WBS2!$F$163:$F$298,0)),""),"")</f>
        <v/>
      </c>
      <c r="AP63">
        <f>IFERROR(IF(INDEX(WBS2!$J$163:$J$298,MATCH($C63,WBS2!$F$163:$F$298,0))="","",INDEX(WBS2!$J$163:$J$298,MATCH($C63,WBS2!$F$163:$F$298,0))),"")</f>
        <v/>
      </c>
    </row>
    <row r="64" hidden="1" ht="14.25" customHeight="1">
      <c r="A64" s="13" t="n">
        <v>63</v>
      </c>
      <c r="B64" s="13" t="inlineStr">
        <is>
          <t>Công ty Cổ phần Công nghệ và giải pháp Tâm Việt</t>
        </is>
      </c>
      <c r="C64" s="14" t="inlineStr">
        <is>
          <t>0101622374</t>
        </is>
      </c>
      <c r="D64" s="13" t="inlineStr">
        <is>
          <t>Số 12, ngõ 1 Hà Chì 1, phường Hà Cầu, quận Hà Đông, Tp Hà Nội</t>
        </is>
      </c>
      <c r="E64" s="18" t="inlineStr">
        <is>
          <t>http://tamvietgroup.vn</t>
        </is>
      </c>
      <c r="F64" s="20" t="inlineStr">
        <is>
          <t>không có thông tin</t>
        </is>
      </c>
      <c r="G64" s="20" t="n"/>
      <c r="H64" s="35">
        <f>IF(N64&lt;&gt;"OK","",IF(IF(O64="✓","Mã tra cứu|","")&amp;IF(P64="✓","MST người bán|","")&amp;IF(Q64="✓","MST người mua|","")&amp;IF(R64="✓","Mẫu số / Ký hiệu|","")&amp;IF(S64="✓","Số HĐ|","")&amp;IF(T64="✓","Ngày lập|","")&amp;IF(U64="✓","Tổng tiền|","")&amp;IF(V64="✓","Mã CQT|","")&amp;IF(W64="✓","Upload XML|","")&amp;IF(X64="✓","Captcha ảnh|","")&amp;IF(Y64="✓","Captcha dạng tích|","")&amp;IF(Z64="✓","Captcha khác (slider/hình)|","")&amp;IF(AA64="✓","Đăng nhập|","")&amp;IF(AB64="✓","Email/SĐT/OTP|","")="","(không có tham số)",SUBSTITUTE(LEFT(IF(O64="✓","Mã tra cứu|","")&amp;IF(P64="✓","MST người bán|","")&amp;IF(Q64="✓","MST người mua|","")&amp;IF(R64="✓","Mẫu số / Ký hiệu|","")&amp;IF(S64="✓","Số HĐ|","")&amp;IF(T64="✓","Ngày lập|","")&amp;IF(U64="✓","Tổng tiền|","")&amp;IF(V64="✓","Mã CQT|","")&amp;IF(W64="✓","Upload XML|","")&amp;IF(X64="✓","Captcha ảnh|","")&amp;IF(Y64="✓","Captcha dạng tích|","")&amp;IF(Z64="✓","Captcha khác (slider/hình)|","")&amp;IF(AA64="✓","Đăng nhập|","")&amp;IF(AB64="✓","Email/SĐT/OTP|",""),LEN(IF(O64="✓","Mã tra cứu|","")&amp;IF(P64="✓","MST người bán|","")&amp;IF(Q64="✓","MST người mua|","")&amp;IF(R64="✓","Mẫu số / Ký hiệu|","")&amp;IF(S64="✓","Số HĐ|","")&amp;IF(T64="✓","Ngày lập|","")&amp;IF(U64="✓","Tổng tiền|","")&amp;IF(V64="✓","Mã CQT|","")&amp;IF(W64="✓","Upload XML|","")&amp;IF(X64="✓","Captcha ảnh|","")&amp;IF(Y64="✓","Captcha dạng tích|","")&amp;IF(Z64="✓","Captcha khác (slider/hình)|","")&amp;IF(AA64="✓","Đăng nhập|","")&amp;IF(AB64="✓","Email/SĐT/OTP|",""))-1),"|"," + ")))</f>
        <v/>
      </c>
      <c r="I64" s="17" t="n"/>
      <c r="J64" s="17" t="n"/>
      <c r="K64" s="17" t="n"/>
      <c r="L64" s="17" t="n"/>
      <c r="M64" s="37" t="n"/>
      <c r="N64" s="38" t="n"/>
      <c r="O64" s="37" t="n"/>
      <c r="P64" s="37" t="n"/>
      <c r="Q64" s="37" t="n"/>
      <c r="R64" s="37" t="n"/>
      <c r="S64" s="37" t="n"/>
      <c r="T64" s="37" t="n"/>
      <c r="U64" s="37" t="n"/>
      <c r="V64" s="37" t="n"/>
      <c r="W64" s="37" t="n"/>
      <c r="X64" s="37" t="n"/>
      <c r="Y64" s="37" t="n"/>
      <c r="Z64" s="37" t="n"/>
      <c r="AA64" s="37" t="n"/>
      <c r="AB64" s="37" t="n"/>
      <c r="AC64" s="37" t="n"/>
      <c r="AD64" s="37" t="n"/>
      <c r="AE64" s="37" t="n"/>
      <c r="AF64" s="37" t="n"/>
      <c r="AG64" s="37" t="n"/>
      <c r="AH64" s="1" t="n"/>
      <c r="AI64" s="1" t="n"/>
      <c r="AJ64">
        <f>IFERROR(IF(INDEX(WBS2!$I$2:$I$25,MATCH($C64,WBS2!$F$2:$F$25,0))="","",INDEX(WBS2!$I$2:$I$25,MATCH($C64,WBS2!$F$2:$F$25,0))),"")</f>
        <v/>
      </c>
      <c r="AK64">
        <f>IFERROR(IF(INDEX(WBS2!$I$27:$I$162,MATCH($C64,WBS2!$F$27:$F$162,0))="","",INDEX(WBS2!$I$27:$I$162,MATCH($C64,WBS2!$F$27:$F$162,0))),"")</f>
        <v/>
      </c>
      <c r="AL64" s="102">
        <f>IFERROR(IF(OR($AK64="Chưa hoàn thành",$AK64="Sẵn sàng"),INDEX(WBS2!$H$27:$H$162,MATCH($C64,WBS2!$F$27:$F$162,0)),""),"")</f>
        <v/>
      </c>
      <c r="AM64">
        <f>IFERROR(IF(INDEX(WBS2!$J$27:$J$162,MATCH($C64,WBS2!$F$27:$F$162,0))="","",INDEX(WBS2!$J$27:$J$162,MATCH($C64,WBS2!$F$27:$F$162,0))),"")</f>
        <v/>
      </c>
      <c r="AN64">
        <f>IFERROR(IF(INDEX(WBS2!$I$163:$I$298,MATCH($C64,WBS2!$F$163:$F$298,0))="","",INDEX(WBS2!$I$163:$I$298,MATCH($C64,WBS2!$F$163:$F$298,0))),"")</f>
        <v/>
      </c>
      <c r="AO64" s="102">
        <f>IFERROR(IF(OR($AN64="Chưa hoàn thành",$AN64="Sẵn sàng"),INDEX(WBS2!$H$163:$H$298,MATCH($C64,WBS2!$F$163:$F$298,0)),""),"")</f>
        <v/>
      </c>
      <c r="AP64">
        <f>IFERROR(IF(INDEX(WBS2!$J$163:$J$298,MATCH($C64,WBS2!$F$163:$F$298,0))="","",INDEX(WBS2!$J$163:$J$298,MATCH($C64,WBS2!$F$163:$F$298,0))),"")</f>
        <v/>
      </c>
    </row>
    <row r="65" hidden="1" ht="14.25" customHeight="1">
      <c r="A65" s="13" t="n">
        <v>64</v>
      </c>
      <c r="B65" s="13" t="inlineStr">
        <is>
          <t>Công ty TNHH Dịch vụ phần mềm AVSE</t>
        </is>
      </c>
      <c r="C65" s="14" t="inlineStr">
        <is>
          <t>0310768095</t>
        </is>
      </c>
      <c r="D65" s="13" t="inlineStr">
        <is>
          <t>B199/5 Nguyễn Văn Quá, khu phố 3, phường Đông Hưng Thuận, quận 12, Tp Hồ Chí Minh</t>
        </is>
      </c>
      <c r="E65" s="18" t="inlineStr">
        <is>
          <t>http://hoadondientu.link</t>
        </is>
      </c>
      <c r="F65" s="20" t="inlineStr">
        <is>
          <t>Không có captcha</t>
        </is>
      </c>
      <c r="G65" s="66" t="inlineStr">
        <is>
          <t>https://hoadondientu.link/tracuutt78</t>
        </is>
      </c>
      <c r="H65" s="35">
        <f>IF(N65&lt;&gt;"OK","",IF(IF(O65="✓","Mã tra cứu|","")&amp;IF(P65="✓","MST người bán|","")&amp;IF(Q65="✓","MST người mua|","")&amp;IF(R65="✓","Mẫu số / Ký hiệu|","")&amp;IF(S65="✓","Số HĐ|","")&amp;IF(T65="✓","Ngày lập|","")&amp;IF(U65="✓","Tổng tiền|","")&amp;IF(V65="✓","Mã CQT|","")&amp;IF(W65="✓","Upload XML|","")&amp;IF(X65="✓","Captcha ảnh|","")&amp;IF(Y65="✓","Captcha dạng tích|","")&amp;IF(Z65="✓","Captcha khác (slider/hình)|","")&amp;IF(AA65="✓","Đăng nhập|","")&amp;IF(AB65="✓","Email/SĐT/OTP|","")="","(không có tham số)",SUBSTITUTE(LEFT(IF(O65="✓","Mã tra cứu|","")&amp;IF(P65="✓","MST người bán|","")&amp;IF(Q65="✓","MST người mua|","")&amp;IF(R65="✓","Mẫu số / Ký hiệu|","")&amp;IF(S65="✓","Số HĐ|","")&amp;IF(T65="✓","Ngày lập|","")&amp;IF(U65="✓","Tổng tiền|","")&amp;IF(V65="✓","Mã CQT|","")&amp;IF(W65="✓","Upload XML|","")&amp;IF(X65="✓","Captcha ảnh|","")&amp;IF(Y65="✓","Captcha dạng tích|","")&amp;IF(Z65="✓","Captcha khác (slider/hình)|","")&amp;IF(AA65="✓","Đăng nhập|","")&amp;IF(AB65="✓","Email/SĐT/OTP|",""),LEN(IF(O65="✓","Mã tra cứu|","")&amp;IF(P65="✓","MST người bán|","")&amp;IF(Q65="✓","MST người mua|","")&amp;IF(R65="✓","Mẫu số / Ký hiệu|","")&amp;IF(S65="✓","Số HĐ|","")&amp;IF(T65="✓","Ngày lập|","")&amp;IF(U65="✓","Tổng tiền|","")&amp;IF(V65="✓","Mã CQT|","")&amp;IF(W65="✓","Upload XML|","")&amp;IF(X65="✓","Captcha ảnh|","")&amp;IF(Y65="✓","Captcha dạng tích|","")&amp;IF(Z65="✓","Captcha khác (slider/hình)|","")&amp;IF(AA65="✓","Đăng nhập|","")&amp;IF(AB65="✓","Email/SĐT/OTP|",""))-1),"|"," + ")))</f>
        <v/>
      </c>
      <c r="I65" s="17" t="n"/>
      <c r="J65" s="17" t="n"/>
      <c r="K65" s="17" t="n"/>
      <c r="L65" s="17" t="n"/>
      <c r="M65" s="37" t="n"/>
      <c r="N65" s="38" t="inlineStr">
        <is>
          <t>OK</t>
        </is>
      </c>
      <c r="O65" s="39" t="inlineStr">
        <is>
          <t>✓</t>
        </is>
      </c>
      <c r="P65" s="39" t="inlineStr">
        <is>
          <t>✓</t>
        </is>
      </c>
      <c r="Q65" s="39" t="n"/>
      <c r="R65" s="39" t="n"/>
      <c r="S65" s="39" t="n"/>
      <c r="T65" s="39" t="n"/>
      <c r="U65" s="39" t="n"/>
      <c r="V65" s="39" t="n"/>
      <c r="W65" s="39" t="n"/>
      <c r="X65" s="39" t="n"/>
      <c r="Y65" s="39" t="n"/>
      <c r="Z65" s="39" t="n"/>
      <c r="AA65" s="39" t="n"/>
      <c r="AB65" s="39" t="n"/>
      <c r="AC65" s="39" t="n">
        <v>2</v>
      </c>
      <c r="AD65" s="16" t="inlineStr">
        <is>
          <t>không có</t>
        </is>
      </c>
      <c r="AE65" s="16" t="n"/>
      <c r="AF65" s="16" t="inlineStr">
        <is>
          <t>AVSoft-eInvoice. Form: MST người bán + Mã tra cứu.</t>
        </is>
      </c>
      <c r="AG65" s="16" t="inlineStr">
        <is>
          <t>https://hoadondientu.link/tracuutt78</t>
        </is>
      </c>
      <c r="AH65" s="1" t="n"/>
      <c r="AI65" s="1" t="n"/>
      <c r="AJ65">
        <f>IFERROR(IF(INDEX(WBS2!$I$2:$I$25,MATCH($C65,WBS2!$F$2:$F$25,0))="","",INDEX(WBS2!$I$2:$I$25,MATCH($C65,WBS2!$F$2:$F$25,0))),"")</f>
        <v/>
      </c>
      <c r="AK65">
        <f>IFERROR(IF(INDEX(WBS2!$I$27:$I$162,MATCH($C65,WBS2!$F$27:$F$162,0))="","",INDEX(WBS2!$I$27:$I$162,MATCH($C65,WBS2!$F$27:$F$162,0))),"")</f>
        <v/>
      </c>
      <c r="AL65" s="102">
        <f>IFERROR(IF(OR($AK65="Chưa hoàn thành",$AK65="Sẵn sàng"),INDEX(WBS2!$H$27:$H$162,MATCH($C65,WBS2!$F$27:$F$162,0)),""),"")</f>
        <v/>
      </c>
      <c r="AM65">
        <f>IFERROR(IF(INDEX(WBS2!$J$27:$J$162,MATCH($C65,WBS2!$F$27:$F$162,0))="","",INDEX(WBS2!$J$27:$J$162,MATCH($C65,WBS2!$F$27:$F$162,0))),"")</f>
        <v/>
      </c>
      <c r="AN65">
        <f>IFERROR(IF(INDEX(WBS2!$I$163:$I$298,MATCH($C65,WBS2!$F$163:$F$298,0))="","",INDEX(WBS2!$I$163:$I$298,MATCH($C65,WBS2!$F$163:$F$298,0))),"")</f>
        <v/>
      </c>
      <c r="AO65" s="102">
        <f>IFERROR(IF(OR($AN65="Chưa hoàn thành",$AN65="Sẵn sàng"),INDEX(WBS2!$H$163:$H$298,MATCH($C65,WBS2!$F$163:$F$298,0)),""),"")</f>
        <v/>
      </c>
      <c r="AP65">
        <f>IFERROR(IF(INDEX(WBS2!$J$163:$J$298,MATCH($C65,WBS2!$F$163:$F$298,0))="","",INDEX(WBS2!$J$163:$J$298,MATCH($C65,WBS2!$F$163:$F$298,0))),"")</f>
        <v/>
      </c>
    </row>
    <row r="66" hidden="1" ht="14.25" customHeight="1">
      <c r="A66" s="13" t="n">
        <v>65</v>
      </c>
      <c r="B66" s="13" t="inlineStr">
        <is>
          <t>Công ty TNHH MTV in Bến Thành</t>
        </is>
      </c>
      <c r="C66" s="14" t="inlineStr">
        <is>
          <t>0312961577</t>
        </is>
      </c>
      <c r="D66" s="13" t="inlineStr">
        <is>
          <t>160 Hai Bà Trưng, phường Đa Kao, quận 1, Tp Hồ Chí Minh</t>
        </is>
      </c>
      <c r="E66" s="18" t="inlineStr">
        <is>
          <t>http://tracuuhoadon.benthanhvoice.vn</t>
        </is>
      </c>
      <c r="F66" s="20" t="n"/>
      <c r="G66" s="63" t="inlineStr">
        <is>
          <t>https://tracuuhoadon.benthanhvoice.vn/</t>
        </is>
      </c>
      <c r="H66" s="35">
        <f>IF(N66&lt;&gt;"OK","",IF(IF(O66="✓","Mã tra cứu|","")&amp;IF(P66="✓","MST người bán|","")&amp;IF(Q66="✓","MST người mua|","")&amp;IF(R66="✓","Mẫu số / Ký hiệu|","")&amp;IF(S66="✓","Số HĐ|","")&amp;IF(T66="✓","Ngày lập|","")&amp;IF(U66="✓","Tổng tiền|","")&amp;IF(V66="✓","Mã CQT|","")&amp;IF(W66="✓","Upload XML|","")&amp;IF(X66="✓","Captcha ảnh|","")&amp;IF(Y66="✓","Captcha dạng tích|","")&amp;IF(Z66="✓","Captcha khác (slider/hình)|","")&amp;IF(AA66="✓","Đăng nhập|","")&amp;IF(AB66="✓","Email/SĐT/OTP|","")="","(không có tham số)",SUBSTITUTE(LEFT(IF(O66="✓","Mã tra cứu|","")&amp;IF(P66="✓","MST người bán|","")&amp;IF(Q66="✓","MST người mua|","")&amp;IF(R66="✓","Mẫu số / Ký hiệu|","")&amp;IF(S66="✓","Số HĐ|","")&amp;IF(T66="✓","Ngày lập|","")&amp;IF(U66="✓","Tổng tiền|","")&amp;IF(V66="✓","Mã CQT|","")&amp;IF(W66="✓","Upload XML|","")&amp;IF(X66="✓","Captcha ảnh|","")&amp;IF(Y66="✓","Captcha dạng tích|","")&amp;IF(Z66="✓","Captcha khác (slider/hình)|","")&amp;IF(AA66="✓","Đăng nhập|","")&amp;IF(AB66="✓","Email/SĐT/OTP|",""),LEN(IF(O66="✓","Mã tra cứu|","")&amp;IF(P66="✓","MST người bán|","")&amp;IF(Q66="✓","MST người mua|","")&amp;IF(R66="✓","Mẫu số / Ký hiệu|","")&amp;IF(S66="✓","Số HĐ|","")&amp;IF(T66="✓","Ngày lập|","")&amp;IF(U66="✓","Tổng tiền|","")&amp;IF(V66="✓","Mã CQT|","")&amp;IF(W66="✓","Upload XML|","")&amp;IF(X66="✓","Captcha ảnh|","")&amp;IF(Y66="✓","Captcha dạng tích|","")&amp;IF(Z66="✓","Captcha khác (slider/hình)|","")&amp;IF(AA66="✓","Đăng nhập|","")&amp;IF(AB66="✓","Email/SĐT/OTP|",""))-1),"|"," + ")))</f>
        <v/>
      </c>
      <c r="I66" s="17" t="n"/>
      <c r="J66" s="17" t="n"/>
      <c r="K66" s="17" t="n"/>
      <c r="L66" s="17" t="n"/>
      <c r="M66" s="37" t="n"/>
      <c r="N66" s="38" t="inlineStr">
        <is>
          <t>Faile</t>
        </is>
      </c>
      <c r="O66" s="39" t="n"/>
      <c r="P66" s="39" t="n"/>
      <c r="Q66" s="39" t="n"/>
      <c r="R66" s="39" t="n"/>
      <c r="S66" s="39" t="n"/>
      <c r="T66" s="39" t="n"/>
      <c r="U66" s="39" t="n"/>
      <c r="V66" s="39" t="n"/>
      <c r="W66" s="39" t="n"/>
      <c r="X66" s="39" t="n"/>
      <c r="Y66" s="39" t="n"/>
      <c r="Z66" s="39" t="n"/>
      <c r="AA66" s="39" t="n"/>
      <c r="AB66" s="39" t="n"/>
      <c r="AC66" s="39" t="n"/>
      <c r="AD66" s="16" t="n"/>
      <c r="AE66" s="16" t="n"/>
      <c r="AF66" s="16" t="inlineStr">
        <is>
          <t>DNS không phân giải (ERR_NAME_NOT_RESOLVED) cả https lẫn http; domain benthanhvoice.vn không tồn tại (NXDOMAIN).</t>
        </is>
      </c>
      <c r="AG66" s="16" t="inlineStr">
        <is>
          <t>https://tracuuhoadon.benthanhvoice.vn/</t>
        </is>
      </c>
      <c r="AH66" s="1" t="n"/>
      <c r="AI66" s="1" t="n"/>
      <c r="AJ66">
        <f>IFERROR(IF(INDEX(WBS2!$I$2:$I$25,MATCH($C66,WBS2!$F$2:$F$25,0))="","",INDEX(WBS2!$I$2:$I$25,MATCH($C66,WBS2!$F$2:$F$25,0))),"")</f>
        <v/>
      </c>
      <c r="AK66">
        <f>IFERROR(IF(INDEX(WBS2!$I$27:$I$162,MATCH($C66,WBS2!$F$27:$F$162,0))="","",INDEX(WBS2!$I$27:$I$162,MATCH($C66,WBS2!$F$27:$F$162,0))),"")</f>
        <v/>
      </c>
      <c r="AL66" s="102">
        <f>IFERROR(IF(OR($AK66="Chưa hoàn thành",$AK66="Sẵn sàng"),INDEX(WBS2!$H$27:$H$162,MATCH($C66,WBS2!$F$27:$F$162,0)),""),"")</f>
        <v/>
      </c>
      <c r="AM66">
        <f>IFERROR(IF(INDEX(WBS2!$J$27:$J$162,MATCH($C66,WBS2!$F$27:$F$162,0))="","",INDEX(WBS2!$J$27:$J$162,MATCH($C66,WBS2!$F$27:$F$162,0))),"")</f>
        <v/>
      </c>
      <c r="AN66">
        <f>IFERROR(IF(INDEX(WBS2!$I$163:$I$298,MATCH($C66,WBS2!$F$163:$F$298,0))="","",INDEX(WBS2!$I$163:$I$298,MATCH($C66,WBS2!$F$163:$F$298,0))),"")</f>
        <v/>
      </c>
      <c r="AO66" s="102">
        <f>IFERROR(IF(OR($AN66="Chưa hoàn thành",$AN66="Sẵn sàng"),INDEX(WBS2!$H$163:$H$298,MATCH($C66,WBS2!$F$163:$F$298,0)),""),"")</f>
        <v/>
      </c>
      <c r="AP66">
        <f>IFERROR(IF(INDEX(WBS2!$J$163:$J$298,MATCH($C66,WBS2!$F$163:$F$298,0))="","",INDEX(WBS2!$J$163:$J$298,MATCH($C66,WBS2!$F$163:$F$298,0))),"")</f>
        <v/>
      </c>
    </row>
    <row r="67" hidden="1" ht="14.25" customHeight="1">
      <c r="A67" s="13" t="n">
        <v>66</v>
      </c>
      <c r="B67" s="13" t="inlineStr">
        <is>
          <t>Công ty TNHH ZAMO</t>
        </is>
      </c>
      <c r="C67" s="14" t="inlineStr">
        <is>
          <t>0313950909</t>
        </is>
      </c>
      <c r="D67" s="13" t="inlineStr">
        <is>
          <t>23.07 Block A2 chung cư Ký Nguyên đường 15B, phường Phú Mỹ, quận 7, Tp Hồ Chí Minh</t>
        </is>
      </c>
      <c r="E67" s="18" t="inlineStr">
        <is>
          <t>https://koffi.vn</t>
        </is>
      </c>
      <c r="F67" s="20" t="inlineStr">
        <is>
          <t>Không có captcha</t>
        </is>
      </c>
      <c r="G67" s="66" t="inlineStr">
        <is>
          <t>https://koffi.vn/outbound/lookup-invoice</t>
        </is>
      </c>
      <c r="H67" s="35">
        <f>IF(N67&lt;&gt;"OK","",IF(IF(O67="✓","Mã tra cứu|","")&amp;IF(P67="✓","MST người bán|","")&amp;IF(Q67="✓","MST người mua|","")&amp;IF(R67="✓","Mẫu số / Ký hiệu|","")&amp;IF(S67="✓","Số HĐ|","")&amp;IF(T67="✓","Ngày lập|","")&amp;IF(U67="✓","Tổng tiền|","")&amp;IF(V67="✓","Mã CQT|","")&amp;IF(W67="✓","Upload XML|","")&amp;IF(X67="✓","Captcha ảnh|","")&amp;IF(Y67="✓","Captcha dạng tích|","")&amp;IF(Z67="✓","Captcha khác (slider/hình)|","")&amp;IF(AA67="✓","Đăng nhập|","")&amp;IF(AB67="✓","Email/SĐT/OTP|","")="","(không có tham số)",SUBSTITUTE(LEFT(IF(O67="✓","Mã tra cứu|","")&amp;IF(P67="✓","MST người bán|","")&amp;IF(Q67="✓","MST người mua|","")&amp;IF(R67="✓","Mẫu số / Ký hiệu|","")&amp;IF(S67="✓","Số HĐ|","")&amp;IF(T67="✓","Ngày lập|","")&amp;IF(U67="✓","Tổng tiền|","")&amp;IF(V67="✓","Mã CQT|","")&amp;IF(W67="✓","Upload XML|","")&amp;IF(X67="✓","Captcha ảnh|","")&amp;IF(Y67="✓","Captcha dạng tích|","")&amp;IF(Z67="✓","Captcha khác (slider/hình)|","")&amp;IF(AA67="✓","Đăng nhập|","")&amp;IF(AB67="✓","Email/SĐT/OTP|",""),LEN(IF(O67="✓","Mã tra cứu|","")&amp;IF(P67="✓","MST người bán|","")&amp;IF(Q67="✓","MST người mua|","")&amp;IF(R67="✓","Mẫu số / Ký hiệu|","")&amp;IF(S67="✓","Số HĐ|","")&amp;IF(T67="✓","Ngày lập|","")&amp;IF(U67="✓","Tổng tiền|","")&amp;IF(V67="✓","Mã CQT|","")&amp;IF(W67="✓","Upload XML|","")&amp;IF(X67="✓","Captcha ảnh|","")&amp;IF(Y67="✓","Captcha dạng tích|","")&amp;IF(Z67="✓","Captcha khác (slider/hình)|","")&amp;IF(AA67="✓","Đăng nhập|","")&amp;IF(AB67="✓","Email/SĐT/OTP|",""))-1),"|"," + ")))</f>
        <v/>
      </c>
      <c r="I67" s="17" t="n"/>
      <c r="J67" s="17" t="n"/>
      <c r="K67" s="17" t="n"/>
      <c r="L67" s="17" t="n"/>
      <c r="M67" s="37" t="n"/>
      <c r="N67" s="38" t="inlineStr">
        <is>
          <t>OK</t>
        </is>
      </c>
      <c r="O67" s="39" t="inlineStr">
        <is>
          <t>✓</t>
        </is>
      </c>
      <c r="P67" s="39" t="n"/>
      <c r="Q67" s="39" t="n"/>
      <c r="R67" s="39" t="n"/>
      <c r="S67" s="39" t="n"/>
      <c r="T67" s="39" t="n"/>
      <c r="U67" s="39" t="n"/>
      <c r="V67" s="39" t="n"/>
      <c r="W67" s="39" t="n"/>
      <c r="X67" s="39" t="n"/>
      <c r="Y67" s="39" t="n"/>
      <c r="Z67" s="39" t="n"/>
      <c r="AA67" s="39" t="n"/>
      <c r="AB67" s="39" t="n"/>
      <c r="AC67" s="39" t="n">
        <v>1</v>
      </c>
      <c r="AD67" s="16" t="inlineStr">
        <is>
          <t>không có</t>
        </is>
      </c>
      <c r="AE67" s="16" t="n"/>
      <c r="AF67" s="16" t="inlineStr">
        <is>
          <t>Next.js. Chỉ 1 ô 'Nhập mã hoá đơn' (mã gửi trong email) + nút 'Xem hóa đơn'.</t>
        </is>
      </c>
      <c r="AG67" s="16" t="inlineStr">
        <is>
          <t>https://koffi.vn/outbound/lookup-invoice</t>
        </is>
      </c>
      <c r="AH67" s="1" t="n"/>
      <c r="AI67" s="1" t="n"/>
      <c r="AJ67">
        <f>IFERROR(IF(INDEX(WBS2!$I$2:$I$25,MATCH($C67,WBS2!$F$2:$F$25,0))="","",INDEX(WBS2!$I$2:$I$25,MATCH($C67,WBS2!$F$2:$F$25,0))),"")</f>
        <v/>
      </c>
      <c r="AK67">
        <f>IFERROR(IF(INDEX(WBS2!$I$27:$I$162,MATCH($C67,WBS2!$F$27:$F$162,0))="","",INDEX(WBS2!$I$27:$I$162,MATCH($C67,WBS2!$F$27:$F$162,0))),"")</f>
        <v/>
      </c>
      <c r="AL67" s="102">
        <f>IFERROR(IF(OR($AK67="Chưa hoàn thành",$AK67="Sẵn sàng"),INDEX(WBS2!$H$27:$H$162,MATCH($C67,WBS2!$F$27:$F$162,0)),""),"")</f>
        <v/>
      </c>
      <c r="AM67">
        <f>IFERROR(IF(INDEX(WBS2!$J$27:$J$162,MATCH($C67,WBS2!$F$27:$F$162,0))="","",INDEX(WBS2!$J$27:$J$162,MATCH($C67,WBS2!$F$27:$F$162,0))),"")</f>
        <v/>
      </c>
      <c r="AN67">
        <f>IFERROR(IF(INDEX(WBS2!$I$163:$I$298,MATCH($C67,WBS2!$F$163:$F$298,0))="","",INDEX(WBS2!$I$163:$I$298,MATCH($C67,WBS2!$F$163:$F$298,0))),"")</f>
        <v/>
      </c>
      <c r="AO67" s="102">
        <f>IFERROR(IF(OR($AN67="Chưa hoàn thành",$AN67="Sẵn sàng"),INDEX(WBS2!$H$163:$H$298,MATCH($C67,WBS2!$F$163:$F$298,0)),""),"")</f>
        <v/>
      </c>
      <c r="AP67">
        <f>IFERROR(IF(INDEX(WBS2!$J$163:$J$298,MATCH($C67,WBS2!$F$163:$F$298,0))="","",INDEX(WBS2!$J$163:$J$298,MATCH($C67,WBS2!$F$163:$F$298,0))),"")</f>
        <v/>
      </c>
    </row>
    <row r="68" hidden="1" ht="14.25" customHeight="1">
      <c r="A68" s="13" t="n">
        <v>67</v>
      </c>
      <c r="B68" s="13" t="inlineStr">
        <is>
          <t>Công ty Cổ phần công nghệ VIETINFO</t>
        </is>
      </c>
      <c r="C68" s="14" t="inlineStr">
        <is>
          <t>0311928954</t>
        </is>
      </c>
      <c r="D68" s="13" t="inlineStr">
        <is>
          <t>32 Xô Viết Nghệ Tĩnh, phường 19, quân Bình Thạnh, Tp Hồ Chí Minh</t>
        </is>
      </c>
      <c r="E68" s="18" t="inlineStr">
        <is>
          <t>https://hddt.vietinfo.tech</t>
        </is>
      </c>
      <c r="F68" s="20" t="inlineStr">
        <is>
          <t>Không có captcha</t>
        </is>
      </c>
      <c r="G68" s="23" t="inlineStr">
        <is>
          <t>https://tracuuhoadon.vietinfo.tech/</t>
        </is>
      </c>
      <c r="H68" s="35">
        <f>IF(N68&lt;&gt;"OK","",IF(IF(O68="✓","Mã tra cứu|","")&amp;IF(P68="✓","MST người bán|","")&amp;IF(Q68="✓","MST người mua|","")&amp;IF(R68="✓","Mẫu số / Ký hiệu|","")&amp;IF(S68="✓","Số HĐ|","")&amp;IF(T68="✓","Ngày lập|","")&amp;IF(U68="✓","Tổng tiền|","")&amp;IF(V68="✓","Mã CQT|","")&amp;IF(W68="✓","Upload XML|","")&amp;IF(X68="✓","Captcha ảnh|","")&amp;IF(Y68="✓","Captcha dạng tích|","")&amp;IF(Z68="✓","Captcha khác (slider/hình)|","")&amp;IF(AA68="✓","Đăng nhập|","")&amp;IF(AB68="✓","Email/SĐT/OTP|","")="","(không có tham số)",SUBSTITUTE(LEFT(IF(O68="✓","Mã tra cứu|","")&amp;IF(P68="✓","MST người bán|","")&amp;IF(Q68="✓","MST người mua|","")&amp;IF(R68="✓","Mẫu số / Ký hiệu|","")&amp;IF(S68="✓","Số HĐ|","")&amp;IF(T68="✓","Ngày lập|","")&amp;IF(U68="✓","Tổng tiền|","")&amp;IF(V68="✓","Mã CQT|","")&amp;IF(W68="✓","Upload XML|","")&amp;IF(X68="✓","Captcha ảnh|","")&amp;IF(Y68="✓","Captcha dạng tích|","")&amp;IF(Z68="✓","Captcha khác (slider/hình)|","")&amp;IF(AA68="✓","Đăng nhập|","")&amp;IF(AB68="✓","Email/SĐT/OTP|",""),LEN(IF(O68="✓","Mã tra cứu|","")&amp;IF(P68="✓","MST người bán|","")&amp;IF(Q68="✓","MST người mua|","")&amp;IF(R68="✓","Mẫu số / Ký hiệu|","")&amp;IF(S68="✓","Số HĐ|","")&amp;IF(T68="✓","Ngày lập|","")&amp;IF(U68="✓","Tổng tiền|","")&amp;IF(V68="✓","Mã CQT|","")&amp;IF(W68="✓","Upload XML|","")&amp;IF(X68="✓","Captcha ảnh|","")&amp;IF(Y68="✓","Captcha dạng tích|","")&amp;IF(Z68="✓","Captcha khác (slider/hình)|","")&amp;IF(AA68="✓","Đăng nhập|","")&amp;IF(AB68="✓","Email/SĐT/OTP|",""))-1),"|"," + ")))</f>
        <v/>
      </c>
      <c r="I68" s="17" t="n"/>
      <c r="J68" s="17" t="n"/>
      <c r="K68" s="17" t="n"/>
      <c r="L68" s="17" t="n"/>
      <c r="M68" s="37" t="n"/>
      <c r="N68" s="38" t="inlineStr">
        <is>
          <t>OK</t>
        </is>
      </c>
      <c r="O68" s="39" t="inlineStr">
        <is>
          <t>✓</t>
        </is>
      </c>
      <c r="P68" s="39" t="n"/>
      <c r="Q68" s="39" t="n"/>
      <c r="R68" s="39" t="n"/>
      <c r="S68" s="39" t="n"/>
      <c r="T68" s="39" t="inlineStr">
        <is>
          <t>✓</t>
        </is>
      </c>
      <c r="U68" s="39" t="n"/>
      <c r="V68" s="39" t="n"/>
      <c r="W68" s="39" t="n"/>
      <c r="X68" s="39" t="n"/>
      <c r="Y68" s="39" t="n"/>
      <c r="Z68" s="39" t="n"/>
      <c r="AA68" s="39" t="n"/>
      <c r="AB68" s="39" t="n"/>
      <c r="AC68" s="39" t="n">
        <v>2</v>
      </c>
      <c r="AD68" s="16" t="inlineStr">
        <is>
          <t>không có</t>
        </is>
      </c>
      <c r="AE68" s="16" t="n"/>
      <c r="AF68" s="16" t="inlineStr">
        <is>
          <t>Bắt buộc 'Mã tra cứu' + 'Ngày hóa đơn'. Kết quả là bảng HĐ, có nút gửi email.</t>
        </is>
      </c>
      <c r="AG68" s="16" t="inlineStr">
        <is>
          <t>https://tracuuhoadon.vietinfo.tech/</t>
        </is>
      </c>
      <c r="AH68" s="1" t="n"/>
      <c r="AI68" s="1" t="n"/>
      <c r="AJ68">
        <f>IFERROR(IF(INDEX(WBS2!$I$2:$I$25,MATCH($C68,WBS2!$F$2:$F$25,0))="","",INDEX(WBS2!$I$2:$I$25,MATCH($C68,WBS2!$F$2:$F$25,0))),"")</f>
        <v/>
      </c>
      <c r="AK68">
        <f>IFERROR(IF(INDEX(WBS2!$I$27:$I$162,MATCH($C68,WBS2!$F$27:$F$162,0))="","",INDEX(WBS2!$I$27:$I$162,MATCH($C68,WBS2!$F$27:$F$162,0))),"")</f>
        <v/>
      </c>
      <c r="AL68" s="102">
        <f>IFERROR(IF(OR($AK68="Chưa hoàn thành",$AK68="Sẵn sàng"),INDEX(WBS2!$H$27:$H$162,MATCH($C68,WBS2!$F$27:$F$162,0)),""),"")</f>
        <v/>
      </c>
      <c r="AM68">
        <f>IFERROR(IF(INDEX(WBS2!$J$27:$J$162,MATCH($C68,WBS2!$F$27:$F$162,0))="","",INDEX(WBS2!$J$27:$J$162,MATCH($C68,WBS2!$F$27:$F$162,0))),"")</f>
        <v/>
      </c>
      <c r="AN68">
        <f>IFERROR(IF(INDEX(WBS2!$I$163:$I$298,MATCH($C68,WBS2!$F$163:$F$298,0))="","",INDEX(WBS2!$I$163:$I$298,MATCH($C68,WBS2!$F$163:$F$298,0))),"")</f>
        <v/>
      </c>
      <c r="AO68" s="102">
        <f>IFERROR(IF(OR($AN68="Chưa hoàn thành",$AN68="Sẵn sàng"),INDEX(WBS2!$H$163:$H$298,MATCH($C68,WBS2!$F$163:$F$298,0)),""),"")</f>
        <v/>
      </c>
      <c r="AP68">
        <f>IFERROR(IF(INDEX(WBS2!$J$163:$J$298,MATCH($C68,WBS2!$F$163:$F$298,0))="","",INDEX(WBS2!$J$163:$J$298,MATCH($C68,WBS2!$F$163:$F$298,0))),"")</f>
        <v/>
      </c>
    </row>
    <row r="69" ht="14.25" customHeight="1">
      <c r="A69" s="13" t="n">
        <v>68</v>
      </c>
      <c r="B69" s="13" t="inlineStr">
        <is>
          <t>Công ty Cổ phần phát triển phần mềm và công nghệ Bitware</t>
        </is>
      </c>
      <c r="C69" s="14" t="inlineStr">
        <is>
          <t>0103770970</t>
        </is>
      </c>
      <c r="D69" s="13" t="inlineStr">
        <is>
          <t>Số 572 đường Nguyễn Trãi, phường Thanh Xuân Bắc, quận Thanh Xuân, Tp Hà Nội</t>
        </is>
      </c>
      <c r="E69" s="18" t="inlineStr">
        <is>
          <t>http://www.bitware.vn/services/hoa-don-dien-tu/</t>
        </is>
      </c>
      <c r="F69" s="20" t="inlineStr">
        <is>
          <t>có captcha</t>
        </is>
      </c>
      <c r="G69" s="78" t="inlineStr">
        <is>
          <t>https://www.bitware.vn/tracuuhoadon/</t>
        </is>
      </c>
      <c r="H69" s="35">
        <f>IF(N69&lt;&gt;"OK","",IF(IF(O69="✓","Mã tra cứu|","")&amp;IF(P69="✓","MST người bán|","")&amp;IF(Q69="✓","MST người mua|","")&amp;IF(R69="✓","Mẫu số / Ký hiệu|","")&amp;IF(S69="✓","Số HĐ|","")&amp;IF(T69="✓","Ngày lập|","")&amp;IF(U69="✓","Tổng tiền|","")&amp;IF(V69="✓","Mã CQT|","")&amp;IF(W69="✓","Upload XML|","")&amp;IF(X69="✓","Captcha ảnh|","")&amp;IF(Y69="✓","Captcha dạng tích|","")&amp;IF(Z69="✓","Captcha khác (slider/hình)|","")&amp;IF(AA69="✓","Đăng nhập|","")&amp;IF(AB69="✓","Email/SĐT/OTP|","")="","(không có tham số)",SUBSTITUTE(LEFT(IF(O69="✓","Mã tra cứu|","")&amp;IF(P69="✓","MST người bán|","")&amp;IF(Q69="✓","MST người mua|","")&amp;IF(R69="✓","Mẫu số / Ký hiệu|","")&amp;IF(S69="✓","Số HĐ|","")&amp;IF(T69="✓","Ngày lập|","")&amp;IF(U69="✓","Tổng tiền|","")&amp;IF(V69="✓","Mã CQT|","")&amp;IF(W69="✓","Upload XML|","")&amp;IF(X69="✓","Captcha ảnh|","")&amp;IF(Y69="✓","Captcha dạng tích|","")&amp;IF(Z69="✓","Captcha khác (slider/hình)|","")&amp;IF(AA69="✓","Đăng nhập|","")&amp;IF(AB69="✓","Email/SĐT/OTP|",""),LEN(IF(O69="✓","Mã tra cứu|","")&amp;IF(P69="✓","MST người bán|","")&amp;IF(Q69="✓","MST người mua|","")&amp;IF(R69="✓","Mẫu số / Ký hiệu|","")&amp;IF(S69="✓","Số HĐ|","")&amp;IF(T69="✓","Ngày lập|","")&amp;IF(U69="✓","Tổng tiền|","")&amp;IF(V69="✓","Mã CQT|","")&amp;IF(W69="✓","Upload XML|","")&amp;IF(X69="✓","Captcha ảnh|","")&amp;IF(Y69="✓","Captcha dạng tích|","")&amp;IF(Z69="✓","Captcha khác (slider/hình)|","")&amp;IF(AA69="✓","Đăng nhập|","")&amp;IF(AB69="✓","Email/SĐT/OTP|",""))-1),"|"," + ")))</f>
        <v/>
      </c>
      <c r="I69" s="20" t="inlineStr">
        <is>
          <t>Xong</t>
        </is>
      </c>
      <c r="J69" s="17" t="n"/>
      <c r="K69" s="67" t="n">
        <v>0</v>
      </c>
      <c r="L69" s="20" t="inlineStr">
        <is>
          <t>g_70x23</t>
        </is>
      </c>
      <c r="M69" s="37" t="n"/>
      <c r="N69" s="38" t="inlineStr">
        <is>
          <t>OK</t>
        </is>
      </c>
      <c r="O69" s="39" t="inlineStr">
        <is>
          <t>✓</t>
        </is>
      </c>
      <c r="P69" s="39" t="inlineStr">
        <is>
          <t>✓</t>
        </is>
      </c>
      <c r="Q69" s="39" t="n"/>
      <c r="R69" s="39" t="n"/>
      <c r="S69" s="39" t="n"/>
      <c r="T69" s="39" t="n"/>
      <c r="U69" s="39" t="n"/>
      <c r="V69" s="39" t="n"/>
      <c r="W69" s="39" t="n"/>
      <c r="X69" s="39" t="inlineStr">
        <is>
          <t>✓</t>
        </is>
      </c>
      <c r="Y69" s="39" t="n"/>
      <c r="Z69" s="39" t="n"/>
      <c r="AA69" s="39" t="n"/>
      <c r="AB69" s="39" t="n"/>
      <c r="AC69" s="39" t="n">
        <v>3</v>
      </c>
      <c r="AD69" s="16" t="inlineStr">
        <is>
          <t>ảnh 70x23 (/tracuuhoadon/captcha/image/&lt;hash&gt;/, kiểu django-simple-captcha)</t>
        </is>
      </c>
      <c r="AE69" s="16" t="n"/>
      <c r="AF69" s="16" t="inlineStr">
        <is>
          <t>Form: 'MST đơn vị phát hành' + 'Mã tra cứu' + 'Xác nhận ký tự hình bên'. Trang cũ (2014).</t>
        </is>
      </c>
      <c r="AG69" s="16" t="inlineStr">
        <is>
          <t>https://www.bitware.vn/tracuuhoadon/</t>
        </is>
      </c>
      <c r="AH69" s="1" t="n"/>
      <c r="AI69" s="1" t="n"/>
      <c r="AJ69">
        <f>IFERROR(IF(INDEX(WBS2!$I$2:$I$25,MATCH($C69,WBS2!$F$2:$F$25,0))="","",INDEX(WBS2!$I$2:$I$25,MATCH($C69,WBS2!$F$2:$F$25,0))),"")</f>
        <v/>
      </c>
      <c r="AK69">
        <f>IFERROR(IF(INDEX(WBS2!$I$27:$I$162,MATCH($C69,WBS2!$F$27:$F$162,0))="","",INDEX(WBS2!$I$27:$I$162,MATCH($C69,WBS2!$F$27:$F$162,0))),"")</f>
        <v/>
      </c>
      <c r="AL69" s="102">
        <f>IFERROR(IF(OR($AK69="Chưa hoàn thành",$AK69="Sẵn sàng"),INDEX(WBS2!$H$27:$H$162,MATCH($C69,WBS2!$F$27:$F$162,0)),""),"")</f>
        <v/>
      </c>
      <c r="AM69">
        <f>IFERROR(IF(INDEX(WBS2!$J$27:$J$162,MATCH($C69,WBS2!$F$27:$F$162,0))="","",INDEX(WBS2!$J$27:$J$162,MATCH($C69,WBS2!$F$27:$F$162,0))),"")</f>
        <v/>
      </c>
      <c r="AN69">
        <f>IFERROR(IF(INDEX(WBS2!$I$163:$I$298,MATCH($C69,WBS2!$F$163:$F$298,0))="","",INDEX(WBS2!$I$163:$I$298,MATCH($C69,WBS2!$F$163:$F$298,0))),"")</f>
        <v/>
      </c>
      <c r="AO69" s="102">
        <f>IFERROR(IF(OR($AN69="Chưa hoàn thành",$AN69="Sẵn sàng"),INDEX(WBS2!$H$163:$H$298,MATCH($C69,WBS2!$F$163:$F$298,0)),""),"")</f>
        <v/>
      </c>
      <c r="AP69">
        <f>IFERROR(IF(INDEX(WBS2!$J$163:$J$298,MATCH($C69,WBS2!$F$163:$F$298,0))="","",INDEX(WBS2!$J$163:$J$298,MATCH($C69,WBS2!$F$163:$F$298,0))),"")</f>
        <v/>
      </c>
    </row>
    <row r="70" hidden="1" ht="14.25" customHeight="1">
      <c r="A70" s="13" t="n">
        <v>69</v>
      </c>
      <c r="B70" s="13" t="inlineStr">
        <is>
          <t>Công ty Cổ phần phần mềm Rosy</t>
        </is>
      </c>
      <c r="C70" s="14" t="inlineStr">
        <is>
          <t>0305142231</t>
        </is>
      </c>
      <c r="D70" s="13" t="inlineStr">
        <is>
          <t>Lầu 10, phòng 1005, 159 Điện Biên Phủ, phường 15, quận Bình Thạnh, Tp Hồ Chí Minh</t>
        </is>
      </c>
      <c r="E70" s="18" t="inlineStr">
        <is>
          <t>https://rosysoft.vn</t>
        </is>
      </c>
      <c r="F70" s="20" t="inlineStr">
        <is>
          <t>không có thông tin</t>
        </is>
      </c>
      <c r="G70" s="20" t="n"/>
      <c r="H70" s="35">
        <f>IF(N70&lt;&gt;"OK","",IF(IF(O70="✓","Mã tra cứu|","")&amp;IF(P70="✓","MST người bán|","")&amp;IF(Q70="✓","MST người mua|","")&amp;IF(R70="✓","Mẫu số / Ký hiệu|","")&amp;IF(S70="✓","Số HĐ|","")&amp;IF(T70="✓","Ngày lập|","")&amp;IF(U70="✓","Tổng tiền|","")&amp;IF(V70="✓","Mã CQT|","")&amp;IF(W70="✓","Upload XML|","")&amp;IF(X70="✓","Captcha ảnh|","")&amp;IF(Y70="✓","Captcha dạng tích|","")&amp;IF(Z70="✓","Captcha khác (slider/hình)|","")&amp;IF(AA70="✓","Đăng nhập|","")&amp;IF(AB70="✓","Email/SĐT/OTP|","")="","(không có tham số)",SUBSTITUTE(LEFT(IF(O70="✓","Mã tra cứu|","")&amp;IF(P70="✓","MST người bán|","")&amp;IF(Q70="✓","MST người mua|","")&amp;IF(R70="✓","Mẫu số / Ký hiệu|","")&amp;IF(S70="✓","Số HĐ|","")&amp;IF(T70="✓","Ngày lập|","")&amp;IF(U70="✓","Tổng tiền|","")&amp;IF(V70="✓","Mã CQT|","")&amp;IF(W70="✓","Upload XML|","")&amp;IF(X70="✓","Captcha ảnh|","")&amp;IF(Y70="✓","Captcha dạng tích|","")&amp;IF(Z70="✓","Captcha khác (slider/hình)|","")&amp;IF(AA70="✓","Đăng nhập|","")&amp;IF(AB70="✓","Email/SĐT/OTP|",""),LEN(IF(O70="✓","Mã tra cứu|","")&amp;IF(P70="✓","MST người bán|","")&amp;IF(Q70="✓","MST người mua|","")&amp;IF(R70="✓","Mẫu số / Ký hiệu|","")&amp;IF(S70="✓","Số HĐ|","")&amp;IF(T70="✓","Ngày lập|","")&amp;IF(U70="✓","Tổng tiền|","")&amp;IF(V70="✓","Mã CQT|","")&amp;IF(W70="✓","Upload XML|","")&amp;IF(X70="✓","Captcha ảnh|","")&amp;IF(Y70="✓","Captcha dạng tích|","")&amp;IF(Z70="✓","Captcha khác (slider/hình)|","")&amp;IF(AA70="✓","Đăng nhập|","")&amp;IF(AB70="✓","Email/SĐT/OTP|",""))-1),"|"," + ")))</f>
        <v/>
      </c>
      <c r="I70" s="17" t="n"/>
      <c r="J70" s="17" t="n"/>
      <c r="K70" s="17" t="n"/>
      <c r="L70" s="17" t="n"/>
      <c r="M70" s="37" t="n"/>
      <c r="N70" s="38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7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1" t="n"/>
      <c r="AI70" s="1" t="n"/>
      <c r="AJ70">
        <f>IFERROR(IF(INDEX(WBS2!$I$2:$I$25,MATCH($C70,WBS2!$F$2:$F$25,0))="","",INDEX(WBS2!$I$2:$I$25,MATCH($C70,WBS2!$F$2:$F$25,0))),"")</f>
        <v/>
      </c>
      <c r="AK70">
        <f>IFERROR(IF(INDEX(WBS2!$I$27:$I$162,MATCH($C70,WBS2!$F$27:$F$162,0))="","",INDEX(WBS2!$I$27:$I$162,MATCH($C70,WBS2!$F$27:$F$162,0))),"")</f>
        <v/>
      </c>
      <c r="AL70" s="102">
        <f>IFERROR(IF(OR($AK70="Chưa hoàn thành",$AK70="Sẵn sàng"),INDEX(WBS2!$H$27:$H$162,MATCH($C70,WBS2!$F$27:$F$162,0)),""),"")</f>
        <v/>
      </c>
      <c r="AM70">
        <f>IFERROR(IF(INDEX(WBS2!$J$27:$J$162,MATCH($C70,WBS2!$F$27:$F$162,0))="","",INDEX(WBS2!$J$27:$J$162,MATCH($C70,WBS2!$F$27:$F$162,0))),"")</f>
        <v/>
      </c>
      <c r="AN70">
        <f>IFERROR(IF(INDEX(WBS2!$I$163:$I$298,MATCH($C70,WBS2!$F$163:$F$298,0))="","",INDEX(WBS2!$I$163:$I$298,MATCH($C70,WBS2!$F$163:$F$298,0))),"")</f>
        <v/>
      </c>
      <c r="AO70" s="102">
        <f>IFERROR(IF(OR($AN70="Chưa hoàn thành",$AN70="Sẵn sàng"),INDEX(WBS2!$H$163:$H$298,MATCH($C70,WBS2!$F$163:$F$298,0)),""),"")</f>
        <v/>
      </c>
      <c r="AP70">
        <f>IFERROR(IF(INDEX(WBS2!$J$163:$J$298,MATCH($C70,WBS2!$F$163:$F$298,0))="","",INDEX(WBS2!$J$163:$J$298,MATCH($C70,WBS2!$F$163:$F$298,0))),"")</f>
        <v/>
      </c>
    </row>
    <row r="71" hidden="1" ht="14.25" customHeight="1">
      <c r="A71" s="13" t="n">
        <v>70</v>
      </c>
      <c r="B71" s="13" t="inlineStr">
        <is>
          <t>Công ty TNHH MTV thương mại dịch vụ Trần Đình Tùng</t>
        </is>
      </c>
      <c r="C71" s="14" t="inlineStr">
        <is>
          <t>3702037020</t>
        </is>
      </c>
      <c r="D71" s="13" t="inlineStr">
        <is>
          <t>288/66/21 đường Huỳnh Văn Lũy, tổ 61 khu phố 7, phường Phú Lợi, Tp Thủ Dầu Một, tỉnh Bình Dương</t>
        </is>
      </c>
      <c r="E71" s="18" t="inlineStr">
        <is>
          <t>https://trandinhtung.evat.vn</t>
        </is>
      </c>
      <c r="F71" s="20" t="inlineStr">
        <is>
          <t>Không có captcha</t>
        </is>
      </c>
      <c r="G71" s="23" t="inlineStr">
        <is>
          <t>https://trandinhtung.evat.vn/</t>
        </is>
      </c>
      <c r="H71" s="35">
        <f>IF(N71&lt;&gt;"OK","",IF(IF(O71="✓","Mã tra cứu|","")&amp;IF(P71="✓","MST người bán|","")&amp;IF(Q71="✓","MST người mua|","")&amp;IF(R71="✓","Mẫu số / Ký hiệu|","")&amp;IF(S71="✓","Số HĐ|","")&amp;IF(T71="✓","Ngày lập|","")&amp;IF(U71="✓","Tổng tiền|","")&amp;IF(V71="✓","Mã CQT|","")&amp;IF(W71="✓","Upload XML|","")&amp;IF(X71="✓","Captcha ảnh|","")&amp;IF(Y71="✓","Captcha dạng tích|","")&amp;IF(Z71="✓","Captcha khác (slider/hình)|","")&amp;IF(AA71="✓","Đăng nhập|","")&amp;IF(AB71="✓","Email/SĐT/OTP|","")="","(không có tham số)",SUBSTITUTE(LEFT(IF(O71="✓","Mã tra cứu|","")&amp;IF(P71="✓","MST người bán|","")&amp;IF(Q71="✓","MST người mua|","")&amp;IF(R71="✓","Mẫu số / Ký hiệu|","")&amp;IF(S71="✓","Số HĐ|","")&amp;IF(T71="✓","Ngày lập|","")&amp;IF(U71="✓","Tổng tiền|","")&amp;IF(V71="✓","Mã CQT|","")&amp;IF(W71="✓","Upload XML|","")&amp;IF(X71="✓","Captcha ảnh|","")&amp;IF(Y71="✓","Captcha dạng tích|","")&amp;IF(Z71="✓","Captcha khác (slider/hình)|","")&amp;IF(AA71="✓","Đăng nhập|","")&amp;IF(AB71="✓","Email/SĐT/OTP|",""),LEN(IF(O71="✓","Mã tra cứu|","")&amp;IF(P71="✓","MST người bán|","")&amp;IF(Q71="✓","MST người mua|","")&amp;IF(R71="✓","Mẫu số / Ký hiệu|","")&amp;IF(S71="✓","Số HĐ|","")&amp;IF(T71="✓","Ngày lập|","")&amp;IF(U71="✓","Tổng tiền|","")&amp;IF(V71="✓","Mã CQT|","")&amp;IF(W71="✓","Upload XML|","")&amp;IF(X71="✓","Captcha ảnh|","")&amp;IF(Y71="✓","Captcha dạng tích|","")&amp;IF(Z71="✓","Captcha khác (slider/hình)|","")&amp;IF(AA71="✓","Đăng nhập|","")&amp;IF(AB71="✓","Email/SĐT/OTP|",""))-1),"|"," + ")))</f>
        <v/>
      </c>
      <c r="I71" s="17" t="n"/>
      <c r="J71" s="17" t="n"/>
      <c r="K71" s="17" t="n"/>
      <c r="L71" s="17" t="n"/>
      <c r="M71" s="37" t="n"/>
      <c r="N71" s="38" t="inlineStr">
        <is>
          <t>OK</t>
        </is>
      </c>
      <c r="O71" s="39" t="inlineStr">
        <is>
          <t>✓</t>
        </is>
      </c>
      <c r="P71" s="39" t="n"/>
      <c r="Q71" s="39" t="n"/>
      <c r="R71" s="39" t="n"/>
      <c r="S71" s="39" t="n"/>
      <c r="T71" s="39" t="n"/>
      <c r="U71" s="39" t="n"/>
      <c r="V71" s="39" t="n"/>
      <c r="W71" s="39" t="n"/>
      <c r="X71" s="39" t="n"/>
      <c r="Y71" s="39" t="n"/>
      <c r="Z71" s="39" t="n"/>
      <c r="AA71" s="39" t="n"/>
      <c r="AB71" s="39" t="n"/>
      <c r="AC71" s="39" t="n">
        <v>1</v>
      </c>
      <c r="AD71" s="16" t="inlineStr">
        <is>
          <t>không thấy widget; recaptcha/api.js v2 được nạp nhưng không render</t>
        </is>
      </c>
      <c r="AE71" s="16" t="inlineStr">
        <is>
          <t>Đăng nhập bằng tài khoản (/bill/login: tên đăng nhập + mật khẩu)</t>
        </is>
      </c>
      <c r="AF71" s="16" t="inlineStr">
        <is>
          <t>Nền tảng eVAT (PHP, form POST /bill). Cần 'Mã tra cứu' + 'Mã công ty' (cmpn_key, mã riêng của bên bán trên eVAT, không rõ có phải MST). Trang nạp recaptcha/api.js (v2) nhưng form mặc định không render widget nào; có thể chỉ hiện sau khi gửi form - chưa kiểm vì không gửi dữ liệu giả.</t>
        </is>
      </c>
      <c r="AG71" s="16" t="inlineStr">
        <is>
          <t>https://trandinhtung.evat.vn/</t>
        </is>
      </c>
      <c r="AH71" s="1" t="n"/>
      <c r="AI71" s="1" t="n"/>
      <c r="AJ71">
        <f>IFERROR(IF(INDEX(WBS2!$I$2:$I$25,MATCH($C71,WBS2!$F$2:$F$25,0))="","",INDEX(WBS2!$I$2:$I$25,MATCH($C71,WBS2!$F$2:$F$25,0))),"")</f>
        <v/>
      </c>
      <c r="AK71">
        <f>IFERROR(IF(INDEX(WBS2!$I$27:$I$162,MATCH($C71,WBS2!$F$27:$F$162,0))="","",INDEX(WBS2!$I$27:$I$162,MATCH($C71,WBS2!$F$27:$F$162,0))),"")</f>
        <v/>
      </c>
      <c r="AL71" s="102">
        <f>IFERROR(IF(OR($AK71="Chưa hoàn thành",$AK71="Sẵn sàng"),INDEX(WBS2!$H$27:$H$162,MATCH($C71,WBS2!$F$27:$F$162,0)),""),"")</f>
        <v/>
      </c>
      <c r="AM71">
        <f>IFERROR(IF(INDEX(WBS2!$J$27:$J$162,MATCH($C71,WBS2!$F$27:$F$162,0))="","",INDEX(WBS2!$J$27:$J$162,MATCH($C71,WBS2!$F$27:$F$162,0))),"")</f>
        <v/>
      </c>
      <c r="AN71">
        <f>IFERROR(IF(INDEX(WBS2!$I$163:$I$298,MATCH($C71,WBS2!$F$163:$F$298,0))="","",INDEX(WBS2!$I$163:$I$298,MATCH($C71,WBS2!$F$163:$F$298,0))),"")</f>
        <v/>
      </c>
      <c r="AO71" s="102">
        <f>IFERROR(IF(OR($AN71="Chưa hoàn thành",$AN71="Sẵn sàng"),INDEX(WBS2!$H$163:$H$298,MATCH($C71,WBS2!$F$163:$F$298,0)),""),"")</f>
        <v/>
      </c>
      <c r="AP71">
        <f>IFERROR(IF(INDEX(WBS2!$J$163:$J$298,MATCH($C71,WBS2!$F$163:$F$298,0))="","",INDEX(WBS2!$J$163:$J$298,MATCH($C71,WBS2!$F$163:$F$298,0))),"")</f>
        <v/>
      </c>
    </row>
    <row r="72" hidden="1" ht="14.25" customHeight="1">
      <c r="A72" s="13" t="n">
        <v>71</v>
      </c>
      <c r="B72" s="13" t="inlineStr">
        <is>
          <t>Công ty TNHH Tổng công ty Công nghệ và Giải pháp CMC</t>
        </is>
      </c>
      <c r="C72" s="14" t="inlineStr">
        <is>
          <t>0101925883</t>
        </is>
      </c>
      <c r="D72" s="13" t="inlineStr">
        <is>
          <t>Tầng 16, CMC Tower, phố Duy Tân, phường Dịch Vọng Hậu, quận Cầu Giấy, Tp Hà Nội</t>
        </is>
      </c>
      <c r="E72" s="18" t="inlineStr">
        <is>
          <t>https://store.cmcts.com.vn</t>
        </is>
      </c>
      <c r="F72" s="20" t="inlineStr">
        <is>
          <t>captcha dạng tích</t>
        </is>
      </c>
      <c r="G72" s="63" t="inlineStr">
        <is>
          <t>https://cinvoice.cmctelecom.vn/</t>
        </is>
      </c>
      <c r="H72" s="35">
        <f>IF(N72&lt;&gt;"OK","",IF(IF(O72="✓","Mã tra cứu|","")&amp;IF(P72="✓","MST người bán|","")&amp;IF(Q72="✓","MST người mua|","")&amp;IF(R72="✓","Mẫu số / Ký hiệu|","")&amp;IF(S72="✓","Số HĐ|","")&amp;IF(T72="✓","Ngày lập|","")&amp;IF(U72="✓","Tổng tiền|","")&amp;IF(V72="✓","Mã CQT|","")&amp;IF(W72="✓","Upload XML|","")&amp;IF(X72="✓","Captcha ảnh|","")&amp;IF(Y72="✓","Captcha dạng tích|","")&amp;IF(Z72="✓","Captcha khác (slider/hình)|","")&amp;IF(AA72="✓","Đăng nhập|","")&amp;IF(AB72="✓","Email/SĐT/OTP|","")="","(không có tham số)",SUBSTITUTE(LEFT(IF(O72="✓","Mã tra cứu|","")&amp;IF(P72="✓","MST người bán|","")&amp;IF(Q72="✓","MST người mua|","")&amp;IF(R72="✓","Mẫu số / Ký hiệu|","")&amp;IF(S72="✓","Số HĐ|","")&amp;IF(T72="✓","Ngày lập|","")&amp;IF(U72="✓","Tổng tiền|","")&amp;IF(V72="✓","Mã CQT|","")&amp;IF(W72="✓","Upload XML|","")&amp;IF(X72="✓","Captcha ảnh|","")&amp;IF(Y72="✓","Captcha dạng tích|","")&amp;IF(Z72="✓","Captcha khác (slider/hình)|","")&amp;IF(AA72="✓","Đăng nhập|","")&amp;IF(AB72="✓","Email/SĐT/OTP|",""),LEN(IF(O72="✓","Mã tra cứu|","")&amp;IF(P72="✓","MST người bán|","")&amp;IF(Q72="✓","MST người mua|","")&amp;IF(R72="✓","Mẫu số / Ký hiệu|","")&amp;IF(S72="✓","Số HĐ|","")&amp;IF(T72="✓","Ngày lập|","")&amp;IF(U72="✓","Tổng tiền|","")&amp;IF(V72="✓","Mã CQT|","")&amp;IF(W72="✓","Upload XML|","")&amp;IF(X72="✓","Captcha ảnh|","")&amp;IF(Y72="✓","Captcha dạng tích|","")&amp;IF(Z72="✓","Captcha khác (slider/hình)|","")&amp;IF(AA72="✓","Đăng nhập|","")&amp;IF(AB72="✓","Email/SĐT/OTP|",""))-1),"|"," + ")))</f>
        <v/>
      </c>
      <c r="I72" s="17" t="n"/>
      <c r="J72" s="17" t="n"/>
      <c r="K72" s="17" t="n"/>
      <c r="L72" s="17" t="n"/>
      <c r="M72" s="37" t="n"/>
      <c r="N72" s="38" t="inlineStr">
        <is>
          <t>OK</t>
        </is>
      </c>
      <c r="O72" s="39" t="inlineStr">
        <is>
          <t>✓</t>
        </is>
      </c>
      <c r="P72" s="39" t="n"/>
      <c r="Q72" s="39" t="n"/>
      <c r="R72" s="39" t="n"/>
      <c r="S72" s="39" t="n"/>
      <c r="T72" s="39" t="n"/>
      <c r="U72" s="39" t="n"/>
      <c r="V72" s="39" t="n"/>
      <c r="W72" s="39" t="n"/>
      <c r="X72" s="39" t="n"/>
      <c r="Y72" s="39" t="inlineStr">
        <is>
          <t>✓</t>
        </is>
      </c>
      <c r="Z72" s="39" t="n"/>
      <c r="AA72" s="39" t="n"/>
      <c r="AB72" s="39" t="n"/>
      <c r="AC72" s="39" t="n">
        <v>2</v>
      </c>
      <c r="AD72" s="16" t="inlineStr">
        <is>
          <t>reCAPTCHA v2 checkbox (render explicit, iframe anchor hiện sẵn)</t>
        </is>
      </c>
      <c r="AE72" s="16" t="n"/>
      <c r="AF72" s="16" t="inlineStr">
        <is>
          <t>CMC Telecom. Chỉ 'Mã tra cứu hóa đơn' + 'Xác thực bảo mật' (reCAPTCHA); kết quả mở cửa sổ tải PDF và XML.</t>
        </is>
      </c>
      <c r="AG72" s="16" t="inlineStr">
        <is>
          <t>https://cinvoice.cmctelecom.vn/</t>
        </is>
      </c>
      <c r="AH72" s="1" t="n"/>
      <c r="AI72" s="1" t="n"/>
      <c r="AJ72">
        <f>IFERROR(IF(INDEX(WBS2!$I$2:$I$25,MATCH($C72,WBS2!$F$2:$F$25,0))="","",INDEX(WBS2!$I$2:$I$25,MATCH($C72,WBS2!$F$2:$F$25,0))),"")</f>
        <v/>
      </c>
      <c r="AK72">
        <f>IFERROR(IF(INDEX(WBS2!$I$27:$I$162,MATCH($C72,WBS2!$F$27:$F$162,0))="","",INDEX(WBS2!$I$27:$I$162,MATCH($C72,WBS2!$F$27:$F$162,0))),"")</f>
        <v/>
      </c>
      <c r="AL72" s="102">
        <f>IFERROR(IF(OR($AK72="Chưa hoàn thành",$AK72="Sẵn sàng"),INDEX(WBS2!$H$27:$H$162,MATCH($C72,WBS2!$F$27:$F$162,0)),""),"")</f>
        <v/>
      </c>
      <c r="AM72">
        <f>IFERROR(IF(INDEX(WBS2!$J$27:$J$162,MATCH($C72,WBS2!$F$27:$F$162,0))="","",INDEX(WBS2!$J$27:$J$162,MATCH($C72,WBS2!$F$27:$F$162,0))),"")</f>
        <v/>
      </c>
      <c r="AN72">
        <f>IFERROR(IF(INDEX(WBS2!$I$163:$I$298,MATCH($C72,WBS2!$F$163:$F$298,0))="","",INDEX(WBS2!$I$163:$I$298,MATCH($C72,WBS2!$F$163:$F$298,0))),"")</f>
        <v/>
      </c>
      <c r="AO72" s="102">
        <f>IFERROR(IF(OR($AN72="Chưa hoàn thành",$AN72="Sẵn sàng"),INDEX(WBS2!$H$163:$H$298,MATCH($C72,WBS2!$F$163:$F$298,0)),""),"")</f>
        <v/>
      </c>
      <c r="AP72">
        <f>IFERROR(IF(INDEX(WBS2!$J$163:$J$298,MATCH($C72,WBS2!$F$163:$F$298,0))="","",INDEX(WBS2!$J$163:$J$298,MATCH($C72,WBS2!$F$163:$F$298,0))),"")</f>
        <v/>
      </c>
    </row>
    <row r="73" hidden="1" ht="14.25" customHeight="1">
      <c r="A73" s="13" t="n">
        <v>72</v>
      </c>
      <c r="B73" s="13" t="inlineStr">
        <is>
          <t>Công ty TNHH Công nghệ và tư vấn Phương Nam</t>
        </is>
      </c>
      <c r="C73" s="14" t="inlineStr">
        <is>
          <t>0316642395</t>
        </is>
      </c>
      <c r="D73" s="13" t="inlineStr">
        <is>
          <t>Số 904/46 Nguyễn Kiệm, phường 3, quận Gò Vấp, Tp Hồ Chí Minh</t>
        </is>
      </c>
      <c r="E73" s="18" t="inlineStr">
        <is>
          <t>https://phuongnam.evat.vn/log</t>
        </is>
      </c>
      <c r="F73" s="20" t="inlineStr">
        <is>
          <t>captcha dạng tích</t>
        </is>
      </c>
      <c r="G73" s="66" t="inlineStr">
        <is>
          <t>https://phuongnam.evat.vn/</t>
        </is>
      </c>
      <c r="H73" s="35">
        <f>IF(N73&lt;&gt;"OK","",IF(IF(O73="✓","Mã tra cứu|","")&amp;IF(P73="✓","MST người bán|","")&amp;IF(Q73="✓","MST người mua|","")&amp;IF(R73="✓","Mẫu số / Ký hiệu|","")&amp;IF(S73="✓","Số HĐ|","")&amp;IF(T73="✓","Ngày lập|","")&amp;IF(U73="✓","Tổng tiền|","")&amp;IF(V73="✓","Mã CQT|","")&amp;IF(W73="✓","Upload XML|","")&amp;IF(X73="✓","Captcha ảnh|","")&amp;IF(Y73="✓","Captcha dạng tích|","")&amp;IF(Z73="✓","Captcha khác (slider/hình)|","")&amp;IF(AA73="✓","Đăng nhập|","")&amp;IF(AB73="✓","Email/SĐT/OTP|","")="","(không có tham số)",SUBSTITUTE(LEFT(IF(O73="✓","Mã tra cứu|","")&amp;IF(P73="✓","MST người bán|","")&amp;IF(Q73="✓","MST người mua|","")&amp;IF(R73="✓","Mẫu số / Ký hiệu|","")&amp;IF(S73="✓","Số HĐ|","")&amp;IF(T73="✓","Ngày lập|","")&amp;IF(U73="✓","Tổng tiền|","")&amp;IF(V73="✓","Mã CQT|","")&amp;IF(W73="✓","Upload XML|","")&amp;IF(X73="✓","Captcha ảnh|","")&amp;IF(Y73="✓","Captcha dạng tích|","")&amp;IF(Z73="✓","Captcha khác (slider/hình)|","")&amp;IF(AA73="✓","Đăng nhập|","")&amp;IF(AB73="✓","Email/SĐT/OTP|",""),LEN(IF(O73="✓","Mã tra cứu|","")&amp;IF(P73="✓","MST người bán|","")&amp;IF(Q73="✓","MST người mua|","")&amp;IF(R73="✓","Mẫu số / Ký hiệu|","")&amp;IF(S73="✓","Số HĐ|","")&amp;IF(T73="✓","Ngày lập|","")&amp;IF(U73="✓","Tổng tiền|","")&amp;IF(V73="✓","Mã CQT|","")&amp;IF(W73="✓","Upload XML|","")&amp;IF(X73="✓","Captcha ảnh|","")&amp;IF(Y73="✓","Captcha dạng tích|","")&amp;IF(Z73="✓","Captcha khác (slider/hình)|","")&amp;IF(AA73="✓","Đăng nhập|","")&amp;IF(AB73="✓","Email/SĐT/OTP|",""))-1),"|"," + ")))</f>
        <v/>
      </c>
      <c r="I73" s="17" t="n"/>
      <c r="J73" s="17" t="n"/>
      <c r="K73" s="17" t="n"/>
      <c r="L73" s="17" t="n"/>
      <c r="M73" s="37" t="n"/>
      <c r="N73" s="38" t="inlineStr">
        <is>
          <t>OK</t>
        </is>
      </c>
      <c r="O73" s="39" t="inlineStr">
        <is>
          <t>✓</t>
        </is>
      </c>
      <c r="P73" s="39" t="n"/>
      <c r="Q73" s="39" t="n"/>
      <c r="R73" s="39" t="n"/>
      <c r="S73" s="39" t="n"/>
      <c r="T73" s="39" t="n"/>
      <c r="U73" s="39" t="n"/>
      <c r="V73" s="39" t="n"/>
      <c r="W73" s="39" t="n"/>
      <c r="X73" s="39" t="n"/>
      <c r="Y73" s="39" t="n"/>
      <c r="Z73" s="39" t="n"/>
      <c r="AA73" s="39" t="n"/>
      <c r="AB73" s="39" t="n"/>
      <c r="AC73" s="39" t="n">
        <v>1</v>
      </c>
      <c r="AD73" s="16" t="inlineStr">
        <is>
          <t>không thấy widget; recaptcha/api.js v2 được nạp nhưng không render (danh sách gốc ghi 'captcha dạng tích')</t>
        </is>
      </c>
      <c r="AE73" s="16" t="inlineStr">
        <is>
          <t>Đăng nhập bằng tài khoản (/bill/login: tên đăng nhập + mật khẩu)</t>
        </is>
      </c>
      <c r="AF73" s="16" t="inlineStr">
        <is>
          <t>Nền tảng eVAT (PHP, form POST /bill). Cần 'Mã tra cứu' + 'Mã công ty' (cmpn_key, mã riêng của bên bán trên eVAT, không rõ có phải MST). Trang nạp recaptcha/api.js (v2) nhưng form mặc định không render widget nào; có thể chỉ hiện sau khi gửi form - chưa kiểm vì không gửi dữ liệu giả.</t>
        </is>
      </c>
      <c r="AG73" s="16" t="inlineStr">
        <is>
          <t>https://phuongnam.evat.vn/</t>
        </is>
      </c>
      <c r="AH73" s="1" t="n"/>
      <c r="AI73" s="1" t="n"/>
      <c r="AJ73">
        <f>IFERROR(IF(INDEX(WBS2!$I$2:$I$25,MATCH($C73,WBS2!$F$2:$F$25,0))="","",INDEX(WBS2!$I$2:$I$25,MATCH($C73,WBS2!$F$2:$F$25,0))),"")</f>
        <v/>
      </c>
      <c r="AK73">
        <f>IFERROR(IF(INDEX(WBS2!$I$27:$I$162,MATCH($C73,WBS2!$F$27:$F$162,0))="","",INDEX(WBS2!$I$27:$I$162,MATCH($C73,WBS2!$F$27:$F$162,0))),"")</f>
        <v/>
      </c>
      <c r="AL73" s="102">
        <f>IFERROR(IF(OR($AK73="Chưa hoàn thành",$AK73="Sẵn sàng"),INDEX(WBS2!$H$27:$H$162,MATCH($C73,WBS2!$F$27:$F$162,0)),""),"")</f>
        <v/>
      </c>
      <c r="AM73">
        <f>IFERROR(IF(INDEX(WBS2!$J$27:$J$162,MATCH($C73,WBS2!$F$27:$F$162,0))="","",INDEX(WBS2!$J$27:$J$162,MATCH($C73,WBS2!$F$27:$F$162,0))),"")</f>
        <v/>
      </c>
      <c r="AN73">
        <f>IFERROR(IF(INDEX(WBS2!$I$163:$I$298,MATCH($C73,WBS2!$F$163:$F$298,0))="","",INDEX(WBS2!$I$163:$I$298,MATCH($C73,WBS2!$F$163:$F$298,0))),"")</f>
        <v/>
      </c>
      <c r="AO73" s="102">
        <f>IFERROR(IF(OR($AN73="Chưa hoàn thành",$AN73="Sẵn sàng"),INDEX(WBS2!$H$163:$H$298,MATCH($C73,WBS2!$F$163:$F$298,0)),""),"")</f>
        <v/>
      </c>
      <c r="AP73">
        <f>IFERROR(IF(INDEX(WBS2!$J$163:$J$298,MATCH($C73,WBS2!$F$163:$F$298,0))="","",INDEX(WBS2!$J$163:$J$298,MATCH($C73,WBS2!$F$163:$F$298,0))),"")</f>
        <v/>
      </c>
    </row>
    <row r="74" hidden="1" ht="14.25" customHeight="1">
      <c r="A74" s="13" t="n">
        <v>73</v>
      </c>
      <c r="B74" s="13" t="inlineStr">
        <is>
          <t>Công ty TNHH Dịch vụ kế toán - Tư vấn thuế TTL</t>
        </is>
      </c>
      <c r="C74" s="14" t="inlineStr">
        <is>
          <t>0315194912</t>
        </is>
      </c>
      <c r="D74" s="13" t="inlineStr">
        <is>
          <t>134/2C đường Hoàng Hoa Thám, phường 12, quận Tân Bình, Tp Hồ Chí Minh</t>
        </is>
      </c>
      <c r="E74" s="18" t="inlineStr">
        <is>
          <t>https://ttltax.com</t>
        </is>
      </c>
      <c r="F74" s="20" t="inlineStr">
        <is>
          <t>không có thông tin</t>
        </is>
      </c>
      <c r="G74" s="66" t="inlineStr">
        <is>
          <t>https://tracuu.ttltax.com/</t>
        </is>
      </c>
      <c r="H74" s="35">
        <f>IF(N74&lt;&gt;"OK","",IF(IF(O74="✓","Mã tra cứu|","")&amp;IF(P74="✓","MST người bán|","")&amp;IF(Q74="✓","MST người mua|","")&amp;IF(R74="✓","Mẫu số / Ký hiệu|","")&amp;IF(S74="✓","Số HĐ|","")&amp;IF(T74="✓","Ngày lập|","")&amp;IF(U74="✓","Tổng tiền|","")&amp;IF(V74="✓","Mã CQT|","")&amp;IF(W74="✓","Upload XML|","")&amp;IF(X74="✓","Captcha ảnh|","")&amp;IF(Y74="✓","Captcha dạng tích|","")&amp;IF(Z74="✓","Captcha khác (slider/hình)|","")&amp;IF(AA74="✓","Đăng nhập|","")&amp;IF(AB74="✓","Email/SĐT/OTP|","")="","(không có tham số)",SUBSTITUTE(LEFT(IF(O74="✓","Mã tra cứu|","")&amp;IF(P74="✓","MST người bán|","")&amp;IF(Q74="✓","MST người mua|","")&amp;IF(R74="✓","Mẫu số / Ký hiệu|","")&amp;IF(S74="✓","Số HĐ|","")&amp;IF(T74="✓","Ngày lập|","")&amp;IF(U74="✓","Tổng tiền|","")&amp;IF(V74="✓","Mã CQT|","")&amp;IF(W74="✓","Upload XML|","")&amp;IF(X74="✓","Captcha ảnh|","")&amp;IF(Y74="✓","Captcha dạng tích|","")&amp;IF(Z74="✓","Captcha khác (slider/hình)|","")&amp;IF(AA74="✓","Đăng nhập|","")&amp;IF(AB74="✓","Email/SĐT/OTP|",""),LEN(IF(O74="✓","Mã tra cứu|","")&amp;IF(P74="✓","MST người bán|","")&amp;IF(Q74="✓","MST người mua|","")&amp;IF(R74="✓","Mẫu số / Ký hiệu|","")&amp;IF(S74="✓","Số HĐ|","")&amp;IF(T74="✓","Ngày lập|","")&amp;IF(U74="✓","Tổng tiền|","")&amp;IF(V74="✓","Mã CQT|","")&amp;IF(W74="✓","Upload XML|","")&amp;IF(X74="✓","Captcha ảnh|","")&amp;IF(Y74="✓","Captcha dạng tích|","")&amp;IF(Z74="✓","Captcha khác (slider/hình)|","")&amp;IF(AA74="✓","Đăng nhập|","")&amp;IF(AB74="✓","Email/SĐT/OTP|",""))-1),"|"," + ")))</f>
        <v/>
      </c>
      <c r="I74" s="17" t="n"/>
      <c r="J74" s="17" t="n"/>
      <c r="K74" s="17" t="n"/>
      <c r="L74" s="17" t="n"/>
      <c r="M74" s="37" t="n"/>
      <c r="N74" s="38" t="inlineStr">
        <is>
          <t>OK</t>
        </is>
      </c>
      <c r="O74" s="39" t="inlineStr">
        <is>
          <t>✓</t>
        </is>
      </c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>
        <v>1</v>
      </c>
      <c r="AD74" s="16" t="inlineStr">
        <is>
          <t>không thấy widget; recaptcha/api.js v2 được nạp nhưng không render</t>
        </is>
      </c>
      <c r="AE74" s="16" t="inlineStr">
        <is>
          <t>Đăng nhập bằng tài khoản (/bill/login)</t>
        </is>
      </c>
      <c r="AF74" s="16" t="inlineStr">
        <is>
          <t>Cùng nền tảng eVAT với trandinhtung/phuongnam. Nền tảng eVAT (PHP, form POST /bill). Cần 'Mã tra cứu' + 'Mã công ty' (cmpn_key, mã riêng của bên bán trên eVAT, không rõ có phải MST). Trang nạp recaptcha/api.js (v2) nhưng form mặc định không render widget nào; có thể chỉ hiện sau khi gửi form - chưa kiểm vì không gửi dữ liệu giả.</t>
        </is>
      </c>
      <c r="AG74" s="16" t="inlineStr">
        <is>
          <t>https://tracuu.ttltax.com/</t>
        </is>
      </c>
      <c r="AH74" s="1" t="n"/>
      <c r="AI74" s="1" t="n"/>
      <c r="AJ74">
        <f>IFERROR(IF(INDEX(WBS2!$I$2:$I$25,MATCH($C74,WBS2!$F$2:$F$25,0))="","",INDEX(WBS2!$I$2:$I$25,MATCH($C74,WBS2!$F$2:$F$25,0))),"")</f>
        <v/>
      </c>
      <c r="AK74">
        <f>IFERROR(IF(INDEX(WBS2!$I$27:$I$162,MATCH($C74,WBS2!$F$27:$F$162,0))="","",INDEX(WBS2!$I$27:$I$162,MATCH($C74,WBS2!$F$27:$F$162,0))),"")</f>
        <v/>
      </c>
      <c r="AL74" s="102">
        <f>IFERROR(IF(OR($AK74="Chưa hoàn thành",$AK74="Sẵn sàng"),INDEX(WBS2!$H$27:$H$162,MATCH($C74,WBS2!$F$27:$F$162,0)),""),"")</f>
        <v/>
      </c>
      <c r="AM74">
        <f>IFERROR(IF(INDEX(WBS2!$J$27:$J$162,MATCH($C74,WBS2!$F$27:$F$162,0))="","",INDEX(WBS2!$J$27:$J$162,MATCH($C74,WBS2!$F$27:$F$162,0))),"")</f>
        <v/>
      </c>
      <c r="AN74">
        <f>IFERROR(IF(INDEX(WBS2!$I$163:$I$298,MATCH($C74,WBS2!$F$163:$F$298,0))="","",INDEX(WBS2!$I$163:$I$298,MATCH($C74,WBS2!$F$163:$F$298,0))),"")</f>
        <v/>
      </c>
      <c r="AO74" s="102">
        <f>IFERROR(IF(OR($AN74="Chưa hoàn thành",$AN74="Sẵn sàng"),INDEX(WBS2!$H$163:$H$298,MATCH($C74,WBS2!$F$163:$F$298,0)),""),"")</f>
        <v/>
      </c>
      <c r="AP74">
        <f>IFERROR(IF(INDEX(WBS2!$J$163:$J$298,MATCH($C74,WBS2!$F$163:$F$298,0))="","",INDEX(WBS2!$J$163:$J$298,MATCH($C74,WBS2!$F$163:$F$298,0))),"")</f>
        <v/>
      </c>
    </row>
    <row r="75" hidden="1" ht="14.25" customHeight="1">
      <c r="A75" s="13" t="n">
        <v>74</v>
      </c>
      <c r="B75" s="13" t="inlineStr">
        <is>
          <t>Công ty Cô phần Công nghệ Phát triển hóa đơn điện tử Việt Nam</t>
        </is>
      </c>
      <c r="C75" s="14" t="inlineStr">
        <is>
          <t>0315983667</t>
        </is>
      </c>
      <c r="D75" s="13" t="inlineStr">
        <is>
          <t>Tầng 9, 186 Bis Trần Quang Khải, phường Tân Định, quận 1, Tp Hồ Chí Minh</t>
        </is>
      </c>
      <c r="E75" s="18" t="inlineStr">
        <is>
          <t>http://hoadondientuvietnam.vn</t>
        </is>
      </c>
      <c r="F75" s="20" t="inlineStr">
        <is>
          <t>lỗi máy chủ</t>
        </is>
      </c>
      <c r="G75" s="20" t="n"/>
      <c r="H75" s="35">
        <f>IF(N75&lt;&gt;"OK","",IF(IF(O75="✓","Mã tra cứu|","")&amp;IF(P75="✓","MST người bán|","")&amp;IF(Q75="✓","MST người mua|","")&amp;IF(R75="✓","Mẫu số / Ký hiệu|","")&amp;IF(S75="✓","Số HĐ|","")&amp;IF(T75="✓","Ngày lập|","")&amp;IF(U75="✓","Tổng tiền|","")&amp;IF(V75="✓","Mã CQT|","")&amp;IF(W75="✓","Upload XML|","")&amp;IF(X75="✓","Captcha ảnh|","")&amp;IF(Y75="✓","Captcha dạng tích|","")&amp;IF(Z75="✓","Captcha khác (slider/hình)|","")&amp;IF(AA75="✓","Đăng nhập|","")&amp;IF(AB75="✓","Email/SĐT/OTP|","")="","(không có tham số)",SUBSTITUTE(LEFT(IF(O75="✓","Mã tra cứu|","")&amp;IF(P75="✓","MST người bán|","")&amp;IF(Q75="✓","MST người mua|","")&amp;IF(R75="✓","Mẫu số / Ký hiệu|","")&amp;IF(S75="✓","Số HĐ|","")&amp;IF(T75="✓","Ngày lập|","")&amp;IF(U75="✓","Tổng tiền|","")&amp;IF(V75="✓","Mã CQT|","")&amp;IF(W75="✓","Upload XML|","")&amp;IF(X75="✓","Captcha ảnh|","")&amp;IF(Y75="✓","Captcha dạng tích|","")&amp;IF(Z75="✓","Captcha khác (slider/hình)|","")&amp;IF(AA75="✓","Đăng nhập|","")&amp;IF(AB75="✓","Email/SĐT/OTP|",""),LEN(IF(O75="✓","Mã tra cứu|","")&amp;IF(P75="✓","MST người bán|","")&amp;IF(Q75="✓","MST người mua|","")&amp;IF(R75="✓","Mẫu số / Ký hiệu|","")&amp;IF(S75="✓","Số HĐ|","")&amp;IF(T75="✓","Ngày lập|","")&amp;IF(U75="✓","Tổng tiền|","")&amp;IF(V75="✓","Mã CQT|","")&amp;IF(W75="✓","Upload XML|","")&amp;IF(X75="✓","Captcha ảnh|","")&amp;IF(Y75="✓","Captcha dạng tích|","")&amp;IF(Z75="✓","Captcha khác (slider/hình)|","")&amp;IF(AA75="✓","Đăng nhập|","")&amp;IF(AB75="✓","Email/SĐT/OTP|",""))-1),"|"," + ")))</f>
        <v/>
      </c>
      <c r="I75" s="17" t="n"/>
      <c r="J75" s="17" t="n"/>
      <c r="K75" s="17" t="n"/>
      <c r="L75" s="17" t="n"/>
      <c r="M75" s="37" t="n"/>
      <c r="N75" s="38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7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1" t="n"/>
      <c r="AI75" s="1" t="n"/>
      <c r="AJ75">
        <f>IFERROR(IF(INDEX(WBS2!$I$2:$I$25,MATCH($C75,WBS2!$F$2:$F$25,0))="","",INDEX(WBS2!$I$2:$I$25,MATCH($C75,WBS2!$F$2:$F$25,0))),"")</f>
        <v/>
      </c>
      <c r="AK75">
        <f>IFERROR(IF(INDEX(WBS2!$I$27:$I$162,MATCH($C75,WBS2!$F$27:$F$162,0))="","",INDEX(WBS2!$I$27:$I$162,MATCH($C75,WBS2!$F$27:$F$162,0))),"")</f>
        <v/>
      </c>
      <c r="AL75" s="102">
        <f>IFERROR(IF(OR($AK75="Chưa hoàn thành",$AK75="Sẵn sàng"),INDEX(WBS2!$H$27:$H$162,MATCH($C75,WBS2!$F$27:$F$162,0)),""),"")</f>
        <v/>
      </c>
      <c r="AM75">
        <f>IFERROR(IF(INDEX(WBS2!$J$27:$J$162,MATCH($C75,WBS2!$F$27:$F$162,0))="","",INDEX(WBS2!$J$27:$J$162,MATCH($C75,WBS2!$F$27:$F$162,0))),"")</f>
        <v/>
      </c>
      <c r="AN75">
        <f>IFERROR(IF(INDEX(WBS2!$I$163:$I$298,MATCH($C75,WBS2!$F$163:$F$298,0))="","",INDEX(WBS2!$I$163:$I$298,MATCH($C75,WBS2!$F$163:$F$298,0))),"")</f>
        <v/>
      </c>
      <c r="AO75" s="102">
        <f>IFERROR(IF(OR($AN75="Chưa hoàn thành",$AN75="Sẵn sàng"),INDEX(WBS2!$H$163:$H$298,MATCH($C75,WBS2!$F$163:$F$298,0)),""),"")</f>
        <v/>
      </c>
      <c r="AP75">
        <f>IFERROR(IF(INDEX(WBS2!$J$163:$J$298,MATCH($C75,WBS2!$F$163:$F$298,0))="","",INDEX(WBS2!$J$163:$J$298,MATCH($C75,WBS2!$F$163:$F$298,0))),"")</f>
        <v/>
      </c>
    </row>
    <row r="76" hidden="1" ht="14.25" customHeight="1">
      <c r="A76" s="13" t="n">
        <v>75</v>
      </c>
      <c r="B76" s="13" t="inlineStr">
        <is>
          <t>Công ty TNHH Phần mềm kế toán và dịch vụ thủ tục thuế Sài Gòn</t>
        </is>
      </c>
      <c r="C76" s="14" t="inlineStr">
        <is>
          <t>0310926922</t>
        </is>
      </c>
      <c r="D76" s="13" t="inlineStr">
        <is>
          <t>SH 3.28 tầng 3 tòa nhà Viva Riverside, 1472 Võ Văn Kiệt, phường 03, quận 6, Tp Hồ Chí Minh</t>
        </is>
      </c>
      <c r="E76" s="18" t="inlineStr">
        <is>
          <t xml:space="preserve">https://invoice.ehcm.vn </t>
        </is>
      </c>
      <c r="F76" s="20" t="inlineStr">
        <is>
          <t>Không có captcha</t>
        </is>
      </c>
      <c r="G76" s="66" t="inlineStr">
        <is>
          <t>https://invoice.ehcm.vn/#TraCuu</t>
        </is>
      </c>
      <c r="H76" s="35">
        <f>IF(N76&lt;&gt;"OK","",IF(IF(O76="✓","Mã tra cứu|","")&amp;IF(P76="✓","MST người bán|","")&amp;IF(Q76="✓","MST người mua|","")&amp;IF(R76="✓","Mẫu số / Ký hiệu|","")&amp;IF(S76="✓","Số HĐ|","")&amp;IF(T76="✓","Ngày lập|","")&amp;IF(U76="✓","Tổng tiền|","")&amp;IF(V76="✓","Mã CQT|","")&amp;IF(W76="✓","Upload XML|","")&amp;IF(X76="✓","Captcha ảnh|","")&amp;IF(Y76="✓","Captcha dạng tích|","")&amp;IF(Z76="✓","Captcha khác (slider/hình)|","")&amp;IF(AA76="✓","Đăng nhập|","")&amp;IF(AB76="✓","Email/SĐT/OTP|","")="","(không có tham số)",SUBSTITUTE(LEFT(IF(O76="✓","Mã tra cứu|","")&amp;IF(P76="✓","MST người bán|","")&amp;IF(Q76="✓","MST người mua|","")&amp;IF(R76="✓","Mẫu số / Ký hiệu|","")&amp;IF(S76="✓","Số HĐ|","")&amp;IF(T76="✓","Ngày lập|","")&amp;IF(U76="✓","Tổng tiền|","")&amp;IF(V76="✓","Mã CQT|","")&amp;IF(W76="✓","Upload XML|","")&amp;IF(X76="✓","Captcha ảnh|","")&amp;IF(Y76="✓","Captcha dạng tích|","")&amp;IF(Z76="✓","Captcha khác (slider/hình)|","")&amp;IF(AA76="✓","Đăng nhập|","")&amp;IF(AB76="✓","Email/SĐT/OTP|",""),LEN(IF(O76="✓","Mã tra cứu|","")&amp;IF(P76="✓","MST người bán|","")&amp;IF(Q76="✓","MST người mua|","")&amp;IF(R76="✓","Mẫu số / Ký hiệu|","")&amp;IF(S76="✓","Số HĐ|","")&amp;IF(T76="✓","Ngày lập|","")&amp;IF(U76="✓","Tổng tiền|","")&amp;IF(V76="✓","Mã CQT|","")&amp;IF(W76="✓","Upload XML|","")&amp;IF(X76="✓","Captcha ảnh|","")&amp;IF(Y76="✓","Captcha dạng tích|","")&amp;IF(Z76="✓","Captcha khác (slider/hình)|","")&amp;IF(AA76="✓","Đăng nhập|","")&amp;IF(AB76="✓","Email/SĐT/OTP|",""))-1),"|"," + ")))</f>
        <v/>
      </c>
      <c r="I76" s="17" t="n"/>
      <c r="J76" s="17" t="n"/>
      <c r="K76" s="17" t="n"/>
      <c r="L76" s="17" t="n"/>
      <c r="M76" s="37" t="n"/>
      <c r="N76" s="38" t="inlineStr">
        <is>
          <t>OK</t>
        </is>
      </c>
      <c r="O76" s="39" t="inlineStr">
        <is>
          <t>✓</t>
        </is>
      </c>
      <c r="P76" s="39" t="n"/>
      <c r="Q76" s="39" t="n"/>
      <c r="R76" s="39" t="n"/>
      <c r="S76" s="39" t="n"/>
      <c r="T76" s="39" t="n"/>
      <c r="U76" s="39" t="n"/>
      <c r="V76" s="39" t="n"/>
      <c r="W76" s="39" t="n"/>
      <c r="X76" s="39" t="n"/>
      <c r="Y76" s="39" t="n"/>
      <c r="Z76" s="39" t="n"/>
      <c r="AA76" s="39" t="n"/>
      <c r="AB76" s="39" t="n"/>
      <c r="AC76" s="39" t="n">
        <v>1</v>
      </c>
      <c r="AD76" s="16" t="inlineStr">
        <is>
          <t>không có</t>
        </is>
      </c>
      <c r="AE76" s="16" t="n"/>
      <c r="AF76" s="16" t="inlineStr">
        <is>
          <t>SaigonInvoice (ASP.NET WebForms). Ô txtSearch 'Nhập mã tra cứu' + nút tra; dùng chung cho tra chứng từ khấu trừ thuế TNCN. Trang chủ đồng thời là trang bán hàng/tải phần mềm.</t>
        </is>
      </c>
      <c r="AG76" s="16" t="inlineStr">
        <is>
          <t>https://invoice.ehcm.vn/#TraCuu</t>
        </is>
      </c>
      <c r="AH76" s="1" t="n"/>
      <c r="AI76" s="1" t="n"/>
      <c r="AJ76">
        <f>IFERROR(IF(INDEX(WBS2!$I$2:$I$25,MATCH($C76,WBS2!$F$2:$F$25,0))="","",INDEX(WBS2!$I$2:$I$25,MATCH($C76,WBS2!$F$2:$F$25,0))),"")</f>
        <v/>
      </c>
      <c r="AK76">
        <f>IFERROR(IF(INDEX(WBS2!$I$27:$I$162,MATCH($C76,WBS2!$F$27:$F$162,0))="","",INDEX(WBS2!$I$27:$I$162,MATCH($C76,WBS2!$F$27:$F$162,0))),"")</f>
        <v/>
      </c>
      <c r="AL76" s="102">
        <f>IFERROR(IF(OR($AK76="Chưa hoàn thành",$AK76="Sẵn sàng"),INDEX(WBS2!$H$27:$H$162,MATCH($C76,WBS2!$F$27:$F$162,0)),""),"")</f>
        <v/>
      </c>
      <c r="AM76">
        <f>IFERROR(IF(INDEX(WBS2!$J$27:$J$162,MATCH($C76,WBS2!$F$27:$F$162,0))="","",INDEX(WBS2!$J$27:$J$162,MATCH($C76,WBS2!$F$27:$F$162,0))),"")</f>
        <v/>
      </c>
      <c r="AN76">
        <f>IFERROR(IF(INDEX(WBS2!$I$163:$I$298,MATCH($C76,WBS2!$F$163:$F$298,0))="","",INDEX(WBS2!$I$163:$I$298,MATCH($C76,WBS2!$F$163:$F$298,0))),"")</f>
        <v/>
      </c>
      <c r="AO76" s="102">
        <f>IFERROR(IF(OR($AN76="Chưa hoàn thành",$AN76="Sẵn sàng"),INDEX(WBS2!$H$163:$H$298,MATCH($C76,WBS2!$F$163:$F$298,0)),""),"")</f>
        <v/>
      </c>
      <c r="AP76">
        <f>IFERROR(IF(INDEX(WBS2!$J$163:$J$298,MATCH($C76,WBS2!$F$163:$F$298,0))="","",INDEX(WBS2!$J$163:$J$298,MATCH($C76,WBS2!$F$163:$F$298,0))),"")</f>
        <v/>
      </c>
    </row>
    <row r="77" hidden="1" ht="14.25" customHeight="1">
      <c r="A77" s="13" t="n">
        <v>76</v>
      </c>
      <c r="B77" s="13" t="inlineStr">
        <is>
          <t>Công ty Cổ phần Phần mềm Thăng Long</t>
        </is>
      </c>
      <c r="C77" s="14" t="inlineStr">
        <is>
          <t>0101010702</t>
        </is>
      </c>
      <c r="D77" s="13" t="inlineStr">
        <is>
          <t>Số 10, ngõ 104 phố Đào Tấn, phường Cống Vị, quận Ba Đình, Tp Hà Nội</t>
        </is>
      </c>
      <c r="E77" s="18" t="inlineStr">
        <is>
          <t>http://thanglongsoft.com/index.php/linh-v-c-kinh-doanh/493-l-nh-va-c-kinh-doanh/493-1-l-nh-va-c-kinh-doanh</t>
        </is>
      </c>
      <c r="F77" s="20" t="inlineStr">
        <is>
          <t>không có thông tin</t>
        </is>
      </c>
      <c r="G77" s="20" t="n"/>
      <c r="H77" s="35">
        <f>IF(N77&lt;&gt;"OK","",IF(IF(O77="✓","Mã tra cứu|","")&amp;IF(P77="✓","MST người bán|","")&amp;IF(Q77="✓","MST người mua|","")&amp;IF(R77="✓","Mẫu số / Ký hiệu|","")&amp;IF(S77="✓","Số HĐ|","")&amp;IF(T77="✓","Ngày lập|","")&amp;IF(U77="✓","Tổng tiền|","")&amp;IF(V77="✓","Mã CQT|","")&amp;IF(W77="✓","Upload XML|","")&amp;IF(X77="✓","Captcha ảnh|","")&amp;IF(Y77="✓","Captcha dạng tích|","")&amp;IF(Z77="✓","Captcha khác (slider/hình)|","")&amp;IF(AA77="✓","Đăng nhập|","")&amp;IF(AB77="✓","Email/SĐT/OTP|","")="","(không có tham số)",SUBSTITUTE(LEFT(IF(O77="✓","Mã tra cứu|","")&amp;IF(P77="✓","MST người bán|","")&amp;IF(Q77="✓","MST người mua|","")&amp;IF(R77="✓","Mẫu số / Ký hiệu|","")&amp;IF(S77="✓","Số HĐ|","")&amp;IF(T77="✓","Ngày lập|","")&amp;IF(U77="✓","Tổng tiền|","")&amp;IF(V77="✓","Mã CQT|","")&amp;IF(W77="✓","Upload XML|","")&amp;IF(X77="✓","Captcha ảnh|","")&amp;IF(Y77="✓","Captcha dạng tích|","")&amp;IF(Z77="✓","Captcha khác (slider/hình)|","")&amp;IF(AA77="✓","Đăng nhập|","")&amp;IF(AB77="✓","Email/SĐT/OTP|",""),LEN(IF(O77="✓","Mã tra cứu|","")&amp;IF(P77="✓","MST người bán|","")&amp;IF(Q77="✓","MST người mua|","")&amp;IF(R77="✓","Mẫu số / Ký hiệu|","")&amp;IF(S77="✓","Số HĐ|","")&amp;IF(T77="✓","Ngày lập|","")&amp;IF(U77="✓","Tổng tiền|","")&amp;IF(V77="✓","Mã CQT|","")&amp;IF(W77="✓","Upload XML|","")&amp;IF(X77="✓","Captcha ảnh|","")&amp;IF(Y77="✓","Captcha dạng tích|","")&amp;IF(Z77="✓","Captcha khác (slider/hình)|","")&amp;IF(AA77="✓","Đăng nhập|","")&amp;IF(AB77="✓","Email/SĐT/OTP|",""))-1),"|"," + ")))</f>
        <v/>
      </c>
      <c r="I77" s="17" t="n"/>
      <c r="J77" s="17" t="n"/>
      <c r="K77" s="17" t="n"/>
      <c r="L77" s="17" t="n"/>
      <c r="M77" s="37" t="n"/>
      <c r="N77" s="38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7" t="n"/>
      <c r="Y77" s="37" t="n"/>
      <c r="Z77" s="37" t="n"/>
      <c r="AA77" s="37" t="n"/>
      <c r="AB77" s="37" t="n"/>
      <c r="AC77" s="37" t="n"/>
      <c r="AD77" s="37" t="n"/>
      <c r="AE77" s="37" t="n"/>
      <c r="AF77" s="37" t="n"/>
      <c r="AG77" s="37" t="n"/>
      <c r="AH77" s="1" t="n"/>
      <c r="AI77" s="1" t="n"/>
      <c r="AJ77">
        <f>IFERROR(IF(INDEX(WBS2!$I$2:$I$25,MATCH($C77,WBS2!$F$2:$F$25,0))="","",INDEX(WBS2!$I$2:$I$25,MATCH($C77,WBS2!$F$2:$F$25,0))),"")</f>
        <v/>
      </c>
      <c r="AK77">
        <f>IFERROR(IF(INDEX(WBS2!$I$27:$I$162,MATCH($C77,WBS2!$F$27:$F$162,0))="","",INDEX(WBS2!$I$27:$I$162,MATCH($C77,WBS2!$F$27:$F$162,0))),"")</f>
        <v/>
      </c>
      <c r="AL77" s="102">
        <f>IFERROR(IF(OR($AK77="Chưa hoàn thành",$AK77="Sẵn sàng"),INDEX(WBS2!$H$27:$H$162,MATCH($C77,WBS2!$F$27:$F$162,0)),""),"")</f>
        <v/>
      </c>
      <c r="AM77">
        <f>IFERROR(IF(INDEX(WBS2!$J$27:$J$162,MATCH($C77,WBS2!$F$27:$F$162,0))="","",INDEX(WBS2!$J$27:$J$162,MATCH($C77,WBS2!$F$27:$F$162,0))),"")</f>
        <v/>
      </c>
      <c r="AN77">
        <f>IFERROR(IF(INDEX(WBS2!$I$163:$I$298,MATCH($C77,WBS2!$F$163:$F$298,0))="","",INDEX(WBS2!$I$163:$I$298,MATCH($C77,WBS2!$F$163:$F$298,0))),"")</f>
        <v/>
      </c>
      <c r="AO77" s="102">
        <f>IFERROR(IF(OR($AN77="Chưa hoàn thành",$AN77="Sẵn sàng"),INDEX(WBS2!$H$163:$H$298,MATCH($C77,WBS2!$F$163:$F$298,0)),""),"")</f>
        <v/>
      </c>
      <c r="AP77">
        <f>IFERROR(IF(INDEX(WBS2!$J$163:$J$298,MATCH($C77,WBS2!$F$163:$F$298,0))="","",INDEX(WBS2!$J$163:$J$298,MATCH($C77,WBS2!$F$163:$F$298,0))),"")</f>
        <v/>
      </c>
    </row>
    <row r="78" hidden="1" ht="14.25" customHeight="1">
      <c r="A78" s="13" t="n">
        <v>77</v>
      </c>
      <c r="B78" s="13" t="inlineStr">
        <is>
          <t>Công ty Cổ phần Hóa đơn điện tử TIG Thăng Long</t>
        </is>
      </c>
      <c r="C78" s="14" t="inlineStr">
        <is>
          <t>0102720409</t>
        </is>
      </c>
      <c r="D78" s="13" t="inlineStr">
        <is>
          <t>Tầng 8, tháp B, tòa nhà Sông Đà, đường Phạm Hùng, phường Mỹ Đình 1, quận Nam Từ Liêm, Tp Hà Nội</t>
        </is>
      </c>
      <c r="E78" s="18" t="inlineStr">
        <is>
          <t>http://tigtax.vn</t>
        </is>
      </c>
      <c r="F78" s="20" t="n"/>
      <c r="G78" s="20" t="n"/>
      <c r="H78" s="35">
        <f>IF(N78&lt;&gt;"OK","",IF(IF(O78="✓","Mã tra cứu|","")&amp;IF(P78="✓","MST người bán|","")&amp;IF(Q78="✓","MST người mua|","")&amp;IF(R78="✓","Mẫu số / Ký hiệu|","")&amp;IF(S78="✓","Số HĐ|","")&amp;IF(T78="✓","Ngày lập|","")&amp;IF(U78="✓","Tổng tiền|","")&amp;IF(V78="✓","Mã CQT|","")&amp;IF(W78="✓","Upload XML|","")&amp;IF(X78="✓","Captcha ảnh|","")&amp;IF(Y78="✓","Captcha dạng tích|","")&amp;IF(Z78="✓","Captcha khác (slider/hình)|","")&amp;IF(AA78="✓","Đăng nhập|","")&amp;IF(AB78="✓","Email/SĐT/OTP|","")="","(không có tham số)",SUBSTITUTE(LEFT(IF(O78="✓","Mã tra cứu|","")&amp;IF(P78="✓","MST người bán|","")&amp;IF(Q78="✓","MST người mua|","")&amp;IF(R78="✓","Mẫu số / Ký hiệu|","")&amp;IF(S78="✓","Số HĐ|","")&amp;IF(T78="✓","Ngày lập|","")&amp;IF(U78="✓","Tổng tiền|","")&amp;IF(V78="✓","Mã CQT|","")&amp;IF(W78="✓","Upload XML|","")&amp;IF(X78="✓","Captcha ảnh|","")&amp;IF(Y78="✓","Captcha dạng tích|","")&amp;IF(Z78="✓","Captcha khác (slider/hình)|","")&amp;IF(AA78="✓","Đăng nhập|","")&amp;IF(AB78="✓","Email/SĐT/OTP|",""),LEN(IF(O78="✓","Mã tra cứu|","")&amp;IF(P78="✓","MST người bán|","")&amp;IF(Q78="✓","MST người mua|","")&amp;IF(R78="✓","Mẫu số / Ký hiệu|","")&amp;IF(S78="✓","Số HĐ|","")&amp;IF(T78="✓","Ngày lập|","")&amp;IF(U78="✓","Tổng tiền|","")&amp;IF(V78="✓","Mã CQT|","")&amp;IF(W78="✓","Upload XML|","")&amp;IF(X78="✓","Captcha ảnh|","")&amp;IF(Y78="✓","Captcha dạng tích|","")&amp;IF(Z78="✓","Captcha khác (slider/hình)|","")&amp;IF(AA78="✓","Đăng nhập|","")&amp;IF(AB78="✓","Email/SĐT/OTP|",""))-1),"|"," + ")))</f>
        <v/>
      </c>
      <c r="I78" s="17" t="n"/>
      <c r="J78" s="17" t="n"/>
      <c r="K78" s="17" t="n"/>
      <c r="L78" s="17" t="n"/>
      <c r="M78" s="37" t="n"/>
      <c r="N78" s="38" t="n"/>
      <c r="O78" s="37" t="n"/>
      <c r="P78" s="37" t="n"/>
      <c r="Q78" s="37" t="n"/>
      <c r="R78" s="37" t="n"/>
      <c r="S78" s="37" t="n"/>
      <c r="T78" s="37" t="n"/>
      <c r="U78" s="37" t="n"/>
      <c r="V78" s="37" t="n"/>
      <c r="W78" s="37" t="n"/>
      <c r="X78" s="37" t="n"/>
      <c r="Y78" s="37" t="n"/>
      <c r="Z78" s="37" t="n"/>
      <c r="AA78" s="37" t="n"/>
      <c r="AB78" s="37" t="n"/>
      <c r="AC78" s="37" t="n"/>
      <c r="AD78" s="37" t="n"/>
      <c r="AE78" s="37" t="n"/>
      <c r="AF78" s="37" t="n"/>
      <c r="AG78" s="37" t="n"/>
      <c r="AH78" s="1" t="n"/>
      <c r="AI78" s="1" t="n"/>
      <c r="AJ78">
        <f>IFERROR(IF(INDEX(WBS2!$I$2:$I$25,MATCH($C78,WBS2!$F$2:$F$25,0))="","",INDEX(WBS2!$I$2:$I$25,MATCH($C78,WBS2!$F$2:$F$25,0))),"")</f>
        <v/>
      </c>
      <c r="AK78">
        <f>IFERROR(IF(INDEX(WBS2!$I$27:$I$162,MATCH($C78,WBS2!$F$27:$F$162,0))="","",INDEX(WBS2!$I$27:$I$162,MATCH($C78,WBS2!$F$27:$F$162,0))),"")</f>
        <v/>
      </c>
      <c r="AL78" s="102">
        <f>IFERROR(IF(OR($AK78="Chưa hoàn thành",$AK78="Sẵn sàng"),INDEX(WBS2!$H$27:$H$162,MATCH($C78,WBS2!$F$27:$F$162,0)),""),"")</f>
        <v/>
      </c>
      <c r="AM78">
        <f>IFERROR(IF(INDEX(WBS2!$J$27:$J$162,MATCH($C78,WBS2!$F$27:$F$162,0))="","",INDEX(WBS2!$J$27:$J$162,MATCH($C78,WBS2!$F$27:$F$162,0))),"")</f>
        <v/>
      </c>
      <c r="AN78">
        <f>IFERROR(IF(INDEX(WBS2!$I$163:$I$298,MATCH($C78,WBS2!$F$163:$F$298,0))="","",INDEX(WBS2!$I$163:$I$298,MATCH($C78,WBS2!$F$163:$F$298,0))),"")</f>
        <v/>
      </c>
      <c r="AO78" s="102">
        <f>IFERROR(IF(OR($AN78="Chưa hoàn thành",$AN78="Sẵn sàng"),INDEX(WBS2!$H$163:$H$298,MATCH($C78,WBS2!$F$163:$F$298,0)),""),"")</f>
        <v/>
      </c>
      <c r="AP78">
        <f>IFERROR(IF(INDEX(WBS2!$J$163:$J$298,MATCH($C78,WBS2!$F$163:$F$298,0))="","",INDEX(WBS2!$J$163:$J$298,MATCH($C78,WBS2!$F$163:$F$298,0))),"")</f>
        <v/>
      </c>
    </row>
    <row r="79" ht="14.25" customHeight="1">
      <c r="A79" s="13" t="n">
        <v>78</v>
      </c>
      <c r="B79" s="13" t="inlineStr">
        <is>
          <t>Công ty TNHH Viễn thông Đông Sài Gòn</t>
        </is>
      </c>
      <c r="C79" s="14" t="inlineStr">
        <is>
          <t>0314058603</t>
        </is>
      </c>
      <c r="D79" s="13" t="inlineStr">
        <is>
          <t>Tầng 1, tòa nhà Packsimex số 52 Đông Du, phường Bến Nghé, quận 1, Tp Hồ Chí Minh</t>
        </is>
      </c>
      <c r="E79" s="18" t="inlineStr">
        <is>
          <t>https://www.vdsg-invoice.vn</t>
        </is>
      </c>
      <c r="F79" s="20" t="inlineStr">
        <is>
          <t>có captcha</t>
        </is>
      </c>
      <c r="G79" s="23" t="inlineStr">
        <is>
          <t>https://www.vdsg-invoice.vn/Account/Login</t>
        </is>
      </c>
      <c r="H79" s="35">
        <f>IF(N79&lt;&gt;"OK","",IF(IF(O79="✓","Mã tra cứu|","")&amp;IF(P79="✓","MST người bán|","")&amp;IF(Q79="✓","MST người mua|","")&amp;IF(R79="✓","Mẫu số / Ký hiệu|","")&amp;IF(S79="✓","Số HĐ|","")&amp;IF(T79="✓","Ngày lập|","")&amp;IF(U79="✓","Tổng tiền|","")&amp;IF(V79="✓","Mã CQT|","")&amp;IF(W79="✓","Upload XML|","")&amp;IF(X79="✓","Captcha ảnh|","")&amp;IF(Y79="✓","Captcha dạng tích|","")&amp;IF(Z79="✓","Captcha khác (slider/hình)|","")&amp;IF(AA79="✓","Đăng nhập|","")&amp;IF(AB79="✓","Email/SĐT/OTP|","")="","(không có tham số)",SUBSTITUTE(LEFT(IF(O79="✓","Mã tra cứu|","")&amp;IF(P79="✓","MST người bán|","")&amp;IF(Q79="✓","MST người mua|","")&amp;IF(R79="✓","Mẫu số / Ký hiệu|","")&amp;IF(S79="✓","Số HĐ|","")&amp;IF(T79="✓","Ngày lập|","")&amp;IF(U79="✓","Tổng tiền|","")&amp;IF(V79="✓","Mã CQT|","")&amp;IF(W79="✓","Upload XML|","")&amp;IF(X79="✓","Captcha ảnh|","")&amp;IF(Y79="✓","Captcha dạng tích|","")&amp;IF(Z79="✓","Captcha khác (slider/hình)|","")&amp;IF(AA79="✓","Đăng nhập|","")&amp;IF(AB79="✓","Email/SĐT/OTP|",""),LEN(IF(O79="✓","Mã tra cứu|","")&amp;IF(P79="✓","MST người bán|","")&amp;IF(Q79="✓","MST người mua|","")&amp;IF(R79="✓","Mẫu số / Ký hiệu|","")&amp;IF(S79="✓","Số HĐ|","")&amp;IF(T79="✓","Ngày lập|","")&amp;IF(U79="✓","Tổng tiền|","")&amp;IF(V79="✓","Mã CQT|","")&amp;IF(W79="✓","Upload XML|","")&amp;IF(X79="✓","Captcha ảnh|","")&amp;IF(Y79="✓","Captcha dạng tích|","")&amp;IF(Z79="✓","Captcha khác (slider/hình)|","")&amp;IF(AA79="✓","Đăng nhập|","")&amp;IF(AB79="✓","Email/SĐT/OTP|",""))-1),"|"," + ")))</f>
        <v/>
      </c>
      <c r="I79" s="20" t="inlineStr">
        <is>
          <t>Xong</t>
        </is>
      </c>
      <c r="J79" s="17" t="n"/>
      <c r="K79" s="60" t="n">
        <v>0.1818</v>
      </c>
      <c r="L79" s="20" t="inlineStr">
        <is>
          <t>g_250x40</t>
        </is>
      </c>
      <c r="M79" s="37" t="n"/>
      <c r="N79" s="38" t="inlineStr">
        <is>
          <t>Cần đăng nhập</t>
        </is>
      </c>
      <c r="O79" s="39" t="n"/>
      <c r="P79" s="39" t="n"/>
      <c r="Q79" s="39" t="n"/>
      <c r="R79" s="39" t="n"/>
      <c r="S79" s="39" t="n"/>
      <c r="T79" s="39" t="n"/>
      <c r="U79" s="39" t="n"/>
      <c r="V79" s="39" t="n"/>
      <c r="W79" s="39" t="n"/>
      <c r="X79" s="39" t="inlineStr">
        <is>
          <t>✓</t>
        </is>
      </c>
      <c r="Y79" s="39" t="n"/>
      <c r="Z79" s="39" t="n"/>
      <c r="AA79" s="39" t="inlineStr">
        <is>
          <t>✓</t>
        </is>
      </c>
      <c r="AB79" s="39" t="n"/>
      <c r="AC79" s="39" t="n"/>
      <c r="AD79" s="16" t="inlineStr">
        <is>
          <t>BotDetect CAPTCHA ảnh 250x40 (BotDetectCaptcha.ashx) trên form đăng nhập</t>
        </is>
      </c>
      <c r="AE79" s="16" t="n"/>
      <c r="AF79" s="16" t="inlineStr">
        <is>
          <t>Không thấy trang tra cứu công khai: cả www.vdsg-invoice.vn và tracuu.vdsg-invoice.vn đều chuyển về /Account/Login (tài khoản + mật khẩu + mã bảo mật); /TraCuu trả 404.</t>
        </is>
      </c>
      <c r="AG79" s="16" t="inlineStr">
        <is>
          <t>https://www.vdsg-invoice.vn/Account/Login</t>
        </is>
      </c>
      <c r="AH79" s="1" t="n"/>
      <c r="AI79" s="1" t="n"/>
      <c r="AJ79">
        <f>IFERROR(IF(INDEX(WBS2!$I$2:$I$25,MATCH($C79,WBS2!$F$2:$F$25,0))="","",INDEX(WBS2!$I$2:$I$25,MATCH($C79,WBS2!$F$2:$F$25,0))),"")</f>
        <v/>
      </c>
      <c r="AK79">
        <f>IFERROR(IF(INDEX(WBS2!$I$27:$I$162,MATCH($C79,WBS2!$F$27:$F$162,0))="","",INDEX(WBS2!$I$27:$I$162,MATCH($C79,WBS2!$F$27:$F$162,0))),"")</f>
        <v/>
      </c>
      <c r="AL79" s="102">
        <f>IFERROR(IF(OR($AK79="Chưa hoàn thành",$AK79="Sẵn sàng"),INDEX(WBS2!$H$27:$H$162,MATCH($C79,WBS2!$F$27:$F$162,0)),""),"")</f>
        <v/>
      </c>
      <c r="AM79">
        <f>IFERROR(IF(INDEX(WBS2!$J$27:$J$162,MATCH($C79,WBS2!$F$27:$F$162,0))="","",INDEX(WBS2!$J$27:$J$162,MATCH($C79,WBS2!$F$27:$F$162,0))),"")</f>
        <v/>
      </c>
      <c r="AN79">
        <f>IFERROR(IF(INDEX(WBS2!$I$163:$I$298,MATCH($C79,WBS2!$F$163:$F$298,0))="","",INDEX(WBS2!$I$163:$I$298,MATCH($C79,WBS2!$F$163:$F$298,0))),"")</f>
        <v/>
      </c>
      <c r="AO79" s="102">
        <f>IFERROR(IF(OR($AN79="Chưa hoàn thành",$AN79="Sẵn sàng"),INDEX(WBS2!$H$163:$H$298,MATCH($C79,WBS2!$F$163:$F$298,0)),""),"")</f>
        <v/>
      </c>
      <c r="AP79">
        <f>IFERROR(IF(INDEX(WBS2!$J$163:$J$298,MATCH($C79,WBS2!$F$163:$F$298,0))="","",INDEX(WBS2!$J$163:$J$298,MATCH($C79,WBS2!$F$163:$F$298,0))),"")</f>
        <v/>
      </c>
    </row>
    <row r="80" ht="14.25" customHeight="1">
      <c r="A80" s="13" t="n">
        <v>79</v>
      </c>
      <c r="B80" s="13" t="inlineStr">
        <is>
          <t>Công ty Cổ phần Tin học Lạc Việt</t>
        </is>
      </c>
      <c r="C80" s="14" t="inlineStr">
        <is>
          <t>0301448733</t>
        </is>
      </c>
      <c r="D80" s="13" t="inlineStr">
        <is>
          <t>23 Nguyễn Thị Huỳnh, phường 8, quận Phú Nhuận, Tp Hồ Chí Minh</t>
        </is>
      </c>
      <c r="E80" s="18" t="inlineStr">
        <is>
          <t>https://accnet.vn/hoa-don-dien-tu</t>
        </is>
      </c>
      <c r="F80" s="20" t="inlineStr">
        <is>
          <t>có captcha</t>
        </is>
      </c>
      <c r="G80" s="23" t="inlineStr">
        <is>
          <t>https://accnet.vn/tra-cuu-hoa-don-dien-tu</t>
        </is>
      </c>
      <c r="H80" s="35">
        <f>IF(N80&lt;&gt;"OK","",IF(IF(O80="✓","Mã tra cứu|","")&amp;IF(P80="✓","MST người bán|","")&amp;IF(Q80="✓","MST người mua|","")&amp;IF(R80="✓","Mẫu số / Ký hiệu|","")&amp;IF(S80="✓","Số HĐ|","")&amp;IF(T80="✓","Ngày lập|","")&amp;IF(U80="✓","Tổng tiền|","")&amp;IF(V80="✓","Mã CQT|","")&amp;IF(W80="✓","Upload XML|","")&amp;IF(X80="✓","Captcha ảnh|","")&amp;IF(Y80="✓","Captcha dạng tích|","")&amp;IF(Z80="✓","Captcha khác (slider/hình)|","")&amp;IF(AA80="✓","Đăng nhập|","")&amp;IF(AB80="✓","Email/SĐT/OTP|","")="","(không có tham số)",SUBSTITUTE(LEFT(IF(O80="✓","Mã tra cứu|","")&amp;IF(P80="✓","MST người bán|","")&amp;IF(Q80="✓","MST người mua|","")&amp;IF(R80="✓","Mẫu số / Ký hiệu|","")&amp;IF(S80="✓","Số HĐ|","")&amp;IF(T80="✓","Ngày lập|","")&amp;IF(U80="✓","Tổng tiền|","")&amp;IF(V80="✓","Mã CQT|","")&amp;IF(W80="✓","Upload XML|","")&amp;IF(X80="✓","Captcha ảnh|","")&amp;IF(Y80="✓","Captcha dạng tích|","")&amp;IF(Z80="✓","Captcha khác (slider/hình)|","")&amp;IF(AA80="✓","Đăng nhập|","")&amp;IF(AB80="✓","Email/SĐT/OTP|",""),LEN(IF(O80="✓","Mã tra cứu|","")&amp;IF(P80="✓","MST người bán|","")&amp;IF(Q80="✓","MST người mua|","")&amp;IF(R80="✓","Mẫu số / Ký hiệu|","")&amp;IF(S80="✓","Số HĐ|","")&amp;IF(T80="✓","Ngày lập|","")&amp;IF(U80="✓","Tổng tiền|","")&amp;IF(V80="✓","Mã CQT|","")&amp;IF(W80="✓","Upload XML|","")&amp;IF(X80="✓","Captcha ảnh|","")&amp;IF(Y80="✓","Captcha dạng tích|","")&amp;IF(Z80="✓","Captcha khác (slider/hình)|","")&amp;IF(AA80="✓","Đăng nhập|","")&amp;IF(AB80="✓","Email/SĐT/OTP|",""))-1),"|"," + ")))</f>
        <v/>
      </c>
      <c r="I80" s="20" t="inlineStr">
        <is>
          <t>Xong</t>
        </is>
      </c>
      <c r="J80" s="81" t="inlineStr">
        <is>
          <t>https://lacviet.hdtt.vn/api/Invoice/get-captcha-image?key=5270d64e-9347-4df4-175d-471e65ead33e&amp;v=1790323334</t>
        </is>
      </c>
      <c r="K80" s="67" t="n">
        <v>0</v>
      </c>
      <c r="L80" s="20" t="inlineStr">
        <is>
          <t>g_150x32</t>
        </is>
      </c>
      <c r="M80" s="37" t="n"/>
      <c r="N80" s="38" t="inlineStr">
        <is>
          <t>OK</t>
        </is>
      </c>
      <c r="O80" s="39" t="inlineStr">
        <is>
          <t>✓</t>
        </is>
      </c>
      <c r="P80" s="39" t="n"/>
      <c r="Q80" s="39" t="n"/>
      <c r="R80" s="39" t="n"/>
      <c r="S80" s="39" t="n"/>
      <c r="T80" s="39" t="n"/>
      <c r="U80" s="39" t="n"/>
      <c r="V80" s="39" t="n"/>
      <c r="W80" s="39" t="n"/>
      <c r="X80" s="39" t="inlineStr">
        <is>
          <t>✓</t>
        </is>
      </c>
      <c r="Y80" s="39" t="n"/>
      <c r="Z80" s="39" t="n"/>
      <c r="AA80" s="39" t="n"/>
      <c r="AB80" s="39" t="n"/>
      <c r="AC80" s="39" t="n">
        <v>2</v>
      </c>
      <c r="AD80" s="16" t="inlineStr">
        <is>
          <t>ảnh gốc 100x36, hiển thị 150x32 (lacviet.hdtt.vn/api/Invoice/get-captcha-image?key=&lt;guid&gt;)</t>
        </is>
      </c>
      <c r="AE80" s="16" t="inlineStr">
        <is>
          <t>'Đọc hóa đơn': upload file XML (Browse Files) để đọc/hiển thị HĐ</t>
        </is>
      </c>
      <c r="AF80" s="16" t="inlineStr">
        <is>
          <t>Trang WordPress của Lạc Việt nhúng form gọi API lacviet.hdtt.vn. Form: 'Mã tra cứu hóa đơn' + 'Mã kiểm tra'. Kết quả: bảng có link tải HĐ, tải XML.</t>
        </is>
      </c>
      <c r="AG80" s="16" t="inlineStr">
        <is>
          <t>https://accnet.vn/tra-cuu-hoa-don-dien-tu</t>
        </is>
      </c>
      <c r="AH80" s="1" t="n"/>
      <c r="AI80" s="1" t="n"/>
      <c r="AJ80">
        <f>IFERROR(IF(INDEX(WBS2!$I$2:$I$25,MATCH($C80,WBS2!$F$2:$F$25,0))="","",INDEX(WBS2!$I$2:$I$25,MATCH($C80,WBS2!$F$2:$F$25,0))),"")</f>
        <v/>
      </c>
      <c r="AK80">
        <f>IFERROR(IF(INDEX(WBS2!$I$27:$I$162,MATCH($C80,WBS2!$F$27:$F$162,0))="","",INDEX(WBS2!$I$27:$I$162,MATCH($C80,WBS2!$F$27:$F$162,0))),"")</f>
        <v/>
      </c>
      <c r="AL80" s="102">
        <f>IFERROR(IF(OR($AK80="Chưa hoàn thành",$AK80="Sẵn sàng"),INDEX(WBS2!$H$27:$H$162,MATCH($C80,WBS2!$F$27:$F$162,0)),""),"")</f>
        <v/>
      </c>
      <c r="AM80">
        <f>IFERROR(IF(INDEX(WBS2!$J$27:$J$162,MATCH($C80,WBS2!$F$27:$F$162,0))="","",INDEX(WBS2!$J$27:$J$162,MATCH($C80,WBS2!$F$27:$F$162,0))),"")</f>
        <v/>
      </c>
      <c r="AN80">
        <f>IFERROR(IF(INDEX(WBS2!$I$163:$I$298,MATCH($C80,WBS2!$F$163:$F$298,0))="","",INDEX(WBS2!$I$163:$I$298,MATCH($C80,WBS2!$F$163:$F$298,0))),"")</f>
        <v/>
      </c>
      <c r="AO80" s="102">
        <f>IFERROR(IF(OR($AN80="Chưa hoàn thành",$AN80="Sẵn sàng"),INDEX(WBS2!$H$163:$H$298,MATCH($C80,WBS2!$F$163:$F$298,0)),""),"")</f>
        <v/>
      </c>
      <c r="AP80">
        <f>IFERROR(IF(INDEX(WBS2!$J$163:$J$298,MATCH($C80,WBS2!$F$163:$F$298,0))="","",INDEX(WBS2!$J$163:$J$298,MATCH($C80,WBS2!$F$163:$F$298,0))),"")</f>
        <v/>
      </c>
    </row>
    <row r="81" hidden="1" ht="14.25" customHeight="1">
      <c r="A81" s="13" t="n">
        <v>80</v>
      </c>
      <c r="B81" s="13" t="inlineStr">
        <is>
          <t>Công ty Cổ phần Công nghệ TADU</t>
        </is>
      </c>
      <c r="C81" s="14" t="inlineStr">
        <is>
          <t>0313253288</t>
        </is>
      </c>
      <c r="D81" s="13" t="inlineStr">
        <is>
          <t>Số 05 Đồng Nai, phường 2, quận Tân Bình, Tp Hồ Chí Minh</t>
        </is>
      </c>
      <c r="E81" s="18" t="inlineStr">
        <is>
          <t>https://autoinvoice.vn</t>
        </is>
      </c>
      <c r="F81" s="20" t="inlineStr">
        <is>
          <t>Không có captcha</t>
        </is>
      </c>
      <c r="G81" s="23" t="inlineStr">
        <is>
          <t>https://tracuu.autoinvoice.vn/</t>
        </is>
      </c>
      <c r="H81" s="35">
        <f>IF(N81&lt;&gt;"OK","",IF(IF(O81="✓","Mã tra cứu|","")&amp;IF(P81="✓","MST người bán|","")&amp;IF(Q81="✓","MST người mua|","")&amp;IF(R81="✓","Mẫu số / Ký hiệu|","")&amp;IF(S81="✓","Số HĐ|","")&amp;IF(T81="✓","Ngày lập|","")&amp;IF(U81="✓","Tổng tiền|","")&amp;IF(V81="✓","Mã CQT|","")&amp;IF(W81="✓","Upload XML|","")&amp;IF(X81="✓","Captcha ảnh|","")&amp;IF(Y81="✓","Captcha dạng tích|","")&amp;IF(Z81="✓","Captcha khác (slider/hình)|","")&amp;IF(AA81="✓","Đăng nhập|","")&amp;IF(AB81="✓","Email/SĐT/OTP|","")="","(không có tham số)",SUBSTITUTE(LEFT(IF(O81="✓","Mã tra cứu|","")&amp;IF(P81="✓","MST người bán|","")&amp;IF(Q81="✓","MST người mua|","")&amp;IF(R81="✓","Mẫu số / Ký hiệu|","")&amp;IF(S81="✓","Số HĐ|","")&amp;IF(T81="✓","Ngày lập|","")&amp;IF(U81="✓","Tổng tiền|","")&amp;IF(V81="✓","Mã CQT|","")&amp;IF(W81="✓","Upload XML|","")&amp;IF(X81="✓","Captcha ảnh|","")&amp;IF(Y81="✓","Captcha dạng tích|","")&amp;IF(Z81="✓","Captcha khác (slider/hình)|","")&amp;IF(AA81="✓","Đăng nhập|","")&amp;IF(AB81="✓","Email/SĐT/OTP|",""),LEN(IF(O81="✓","Mã tra cứu|","")&amp;IF(P81="✓","MST người bán|","")&amp;IF(Q81="✓","MST người mua|","")&amp;IF(R81="✓","Mẫu số / Ký hiệu|","")&amp;IF(S81="✓","Số HĐ|","")&amp;IF(T81="✓","Ngày lập|","")&amp;IF(U81="✓","Tổng tiền|","")&amp;IF(V81="✓","Mã CQT|","")&amp;IF(W81="✓","Upload XML|","")&amp;IF(X81="✓","Captcha ảnh|","")&amp;IF(Y81="✓","Captcha dạng tích|","")&amp;IF(Z81="✓","Captcha khác (slider/hình)|","")&amp;IF(AA81="✓","Đăng nhập|","")&amp;IF(AB81="✓","Email/SĐT/OTP|",""))-1),"|"," + ")))</f>
        <v/>
      </c>
      <c r="I81" s="17" t="n"/>
      <c r="J81" s="17" t="n"/>
      <c r="K81" s="17" t="n"/>
      <c r="L81" s="17" t="n"/>
      <c r="M81" s="37" t="n"/>
      <c r="N81" s="38" t="inlineStr">
        <is>
          <t>OK</t>
        </is>
      </c>
      <c r="O81" s="39" t="inlineStr">
        <is>
          <t>✓</t>
        </is>
      </c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>
        <v>1</v>
      </c>
      <c r="AD81" s="16" t="inlineStr">
        <is>
          <t>không có</t>
        </is>
      </c>
      <c r="AE81" s="16" t="inlineStr">
        <is>
          <t>Có link 'Đăng Nhập?' (tài khoản)</t>
        </is>
      </c>
      <c r="AF81" s="16" t="inlineStr">
        <is>
          <t>Ứng dụng ZK (Java, id ô sinh động). Chỉ 1 ô 'Mã tra cứu'; tra cả hóa đơn và chứng từ.</t>
        </is>
      </c>
      <c r="AG81" s="16" t="inlineStr">
        <is>
          <t>https://tracuu.autoinvoice.vn/</t>
        </is>
      </c>
      <c r="AH81" s="1" t="n"/>
      <c r="AI81" s="1" t="n"/>
      <c r="AJ81">
        <f>IFERROR(IF(INDEX(WBS2!$I$2:$I$25,MATCH($C81,WBS2!$F$2:$F$25,0))="","",INDEX(WBS2!$I$2:$I$25,MATCH($C81,WBS2!$F$2:$F$25,0))),"")</f>
        <v/>
      </c>
      <c r="AK81">
        <f>IFERROR(IF(INDEX(WBS2!$I$27:$I$162,MATCH($C81,WBS2!$F$27:$F$162,0))="","",INDEX(WBS2!$I$27:$I$162,MATCH($C81,WBS2!$F$27:$F$162,0))),"")</f>
        <v/>
      </c>
      <c r="AL81" s="102">
        <f>IFERROR(IF(OR($AK81="Chưa hoàn thành",$AK81="Sẵn sàng"),INDEX(WBS2!$H$27:$H$162,MATCH($C81,WBS2!$F$27:$F$162,0)),""),"")</f>
        <v/>
      </c>
      <c r="AM81">
        <f>IFERROR(IF(INDEX(WBS2!$J$27:$J$162,MATCH($C81,WBS2!$F$27:$F$162,0))="","",INDEX(WBS2!$J$27:$J$162,MATCH($C81,WBS2!$F$27:$F$162,0))),"")</f>
        <v/>
      </c>
      <c r="AN81">
        <f>IFERROR(IF(INDEX(WBS2!$I$163:$I$298,MATCH($C81,WBS2!$F$163:$F$298,0))="","",INDEX(WBS2!$I$163:$I$298,MATCH($C81,WBS2!$F$163:$F$298,0))),"")</f>
        <v/>
      </c>
      <c r="AO81" s="102">
        <f>IFERROR(IF(OR($AN81="Chưa hoàn thành",$AN81="Sẵn sàng"),INDEX(WBS2!$H$163:$H$298,MATCH($C81,WBS2!$F$163:$F$298,0)),""),"")</f>
        <v/>
      </c>
      <c r="AP81">
        <f>IFERROR(IF(INDEX(WBS2!$J$163:$J$298,MATCH($C81,WBS2!$F$163:$F$298,0))="","",INDEX(WBS2!$J$163:$J$298,MATCH($C81,WBS2!$F$163:$F$298,0))),"")</f>
        <v/>
      </c>
    </row>
    <row r="82" hidden="1" ht="14.25" customHeight="1">
      <c r="A82" s="13" t="n">
        <v>81</v>
      </c>
      <c r="B82" s="13" t="inlineStr">
        <is>
          <t>Công ty Cổ phần Công nghệ UNIT</t>
        </is>
      </c>
      <c r="C82" s="14" t="inlineStr">
        <is>
          <t>0309889835</t>
        </is>
      </c>
      <c r="D82" s="13" t="inlineStr">
        <is>
          <t>157 Nguyễn Thị Thập, phường Tân Phú, quận 7, Tp Hồ Chí Minh</t>
        </is>
      </c>
      <c r="E82" s="18" t="inlineStr">
        <is>
          <t xml:space="preserve">https://unit.com.vn/    </t>
        </is>
      </c>
      <c r="F82" s="20" t="inlineStr">
        <is>
          <t>Không có captcha</t>
        </is>
      </c>
      <c r="G82" s="20" t="n"/>
      <c r="H82" s="35">
        <f>IF(N82&lt;&gt;"OK","",IF(IF(O82="✓","Mã tra cứu|","")&amp;IF(P82="✓","MST người bán|","")&amp;IF(Q82="✓","MST người mua|","")&amp;IF(R82="✓","Mẫu số / Ký hiệu|","")&amp;IF(S82="✓","Số HĐ|","")&amp;IF(T82="✓","Ngày lập|","")&amp;IF(U82="✓","Tổng tiền|","")&amp;IF(V82="✓","Mã CQT|","")&amp;IF(W82="✓","Upload XML|","")&amp;IF(X82="✓","Captcha ảnh|","")&amp;IF(Y82="✓","Captcha dạng tích|","")&amp;IF(Z82="✓","Captcha khác (slider/hình)|","")&amp;IF(AA82="✓","Đăng nhập|","")&amp;IF(AB82="✓","Email/SĐT/OTP|","")="","(không có tham số)",SUBSTITUTE(LEFT(IF(O82="✓","Mã tra cứu|","")&amp;IF(P82="✓","MST người bán|","")&amp;IF(Q82="✓","MST người mua|","")&amp;IF(R82="✓","Mẫu số / Ký hiệu|","")&amp;IF(S82="✓","Số HĐ|","")&amp;IF(T82="✓","Ngày lập|","")&amp;IF(U82="✓","Tổng tiền|","")&amp;IF(V82="✓","Mã CQT|","")&amp;IF(W82="✓","Upload XML|","")&amp;IF(X82="✓","Captcha ảnh|","")&amp;IF(Y82="✓","Captcha dạng tích|","")&amp;IF(Z82="✓","Captcha khác (slider/hình)|","")&amp;IF(AA82="✓","Đăng nhập|","")&amp;IF(AB82="✓","Email/SĐT/OTP|",""),LEN(IF(O82="✓","Mã tra cứu|","")&amp;IF(P82="✓","MST người bán|","")&amp;IF(Q82="✓","MST người mua|","")&amp;IF(R82="✓","Mẫu số / Ký hiệu|","")&amp;IF(S82="✓","Số HĐ|","")&amp;IF(T82="✓","Ngày lập|","")&amp;IF(U82="✓","Tổng tiền|","")&amp;IF(V82="✓","Mã CQT|","")&amp;IF(W82="✓","Upload XML|","")&amp;IF(X82="✓","Captcha ảnh|","")&amp;IF(Y82="✓","Captcha dạng tích|","")&amp;IF(Z82="✓","Captcha khác (slider/hình)|","")&amp;IF(AA82="✓","Đăng nhập|","")&amp;IF(AB82="✓","Email/SĐT/OTP|",""))-1),"|"," + ")))</f>
        <v/>
      </c>
      <c r="I82" s="17" t="n"/>
      <c r="J82" s="17" t="n"/>
      <c r="K82" s="17" t="n"/>
      <c r="L82" s="17" t="n"/>
      <c r="M82" s="37" t="n"/>
      <c r="N82" s="38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1" t="n"/>
      <c r="AI82" s="1" t="n"/>
      <c r="AJ82">
        <f>IFERROR(IF(INDEX(WBS2!$I$2:$I$25,MATCH($C82,WBS2!$F$2:$F$25,0))="","",INDEX(WBS2!$I$2:$I$25,MATCH($C82,WBS2!$F$2:$F$25,0))),"")</f>
        <v/>
      </c>
      <c r="AK82">
        <f>IFERROR(IF(INDEX(WBS2!$I$27:$I$162,MATCH($C82,WBS2!$F$27:$F$162,0))="","",INDEX(WBS2!$I$27:$I$162,MATCH($C82,WBS2!$F$27:$F$162,0))),"")</f>
        <v/>
      </c>
      <c r="AL82" s="102">
        <f>IFERROR(IF(OR($AK82="Chưa hoàn thành",$AK82="Sẵn sàng"),INDEX(WBS2!$H$27:$H$162,MATCH($C82,WBS2!$F$27:$F$162,0)),""),"")</f>
        <v/>
      </c>
      <c r="AM82">
        <f>IFERROR(IF(INDEX(WBS2!$J$27:$J$162,MATCH($C82,WBS2!$F$27:$F$162,0))="","",INDEX(WBS2!$J$27:$J$162,MATCH($C82,WBS2!$F$27:$F$162,0))),"")</f>
        <v/>
      </c>
      <c r="AN82">
        <f>IFERROR(IF(INDEX(WBS2!$I$163:$I$298,MATCH($C82,WBS2!$F$163:$F$298,0))="","",INDEX(WBS2!$I$163:$I$298,MATCH($C82,WBS2!$F$163:$F$298,0))),"")</f>
        <v/>
      </c>
      <c r="AO82" s="102">
        <f>IFERROR(IF(OR($AN82="Chưa hoàn thành",$AN82="Sẵn sàng"),INDEX(WBS2!$H$163:$H$298,MATCH($C82,WBS2!$F$163:$F$298,0)),""),"")</f>
        <v/>
      </c>
      <c r="AP82">
        <f>IFERROR(IF(INDEX(WBS2!$J$163:$J$298,MATCH($C82,WBS2!$F$163:$F$298,0))="","",INDEX(WBS2!$J$163:$J$298,MATCH($C82,WBS2!$F$163:$F$298,0))),"")</f>
        <v/>
      </c>
    </row>
    <row r="83" hidden="1" ht="14.25" customHeight="1">
      <c r="A83" s="13" t="n">
        <v>82</v>
      </c>
      <c r="B83" s="13" t="inlineStr">
        <is>
          <t>Công ty Cổ phần phát triển và ứng dụng phần mềm Bách Khoa</t>
        </is>
      </c>
      <c r="C83" s="14" t="inlineStr">
        <is>
          <t>0202029650</t>
        </is>
      </c>
      <c r="D83" s="13" t="inlineStr">
        <is>
          <t>Tầng 3, tòa nhà Định vị Bách Khoa, số 561 Nguyễn Bỉnh Khiêm, phường Đằng Hải, quận Hải An, Tp Hải Phòng</t>
        </is>
      </c>
      <c r="E83" s="18" t="inlineStr">
        <is>
          <t xml:space="preserve">https://hoadondientu.pmbk.vn   </t>
        </is>
      </c>
      <c r="F83" s="20" t="inlineStr">
        <is>
          <t>Không có captcha</t>
        </is>
      </c>
      <c r="G83" s="23" t="inlineStr">
        <is>
          <t>https://hdbk.pmbk.vn/tra-cuu-hoa-don</t>
        </is>
      </c>
      <c r="H83" s="35">
        <f>IF(N83&lt;&gt;"OK","",IF(IF(O83="✓","Mã tra cứu|","")&amp;IF(P83="✓","MST người bán|","")&amp;IF(Q83="✓","MST người mua|","")&amp;IF(R83="✓","Mẫu số / Ký hiệu|","")&amp;IF(S83="✓","Số HĐ|","")&amp;IF(T83="✓","Ngày lập|","")&amp;IF(U83="✓","Tổng tiền|","")&amp;IF(V83="✓","Mã CQT|","")&amp;IF(W83="✓","Upload XML|","")&amp;IF(X83="✓","Captcha ảnh|","")&amp;IF(Y83="✓","Captcha dạng tích|","")&amp;IF(Z83="✓","Captcha khác (slider/hình)|","")&amp;IF(AA83="✓","Đăng nhập|","")&amp;IF(AB83="✓","Email/SĐT/OTP|","")="","(không có tham số)",SUBSTITUTE(LEFT(IF(O83="✓","Mã tra cứu|","")&amp;IF(P83="✓","MST người bán|","")&amp;IF(Q83="✓","MST người mua|","")&amp;IF(R83="✓","Mẫu số / Ký hiệu|","")&amp;IF(S83="✓","Số HĐ|","")&amp;IF(T83="✓","Ngày lập|","")&amp;IF(U83="✓","Tổng tiền|","")&amp;IF(V83="✓","Mã CQT|","")&amp;IF(W83="✓","Upload XML|","")&amp;IF(X83="✓","Captcha ảnh|","")&amp;IF(Y83="✓","Captcha dạng tích|","")&amp;IF(Z83="✓","Captcha khác (slider/hình)|","")&amp;IF(AA83="✓","Đăng nhập|","")&amp;IF(AB83="✓","Email/SĐT/OTP|",""),LEN(IF(O83="✓","Mã tra cứu|","")&amp;IF(P83="✓","MST người bán|","")&amp;IF(Q83="✓","MST người mua|","")&amp;IF(R83="✓","Mẫu số / Ký hiệu|","")&amp;IF(S83="✓","Số HĐ|","")&amp;IF(T83="✓","Ngày lập|","")&amp;IF(U83="✓","Tổng tiền|","")&amp;IF(V83="✓","Mã CQT|","")&amp;IF(W83="✓","Upload XML|","")&amp;IF(X83="✓","Captcha ảnh|","")&amp;IF(Y83="✓","Captcha dạng tích|","")&amp;IF(Z83="✓","Captcha khác (slider/hình)|","")&amp;IF(AA83="✓","Đăng nhập|","")&amp;IF(AB83="✓","Email/SĐT/OTP|",""))-1),"|"," + ")))</f>
        <v/>
      </c>
      <c r="I83" s="17" t="n"/>
      <c r="J83" s="17" t="n"/>
      <c r="K83" s="17" t="n"/>
      <c r="L83" s="17" t="n"/>
      <c r="M83" s="37" t="n"/>
      <c r="N83" s="38" t="inlineStr">
        <is>
          <t>OK</t>
        </is>
      </c>
      <c r="O83" s="39" t="inlineStr">
        <is>
          <t>✓</t>
        </is>
      </c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9" t="n"/>
      <c r="AA83" s="39" t="n"/>
      <c r="AB83" s="39" t="n"/>
      <c r="AC83" s="39" t="n">
        <v>1</v>
      </c>
      <c r="AD83" s="16" t="inlineStr">
        <is>
          <t>không có</t>
        </is>
      </c>
      <c r="AE83" s="16" t="inlineStr">
        <is>
          <t>Tab 'Tệp tra cứu': chọn tệp tra cứu để upload (không rõ định dạng, có thể là XML)</t>
        </is>
      </c>
      <c r="AF83" s="16" t="inlineStr">
        <is>
          <t>SPA Angular (ng-zorro). Tab mặc định 'Mã tra cứu': 1 ô 'Nhập mã tra cứu...'.</t>
        </is>
      </c>
      <c r="AG83" s="16" t="inlineStr">
        <is>
          <t>https://hdbk.pmbk.vn/tra-cuu-hoa-don</t>
        </is>
      </c>
      <c r="AH83" s="1" t="n"/>
      <c r="AI83" s="1" t="n"/>
      <c r="AJ83">
        <f>IFERROR(IF(INDEX(WBS2!$I$2:$I$25,MATCH($C83,WBS2!$F$2:$F$25,0))="","",INDEX(WBS2!$I$2:$I$25,MATCH($C83,WBS2!$F$2:$F$25,0))),"")</f>
        <v/>
      </c>
      <c r="AK83">
        <f>IFERROR(IF(INDEX(WBS2!$I$27:$I$162,MATCH($C83,WBS2!$F$27:$F$162,0))="","",INDEX(WBS2!$I$27:$I$162,MATCH($C83,WBS2!$F$27:$F$162,0))),"")</f>
        <v/>
      </c>
      <c r="AL83" s="102">
        <f>IFERROR(IF(OR($AK83="Chưa hoàn thành",$AK83="Sẵn sàng"),INDEX(WBS2!$H$27:$H$162,MATCH($C83,WBS2!$F$27:$F$162,0)),""),"")</f>
        <v/>
      </c>
      <c r="AM83">
        <f>IFERROR(IF(INDEX(WBS2!$J$27:$J$162,MATCH($C83,WBS2!$F$27:$F$162,0))="","",INDEX(WBS2!$J$27:$J$162,MATCH($C83,WBS2!$F$27:$F$162,0))),"")</f>
        <v/>
      </c>
      <c r="AN83">
        <f>IFERROR(IF(INDEX(WBS2!$I$163:$I$298,MATCH($C83,WBS2!$F$163:$F$298,0))="","",INDEX(WBS2!$I$163:$I$298,MATCH($C83,WBS2!$F$163:$F$298,0))),"")</f>
        <v/>
      </c>
      <c r="AO83" s="102">
        <f>IFERROR(IF(OR($AN83="Chưa hoàn thành",$AN83="Sẵn sàng"),INDEX(WBS2!$H$163:$H$298,MATCH($C83,WBS2!$F$163:$F$298,0)),""),"")</f>
        <v/>
      </c>
      <c r="AP83">
        <f>IFERROR(IF(INDEX(WBS2!$J$163:$J$298,MATCH($C83,WBS2!$F$163:$F$298,0))="","",INDEX(WBS2!$J$163:$J$298,MATCH($C83,WBS2!$F$163:$F$298,0))),"")</f>
        <v/>
      </c>
    </row>
    <row r="84" hidden="1" ht="14.25" customHeight="1">
      <c r="A84" s="13" t="n">
        <v>83</v>
      </c>
      <c r="B84" s="13" t="inlineStr">
        <is>
          <t>Công ty Cổ phần My Software</t>
        </is>
      </c>
      <c r="C84" s="14" t="inlineStr">
        <is>
          <t>0108971656</t>
        </is>
      </c>
      <c r="D84" s="13" t="inlineStr">
        <is>
          <t>Số 54C, ngõ 63 phường Đại Mỗ, quận Nam Từ Liêm, Tp Hà Nội</t>
        </is>
      </c>
      <c r="E84" s="18" t="inlineStr">
        <is>
          <t xml:space="preserve">https://mysoftware.vn   </t>
        </is>
      </c>
      <c r="F84" s="20" t="inlineStr">
        <is>
          <t>Không có captcha</t>
        </is>
      </c>
      <c r="G84" s="23" t="inlineStr">
        <is>
          <t>https://tracuu.myinvoice.vn/#/</t>
        </is>
      </c>
      <c r="H84" s="35">
        <f>IF(N84&lt;&gt;"OK","",IF(IF(O84="✓","Mã tra cứu|","")&amp;IF(P84="✓","MST người bán|","")&amp;IF(Q84="✓","MST người mua|","")&amp;IF(R84="✓","Mẫu số / Ký hiệu|","")&amp;IF(S84="✓","Số HĐ|","")&amp;IF(T84="✓","Ngày lập|","")&amp;IF(U84="✓","Tổng tiền|","")&amp;IF(V84="✓","Mã CQT|","")&amp;IF(W84="✓","Upload XML|","")&amp;IF(X84="✓","Captcha ảnh|","")&amp;IF(Y84="✓","Captcha dạng tích|","")&amp;IF(Z84="✓","Captcha khác (slider/hình)|","")&amp;IF(AA84="✓","Đăng nhập|","")&amp;IF(AB84="✓","Email/SĐT/OTP|","")="","(không có tham số)",SUBSTITUTE(LEFT(IF(O84="✓","Mã tra cứu|","")&amp;IF(P84="✓","MST người bán|","")&amp;IF(Q84="✓","MST người mua|","")&amp;IF(R84="✓","Mẫu số / Ký hiệu|","")&amp;IF(S84="✓","Số HĐ|","")&amp;IF(T84="✓","Ngày lập|","")&amp;IF(U84="✓","Tổng tiền|","")&amp;IF(V84="✓","Mã CQT|","")&amp;IF(W84="✓","Upload XML|","")&amp;IF(X84="✓","Captcha ảnh|","")&amp;IF(Y84="✓","Captcha dạng tích|","")&amp;IF(Z84="✓","Captcha khác (slider/hình)|","")&amp;IF(AA84="✓","Đăng nhập|","")&amp;IF(AB84="✓","Email/SĐT/OTP|",""),LEN(IF(O84="✓","Mã tra cứu|","")&amp;IF(P84="✓","MST người bán|","")&amp;IF(Q84="✓","MST người mua|","")&amp;IF(R84="✓","Mẫu số / Ký hiệu|","")&amp;IF(S84="✓","Số HĐ|","")&amp;IF(T84="✓","Ngày lập|","")&amp;IF(U84="✓","Tổng tiền|","")&amp;IF(V84="✓","Mã CQT|","")&amp;IF(W84="✓","Upload XML|","")&amp;IF(X84="✓","Captcha ảnh|","")&amp;IF(Y84="✓","Captcha dạng tích|","")&amp;IF(Z84="✓","Captcha khác (slider/hình)|","")&amp;IF(AA84="✓","Đăng nhập|","")&amp;IF(AB84="✓","Email/SĐT/OTP|",""))-1),"|"," + ")))</f>
        <v/>
      </c>
      <c r="I84" s="17" t="n"/>
      <c r="J84" s="17" t="n"/>
      <c r="K84" s="17" t="n"/>
      <c r="L84" s="17" t="n"/>
      <c r="M84" s="37" t="n"/>
      <c r="N84" s="38" t="inlineStr">
        <is>
          <t>OK</t>
        </is>
      </c>
      <c r="O84" s="39" t="inlineStr">
        <is>
          <t>✓</t>
        </is>
      </c>
      <c r="P84" s="39" t="n"/>
      <c r="Q84" s="39" t="n"/>
      <c r="R84" s="39" t="n"/>
      <c r="S84" s="39" t="n"/>
      <c r="T84" s="39" t="n"/>
      <c r="U84" s="39" t="n"/>
      <c r="V84" s="39" t="n"/>
      <c r="W84" s="39" t="n"/>
      <c r="X84" s="39" t="n"/>
      <c r="Y84" s="39" t="n"/>
      <c r="Z84" s="39" t="n"/>
      <c r="AA84" s="39" t="n"/>
      <c r="AB84" s="39" t="n"/>
      <c r="AC84" s="39" t="n">
        <v>1</v>
      </c>
      <c r="AD84" s="16" t="inlineStr">
        <is>
          <t>không có</t>
        </is>
      </c>
      <c r="AE84" s="16" t="n"/>
      <c r="AF84" s="16" t="inlineStr">
        <is>
          <t>SPA (hash route). Chỉ 1 ô 'Nhập mã tra cứu' + nút Tra cứu. Adapter myinvoice trong project tra bằng MCCQT. Cùng giao diện với VININVOICE.</t>
        </is>
      </c>
      <c r="AG84" s="16" t="inlineStr">
        <is>
          <t>https://tracuu.myinvoice.vn/#/</t>
        </is>
      </c>
      <c r="AH84" s="1" t="n"/>
      <c r="AI84" s="1" t="n"/>
      <c r="AJ84">
        <f>IFERROR(IF(INDEX(WBS2!$I$2:$I$25,MATCH($C84,WBS2!$F$2:$F$25,0))="","",INDEX(WBS2!$I$2:$I$25,MATCH($C84,WBS2!$F$2:$F$25,0))),"")</f>
        <v/>
      </c>
      <c r="AK84">
        <f>IFERROR(IF(INDEX(WBS2!$I$27:$I$162,MATCH($C84,WBS2!$F$27:$F$162,0))="","",INDEX(WBS2!$I$27:$I$162,MATCH($C84,WBS2!$F$27:$F$162,0))),"")</f>
        <v/>
      </c>
      <c r="AL84" s="102">
        <f>IFERROR(IF(OR($AK84="Chưa hoàn thành",$AK84="Sẵn sàng"),INDEX(WBS2!$H$27:$H$162,MATCH($C84,WBS2!$F$27:$F$162,0)),""),"")</f>
        <v/>
      </c>
      <c r="AM84">
        <f>IFERROR(IF(INDEX(WBS2!$J$27:$J$162,MATCH($C84,WBS2!$F$27:$F$162,0))="","",INDEX(WBS2!$J$27:$J$162,MATCH($C84,WBS2!$F$27:$F$162,0))),"")</f>
        <v/>
      </c>
      <c r="AN84">
        <f>IFERROR(IF(INDEX(WBS2!$I$163:$I$298,MATCH($C84,WBS2!$F$163:$F$298,0))="","",INDEX(WBS2!$I$163:$I$298,MATCH($C84,WBS2!$F$163:$F$298,0))),"")</f>
        <v/>
      </c>
      <c r="AO84" s="102">
        <f>IFERROR(IF(OR($AN84="Chưa hoàn thành",$AN84="Sẵn sàng"),INDEX(WBS2!$H$163:$H$298,MATCH($C84,WBS2!$F$163:$F$298,0)),""),"")</f>
        <v/>
      </c>
      <c r="AP84">
        <f>IFERROR(IF(INDEX(WBS2!$J$163:$J$298,MATCH($C84,WBS2!$F$163:$F$298,0))="","",INDEX(WBS2!$J$163:$J$298,MATCH($C84,WBS2!$F$163:$F$298,0))),"")</f>
        <v/>
      </c>
    </row>
    <row r="85" hidden="1" ht="14.25" customHeight="1">
      <c r="A85" s="13" t="n">
        <v>84</v>
      </c>
      <c r="B85" s="13" t="inlineStr">
        <is>
          <t>Công ty TNHH Công nghệ HT Sài Gòn</t>
        </is>
      </c>
      <c r="C85" s="14" t="inlineStr">
        <is>
          <t>0312942260</t>
        </is>
      </c>
      <c r="D85" s="13" t="inlineStr">
        <is>
          <t>359/5 Vườn Lài, phường Phí Thọ Hòa, quận Tân Phú, Tp Hồ Chí Minh</t>
        </is>
      </c>
      <c r="E85" s="18" t="inlineStr">
        <is>
          <t>http://ihoadondientu.net</t>
        </is>
      </c>
      <c r="F85" s="20" t="inlineStr">
        <is>
          <t>Không có captcha</t>
        </is>
      </c>
      <c r="G85" s="20" t="inlineStr">
        <is>
          <t>https://ihoadondientu.net/Tracuu.aspx</t>
        </is>
      </c>
      <c r="H85" s="35">
        <f>IF(N85&lt;&gt;"OK","",IF(IF(O85="✓","Mã tra cứu|","")&amp;IF(P85="✓","MST người bán|","")&amp;IF(Q85="✓","MST người mua|","")&amp;IF(R85="✓","Mẫu số / Ký hiệu|","")&amp;IF(S85="✓","Số HĐ|","")&amp;IF(T85="✓","Ngày lập|","")&amp;IF(U85="✓","Tổng tiền|","")&amp;IF(V85="✓","Mã CQT|","")&amp;IF(W85="✓","Upload XML|","")&amp;IF(X85="✓","Captcha ảnh|","")&amp;IF(Y85="✓","Captcha dạng tích|","")&amp;IF(Z85="✓","Captcha khác (slider/hình)|","")&amp;IF(AA85="✓","Đăng nhập|","")&amp;IF(AB85="✓","Email/SĐT/OTP|","")="","(không có tham số)",SUBSTITUTE(LEFT(IF(O85="✓","Mã tra cứu|","")&amp;IF(P85="✓","MST người bán|","")&amp;IF(Q85="✓","MST người mua|","")&amp;IF(R85="✓","Mẫu số / Ký hiệu|","")&amp;IF(S85="✓","Số HĐ|","")&amp;IF(T85="✓","Ngày lập|","")&amp;IF(U85="✓","Tổng tiền|","")&amp;IF(V85="✓","Mã CQT|","")&amp;IF(W85="✓","Upload XML|","")&amp;IF(X85="✓","Captcha ảnh|","")&amp;IF(Y85="✓","Captcha dạng tích|","")&amp;IF(Z85="✓","Captcha khác (slider/hình)|","")&amp;IF(AA85="✓","Đăng nhập|","")&amp;IF(AB85="✓","Email/SĐT/OTP|",""),LEN(IF(O85="✓","Mã tra cứu|","")&amp;IF(P85="✓","MST người bán|","")&amp;IF(Q85="✓","MST người mua|","")&amp;IF(R85="✓","Mẫu số / Ký hiệu|","")&amp;IF(S85="✓","Số HĐ|","")&amp;IF(T85="✓","Ngày lập|","")&amp;IF(U85="✓","Tổng tiền|","")&amp;IF(V85="✓","Mã CQT|","")&amp;IF(W85="✓","Upload XML|","")&amp;IF(X85="✓","Captcha ảnh|","")&amp;IF(Y85="✓","Captcha dạng tích|","")&amp;IF(Z85="✓","Captcha khác (slider/hình)|","")&amp;IF(AA85="✓","Đăng nhập|","")&amp;IF(AB85="✓","Email/SĐT/OTP|",""))-1),"|"," + ")))</f>
        <v/>
      </c>
      <c r="I85" s="17" t="n"/>
      <c r="J85" s="17" t="n"/>
      <c r="K85" s="17" t="n"/>
      <c r="L85" s="17" t="n"/>
      <c r="M85" s="37" t="n"/>
      <c r="N85" s="38" t="inlineStr">
        <is>
          <t>OK</t>
        </is>
      </c>
      <c r="O85" s="39" t="inlineStr">
        <is>
          <t>✓</t>
        </is>
      </c>
      <c r="P85" s="39" t="n"/>
      <c r="Q85" s="39" t="n"/>
      <c r="R85" s="39" t="n"/>
      <c r="S85" s="39" t="n"/>
      <c r="T85" s="39" t="n"/>
      <c r="U85" s="39" t="n"/>
      <c r="V85" s="39" t="n"/>
      <c r="W85" s="39" t="n"/>
      <c r="X85" s="39" t="n"/>
      <c r="Y85" s="39" t="n"/>
      <c r="Z85" s="39" t="n"/>
      <c r="AA85" s="39" t="n"/>
      <c r="AB85" s="39" t="n"/>
      <c r="AC85" s="39" t="n">
        <v>1</v>
      </c>
      <c r="AD85" s="16" t="inlineStr">
        <is>
          <t>không có</t>
        </is>
      </c>
      <c r="AE85" s="16" t="inlineStr">
        <is>
          <t>Dropdown loại tra cứu: 'Mã hóa đơn' (mặc định), 'Mã số thuế', 'Token sử dụng Vsign', 'Cty bỏ trốn' (các loại sau là tra thông tin DN/token, không phải tra 1 HĐ)</t>
        </is>
      </c>
      <c r="AF85" s="16" t="inlineStr">
        <is>
          <t>ASP.NET. Ô txtMahoadon 'Mã hóa đơn' + chọn loại.</t>
        </is>
      </c>
      <c r="AG85" s="16" t="inlineStr">
        <is>
          <t>https://ihoadondientu.net/Tracuu.aspx</t>
        </is>
      </c>
      <c r="AH85" s="1" t="n"/>
      <c r="AI85" s="1" t="n"/>
      <c r="AJ85">
        <f>IFERROR(IF(INDEX(WBS2!$I$2:$I$25,MATCH($C85,WBS2!$F$2:$F$25,0))="","",INDEX(WBS2!$I$2:$I$25,MATCH($C85,WBS2!$F$2:$F$25,0))),"")</f>
        <v/>
      </c>
      <c r="AK85">
        <f>IFERROR(IF(INDEX(WBS2!$I$27:$I$162,MATCH($C85,WBS2!$F$27:$F$162,0))="","",INDEX(WBS2!$I$27:$I$162,MATCH($C85,WBS2!$F$27:$F$162,0))),"")</f>
        <v/>
      </c>
      <c r="AL85" s="102">
        <f>IFERROR(IF(OR($AK85="Chưa hoàn thành",$AK85="Sẵn sàng"),INDEX(WBS2!$H$27:$H$162,MATCH($C85,WBS2!$F$27:$F$162,0)),""),"")</f>
        <v/>
      </c>
      <c r="AM85">
        <f>IFERROR(IF(INDEX(WBS2!$J$27:$J$162,MATCH($C85,WBS2!$F$27:$F$162,0))="","",INDEX(WBS2!$J$27:$J$162,MATCH($C85,WBS2!$F$27:$F$162,0))),"")</f>
        <v/>
      </c>
      <c r="AN85">
        <f>IFERROR(IF(INDEX(WBS2!$I$163:$I$298,MATCH($C85,WBS2!$F$163:$F$298,0))="","",INDEX(WBS2!$I$163:$I$298,MATCH($C85,WBS2!$F$163:$F$298,0))),"")</f>
        <v/>
      </c>
      <c r="AO85" s="102">
        <f>IFERROR(IF(OR($AN85="Chưa hoàn thành",$AN85="Sẵn sàng"),INDEX(WBS2!$H$163:$H$298,MATCH($C85,WBS2!$F$163:$F$298,0)),""),"")</f>
        <v/>
      </c>
      <c r="AP85">
        <f>IFERROR(IF(INDEX(WBS2!$J$163:$J$298,MATCH($C85,WBS2!$F$163:$F$298,0))="","",INDEX(WBS2!$J$163:$J$298,MATCH($C85,WBS2!$F$163:$F$298,0))),"")</f>
        <v/>
      </c>
    </row>
    <row r="86" ht="14.25" customHeight="1">
      <c r="A86" s="13" t="n">
        <v>85</v>
      </c>
      <c r="B86" s="27" t="inlineStr">
        <is>
          <t>Công ty TNHH WEBCASH Việt Nam</t>
        </is>
      </c>
      <c r="C86" s="14" t="inlineStr">
        <is>
          <t>1201496252</t>
        </is>
      </c>
      <c r="D86" s="13" t="inlineStr">
        <is>
          <t>LK08-13, Khu phố 3, Phường 6, Thành phố Mỹ Tho, Tỉnh Tiền Giang</t>
        </is>
      </c>
      <c r="E86" s="18" t="inlineStr">
        <is>
          <t xml:space="preserve">https://einvoice.webcashvietnam.com/ </t>
        </is>
      </c>
      <c r="F86" s="20" t="inlineStr">
        <is>
          <t>có captcha</t>
        </is>
      </c>
      <c r="G86" s="66" t="inlineStr">
        <is>
          <t>https://wetax.com.vn/tra-cuu</t>
        </is>
      </c>
      <c r="H86" s="35">
        <f>IF(N86&lt;&gt;"OK","",IF(IF(O86="✓","Mã tra cứu|","")&amp;IF(P86="✓","MST người bán|","")&amp;IF(Q86="✓","MST người mua|","")&amp;IF(R86="✓","Mẫu số / Ký hiệu|","")&amp;IF(S86="✓","Số HĐ|","")&amp;IF(T86="✓","Ngày lập|","")&amp;IF(U86="✓","Tổng tiền|","")&amp;IF(V86="✓","Mã CQT|","")&amp;IF(W86="✓","Upload XML|","")&amp;IF(X86="✓","Captcha ảnh|","")&amp;IF(Y86="✓","Captcha dạng tích|","")&amp;IF(Z86="✓","Captcha khác (slider/hình)|","")&amp;IF(AA86="✓","Đăng nhập|","")&amp;IF(AB86="✓","Email/SĐT/OTP|","")="","(không có tham số)",SUBSTITUTE(LEFT(IF(O86="✓","Mã tra cứu|","")&amp;IF(P86="✓","MST người bán|","")&amp;IF(Q86="✓","MST người mua|","")&amp;IF(R86="✓","Mẫu số / Ký hiệu|","")&amp;IF(S86="✓","Số HĐ|","")&amp;IF(T86="✓","Ngày lập|","")&amp;IF(U86="✓","Tổng tiền|","")&amp;IF(V86="✓","Mã CQT|","")&amp;IF(W86="✓","Upload XML|","")&amp;IF(X86="✓","Captcha ảnh|","")&amp;IF(Y86="✓","Captcha dạng tích|","")&amp;IF(Z86="✓","Captcha khác (slider/hình)|","")&amp;IF(AA86="✓","Đăng nhập|","")&amp;IF(AB86="✓","Email/SĐT/OTP|",""),LEN(IF(O86="✓","Mã tra cứu|","")&amp;IF(P86="✓","MST người bán|","")&amp;IF(Q86="✓","MST người mua|","")&amp;IF(R86="✓","Mẫu số / Ký hiệu|","")&amp;IF(S86="✓","Số HĐ|","")&amp;IF(T86="✓","Ngày lập|","")&amp;IF(U86="✓","Tổng tiền|","")&amp;IF(V86="✓","Mã CQT|","")&amp;IF(W86="✓","Upload XML|","")&amp;IF(X86="✓","Captcha ảnh|","")&amp;IF(Y86="✓","Captcha dạng tích|","")&amp;IF(Z86="✓","Captcha khác (slider/hình)|","")&amp;IF(AA86="✓","Đăng nhập|","")&amp;IF(AB86="✓","Email/SĐT/OTP|",""))-1),"|"," + ")))</f>
        <v/>
      </c>
      <c r="I86" s="20" t="inlineStr">
        <is>
          <t>Xong</t>
        </is>
      </c>
      <c r="J86" s="17" t="n"/>
      <c r="K86" s="67" t="n">
        <v>0</v>
      </c>
      <c r="L86" s="20" t="inlineStr">
        <is>
          <t>g_160x60</t>
        </is>
      </c>
      <c r="M86" s="37" t="n"/>
      <c r="N86" s="38" t="inlineStr">
        <is>
          <t>OK</t>
        </is>
      </c>
      <c r="O86" s="39" t="inlineStr">
        <is>
          <t>✓</t>
        </is>
      </c>
      <c r="P86" s="39" t="n"/>
      <c r="Q86" s="39" t="n"/>
      <c r="R86" s="39" t="n"/>
      <c r="S86" s="39" t="n"/>
      <c r="T86" s="39" t="n"/>
      <c r="U86" s="39" t="n"/>
      <c r="V86" s="39" t="n"/>
      <c r="W86" s="39" t="n"/>
      <c r="X86" s="39" t="inlineStr">
        <is>
          <t>✓</t>
        </is>
      </c>
      <c r="Y86" s="39" t="n"/>
      <c r="Z86" s="39" t="n"/>
      <c r="AA86" s="39" t="n"/>
      <c r="AB86" s="39" t="n"/>
      <c r="AC86" s="39" t="n">
        <v>2</v>
      </c>
      <c r="AD86" s="16" t="inlineStr">
        <is>
          <t>ảnh JPEG base64 160x60 (hiển thị 121x32), ô 'Kiểm tra mã'</t>
        </is>
      </c>
      <c r="AE86" s="16" t="n"/>
      <c r="AF86" s="16" t="inlineStr">
        <is>
          <t>WeTax (Webcash VN). Form: 'Mã tra cứu' + 'Kiểm tra mã' (captcha). Mã tra cứu là mã riêng, không có trong XML (xem CLAUDE.md).</t>
        </is>
      </c>
      <c r="AG86" s="16" t="inlineStr">
        <is>
          <t>https://wetax.com.vn/tra-cuu</t>
        </is>
      </c>
      <c r="AH86" s="1" t="n"/>
      <c r="AI86" s="1" t="n"/>
      <c r="AJ86">
        <f>IFERROR(IF(INDEX(WBS2!$I$2:$I$25,MATCH($C86,WBS2!$F$2:$F$25,0))="","",INDEX(WBS2!$I$2:$I$25,MATCH($C86,WBS2!$F$2:$F$25,0))),"")</f>
        <v/>
      </c>
      <c r="AK86">
        <f>IFERROR(IF(INDEX(WBS2!$I$27:$I$162,MATCH($C86,WBS2!$F$27:$F$162,0))="","",INDEX(WBS2!$I$27:$I$162,MATCH($C86,WBS2!$F$27:$F$162,0))),"")</f>
        <v/>
      </c>
      <c r="AL86" s="102">
        <f>IFERROR(IF(OR($AK86="Chưa hoàn thành",$AK86="Sẵn sàng"),INDEX(WBS2!$H$27:$H$162,MATCH($C86,WBS2!$F$27:$F$162,0)),""),"")</f>
        <v/>
      </c>
      <c r="AM86">
        <f>IFERROR(IF(INDEX(WBS2!$J$27:$J$162,MATCH($C86,WBS2!$F$27:$F$162,0))="","",INDEX(WBS2!$J$27:$J$162,MATCH($C86,WBS2!$F$27:$F$162,0))),"")</f>
        <v/>
      </c>
      <c r="AN86">
        <f>IFERROR(IF(INDEX(WBS2!$I$163:$I$298,MATCH($C86,WBS2!$F$163:$F$298,0))="","",INDEX(WBS2!$I$163:$I$298,MATCH($C86,WBS2!$F$163:$F$298,0))),"")</f>
        <v/>
      </c>
      <c r="AO86" s="102">
        <f>IFERROR(IF(OR($AN86="Chưa hoàn thành",$AN86="Sẵn sàng"),INDEX(WBS2!$H$163:$H$298,MATCH($C86,WBS2!$F$163:$F$298,0)),""),"")</f>
        <v/>
      </c>
      <c r="AP86">
        <f>IFERROR(IF(INDEX(WBS2!$J$163:$J$298,MATCH($C86,WBS2!$F$163:$F$298,0))="","",INDEX(WBS2!$J$163:$J$298,MATCH($C86,WBS2!$F$163:$F$298,0))),"")</f>
        <v/>
      </c>
    </row>
    <row r="87" hidden="1" ht="14.25" customHeight="1">
      <c r="A87" s="13" t="n">
        <v>86</v>
      </c>
      <c r="B87" s="13" t="inlineStr">
        <is>
          <t>Công ty TNHH Phần mềm và Tư vấn Kim Tự Tháp</t>
        </is>
      </c>
      <c r="C87" s="14" t="inlineStr">
        <is>
          <t>0303549303</t>
        </is>
      </c>
      <c r="D87" s="13" t="inlineStr">
        <is>
          <t>5 Hoa Sữa, phường 7, quận Phú Nhuận, thành phố Hồ Chí Minh</t>
        </is>
      </c>
      <c r="E87" s="18" t="inlineStr">
        <is>
          <t>https://e-invoices.vn/</t>
        </is>
      </c>
      <c r="F87" s="20" t="inlineStr">
        <is>
          <t>Không có captcha</t>
        </is>
      </c>
      <c r="G87" s="23" t="inlineStr">
        <is>
          <t>https://e-invoices.vn/User/Search</t>
        </is>
      </c>
      <c r="H87" s="35">
        <f>IF(N87&lt;&gt;"OK","",IF(IF(O87="✓","Mã tra cứu|","")&amp;IF(P87="✓","MST người bán|","")&amp;IF(Q87="✓","MST người mua|","")&amp;IF(R87="✓","Mẫu số / Ký hiệu|","")&amp;IF(S87="✓","Số HĐ|","")&amp;IF(T87="✓","Ngày lập|","")&amp;IF(U87="✓","Tổng tiền|","")&amp;IF(V87="✓","Mã CQT|","")&amp;IF(W87="✓","Upload XML|","")&amp;IF(X87="✓","Captcha ảnh|","")&amp;IF(Y87="✓","Captcha dạng tích|","")&amp;IF(Z87="✓","Captcha khác (slider/hình)|","")&amp;IF(AA87="✓","Đăng nhập|","")&amp;IF(AB87="✓","Email/SĐT/OTP|","")="","(không có tham số)",SUBSTITUTE(LEFT(IF(O87="✓","Mã tra cứu|","")&amp;IF(P87="✓","MST người bán|","")&amp;IF(Q87="✓","MST người mua|","")&amp;IF(R87="✓","Mẫu số / Ký hiệu|","")&amp;IF(S87="✓","Số HĐ|","")&amp;IF(T87="✓","Ngày lập|","")&amp;IF(U87="✓","Tổng tiền|","")&amp;IF(V87="✓","Mã CQT|","")&amp;IF(W87="✓","Upload XML|","")&amp;IF(X87="✓","Captcha ảnh|","")&amp;IF(Y87="✓","Captcha dạng tích|","")&amp;IF(Z87="✓","Captcha khác (slider/hình)|","")&amp;IF(AA87="✓","Đăng nhập|","")&amp;IF(AB87="✓","Email/SĐT/OTP|",""),LEN(IF(O87="✓","Mã tra cứu|","")&amp;IF(P87="✓","MST người bán|","")&amp;IF(Q87="✓","MST người mua|","")&amp;IF(R87="✓","Mẫu số / Ký hiệu|","")&amp;IF(S87="✓","Số HĐ|","")&amp;IF(T87="✓","Ngày lập|","")&amp;IF(U87="✓","Tổng tiền|","")&amp;IF(V87="✓","Mã CQT|","")&amp;IF(W87="✓","Upload XML|","")&amp;IF(X87="✓","Captcha ảnh|","")&amp;IF(Y87="✓","Captcha dạng tích|","")&amp;IF(Z87="✓","Captcha khác (slider/hình)|","")&amp;IF(AA87="✓","Đăng nhập|","")&amp;IF(AB87="✓","Email/SĐT/OTP|",""))-1),"|"," + ")))</f>
        <v/>
      </c>
      <c r="I87" s="17" t="n"/>
      <c r="J87" s="17" t="n"/>
      <c r="K87" s="17" t="n"/>
      <c r="L87" s="17" t="n"/>
      <c r="M87" s="37" t="n"/>
      <c r="N87" s="38" t="inlineStr">
        <is>
          <t>OK</t>
        </is>
      </c>
      <c r="O87" s="39" t="inlineStr">
        <is>
          <t>✓</t>
        </is>
      </c>
      <c r="P87" s="39" t="n"/>
      <c r="Q87" s="39" t="n"/>
      <c r="R87" s="39" t="n"/>
      <c r="S87" s="39" t="n"/>
      <c r="T87" s="39" t="n"/>
      <c r="U87" s="39" t="n"/>
      <c r="V87" s="39" t="n"/>
      <c r="W87" s="39" t="n"/>
      <c r="X87" s="39" t="n"/>
      <c r="Y87" s="39" t="n"/>
      <c r="Z87" s="39" t="n"/>
      <c r="AA87" s="39" t="n"/>
      <c r="AB87" s="39" t="n"/>
      <c r="AC87" s="39" t="n">
        <v>1</v>
      </c>
      <c r="AD87" s="16" t="inlineStr">
        <is>
          <t>không có</t>
        </is>
      </c>
      <c r="AE87" s="16" t="inlineStr">
        <is>
          <t>Sign in (tài khoản) để vào workspace</t>
        </is>
      </c>
      <c r="AF87" s="16" t="inlineStr">
        <is>
          <t>PSCForm (Kim Tự Tháp). Chỉ 1 ô 'Secret code' (bắt buộc). Giao diện EN/VI.</t>
        </is>
      </c>
      <c r="AG87" s="16" t="inlineStr">
        <is>
          <t>https://e-invoices.vn/User/Search</t>
        </is>
      </c>
      <c r="AH87" s="1" t="n"/>
      <c r="AI87" s="1" t="n"/>
      <c r="AJ87">
        <f>IFERROR(IF(INDEX(WBS2!$I$2:$I$25,MATCH($C87,WBS2!$F$2:$F$25,0))="","",INDEX(WBS2!$I$2:$I$25,MATCH($C87,WBS2!$F$2:$F$25,0))),"")</f>
        <v/>
      </c>
      <c r="AK87">
        <f>IFERROR(IF(INDEX(WBS2!$I$27:$I$162,MATCH($C87,WBS2!$F$27:$F$162,0))="","",INDEX(WBS2!$I$27:$I$162,MATCH($C87,WBS2!$F$27:$F$162,0))),"")</f>
        <v/>
      </c>
      <c r="AL87" s="102">
        <f>IFERROR(IF(OR($AK87="Chưa hoàn thành",$AK87="Sẵn sàng"),INDEX(WBS2!$H$27:$H$162,MATCH($C87,WBS2!$F$27:$F$162,0)),""),"")</f>
        <v/>
      </c>
      <c r="AM87">
        <f>IFERROR(IF(INDEX(WBS2!$J$27:$J$162,MATCH($C87,WBS2!$F$27:$F$162,0))="","",INDEX(WBS2!$J$27:$J$162,MATCH($C87,WBS2!$F$27:$F$162,0))),"")</f>
        <v/>
      </c>
      <c r="AN87">
        <f>IFERROR(IF(INDEX(WBS2!$I$163:$I$298,MATCH($C87,WBS2!$F$163:$F$298,0))="","",INDEX(WBS2!$I$163:$I$298,MATCH($C87,WBS2!$F$163:$F$298,0))),"")</f>
        <v/>
      </c>
      <c r="AO87" s="102">
        <f>IFERROR(IF(OR($AN87="Chưa hoàn thành",$AN87="Sẵn sàng"),INDEX(WBS2!$H$163:$H$298,MATCH($C87,WBS2!$F$163:$F$298,0)),""),"")</f>
        <v/>
      </c>
      <c r="AP87">
        <f>IFERROR(IF(INDEX(WBS2!$J$163:$J$298,MATCH($C87,WBS2!$F$163:$F$298,0))="","",INDEX(WBS2!$J$163:$J$298,MATCH($C87,WBS2!$F$163:$F$298,0))),"")</f>
        <v/>
      </c>
    </row>
    <row r="88" hidden="1" ht="14.25" customHeight="1">
      <c r="A88" s="13" t="n">
        <v>87</v>
      </c>
      <c r="B88" s="13" t="inlineStr">
        <is>
          <t>Công ty TNHH Phần mềm BRB</t>
        </is>
      </c>
      <c r="C88" s="14" t="inlineStr">
        <is>
          <t>0311914694</t>
        </is>
      </c>
      <c r="D88" s="13" t="inlineStr">
        <is>
          <t>Tầng 4, 97-101 Nguyễn Công Trứ, phường Nguyễn Thái Bình, quận 1, Thành phố Hồ Chí Minh</t>
        </is>
      </c>
      <c r="E88" s="18" t="inlineStr">
        <is>
          <t>http://brightbrain.vn/hoa-don-dien-tu/</t>
        </is>
      </c>
      <c r="F88" s="20" t="inlineStr">
        <is>
          <t>không có thông tin</t>
        </is>
      </c>
      <c r="G88" s="20" t="n"/>
      <c r="H88" s="35">
        <f>IF(N88&lt;&gt;"OK","",IF(IF(O88="✓","Mã tra cứu|","")&amp;IF(P88="✓","MST người bán|","")&amp;IF(Q88="✓","MST người mua|","")&amp;IF(R88="✓","Mẫu số / Ký hiệu|","")&amp;IF(S88="✓","Số HĐ|","")&amp;IF(T88="✓","Ngày lập|","")&amp;IF(U88="✓","Tổng tiền|","")&amp;IF(V88="✓","Mã CQT|","")&amp;IF(W88="✓","Upload XML|","")&amp;IF(X88="✓","Captcha ảnh|","")&amp;IF(Y88="✓","Captcha dạng tích|","")&amp;IF(Z88="✓","Captcha khác (slider/hình)|","")&amp;IF(AA88="✓","Đăng nhập|","")&amp;IF(AB88="✓","Email/SĐT/OTP|","")="","(không có tham số)",SUBSTITUTE(LEFT(IF(O88="✓","Mã tra cứu|","")&amp;IF(P88="✓","MST người bán|","")&amp;IF(Q88="✓","MST người mua|","")&amp;IF(R88="✓","Mẫu số / Ký hiệu|","")&amp;IF(S88="✓","Số HĐ|","")&amp;IF(T88="✓","Ngày lập|","")&amp;IF(U88="✓","Tổng tiền|","")&amp;IF(V88="✓","Mã CQT|","")&amp;IF(W88="✓","Upload XML|","")&amp;IF(X88="✓","Captcha ảnh|","")&amp;IF(Y88="✓","Captcha dạng tích|","")&amp;IF(Z88="✓","Captcha khác (slider/hình)|","")&amp;IF(AA88="✓","Đăng nhập|","")&amp;IF(AB88="✓","Email/SĐT/OTP|",""),LEN(IF(O88="✓","Mã tra cứu|","")&amp;IF(P88="✓","MST người bán|","")&amp;IF(Q88="✓","MST người mua|","")&amp;IF(R88="✓","Mẫu số / Ký hiệu|","")&amp;IF(S88="✓","Số HĐ|","")&amp;IF(T88="✓","Ngày lập|","")&amp;IF(U88="✓","Tổng tiền|","")&amp;IF(V88="✓","Mã CQT|","")&amp;IF(W88="✓","Upload XML|","")&amp;IF(X88="✓","Captcha ảnh|","")&amp;IF(Y88="✓","Captcha dạng tích|","")&amp;IF(Z88="✓","Captcha khác (slider/hình)|","")&amp;IF(AA88="✓","Đăng nhập|","")&amp;IF(AB88="✓","Email/SĐT/OTP|",""))-1),"|"," + ")))</f>
        <v/>
      </c>
      <c r="I88" s="17" t="n"/>
      <c r="J88" s="17" t="n"/>
      <c r="K88" s="17" t="n"/>
      <c r="L88" s="17" t="n"/>
      <c r="M88" s="37" t="n"/>
      <c r="N88" s="38" t="n"/>
      <c r="O88" s="37" t="n"/>
      <c r="P88" s="37" t="n"/>
      <c r="Q88" s="37" t="n"/>
      <c r="R88" s="37" t="n"/>
      <c r="S88" s="37" t="n"/>
      <c r="T88" s="37" t="n"/>
      <c r="U88" s="37" t="n"/>
      <c r="V88" s="37" t="n"/>
      <c r="W88" s="37" t="n"/>
      <c r="X88" s="37" t="n"/>
      <c r="Y88" s="37" t="n"/>
      <c r="Z88" s="37" t="n"/>
      <c r="AA88" s="37" t="n"/>
      <c r="AB88" s="37" t="n"/>
      <c r="AC88" s="37" t="n"/>
      <c r="AD88" s="37" t="n"/>
      <c r="AE88" s="37" t="n"/>
      <c r="AF88" s="37" t="n"/>
      <c r="AG88" s="37" t="n"/>
      <c r="AH88" s="1" t="n"/>
      <c r="AI88" s="1" t="n"/>
      <c r="AJ88">
        <f>IFERROR(IF(INDEX(WBS2!$I$2:$I$25,MATCH($C88,WBS2!$F$2:$F$25,0))="","",INDEX(WBS2!$I$2:$I$25,MATCH($C88,WBS2!$F$2:$F$25,0))),"")</f>
        <v/>
      </c>
      <c r="AK88">
        <f>IFERROR(IF(INDEX(WBS2!$I$27:$I$162,MATCH($C88,WBS2!$F$27:$F$162,0))="","",INDEX(WBS2!$I$27:$I$162,MATCH($C88,WBS2!$F$27:$F$162,0))),"")</f>
        <v/>
      </c>
      <c r="AL88" s="102">
        <f>IFERROR(IF(OR($AK88="Chưa hoàn thành",$AK88="Sẵn sàng"),INDEX(WBS2!$H$27:$H$162,MATCH($C88,WBS2!$F$27:$F$162,0)),""),"")</f>
        <v/>
      </c>
      <c r="AM88">
        <f>IFERROR(IF(INDEX(WBS2!$J$27:$J$162,MATCH($C88,WBS2!$F$27:$F$162,0))="","",INDEX(WBS2!$J$27:$J$162,MATCH($C88,WBS2!$F$27:$F$162,0))),"")</f>
        <v/>
      </c>
      <c r="AN88">
        <f>IFERROR(IF(INDEX(WBS2!$I$163:$I$298,MATCH($C88,WBS2!$F$163:$F$298,0))="","",INDEX(WBS2!$I$163:$I$298,MATCH($C88,WBS2!$F$163:$F$298,0))),"")</f>
        <v/>
      </c>
      <c r="AO88" s="102">
        <f>IFERROR(IF(OR($AN88="Chưa hoàn thành",$AN88="Sẵn sàng"),INDEX(WBS2!$H$163:$H$298,MATCH($C88,WBS2!$F$163:$F$298,0)),""),"")</f>
        <v/>
      </c>
      <c r="AP88">
        <f>IFERROR(IF(INDEX(WBS2!$J$163:$J$298,MATCH($C88,WBS2!$F$163:$F$298,0))="","",INDEX(WBS2!$J$163:$J$298,MATCH($C88,WBS2!$F$163:$F$298,0))),"")</f>
        <v/>
      </c>
    </row>
    <row r="89" ht="14.25" customHeight="1">
      <c r="A89" s="13" t="n">
        <v>88</v>
      </c>
      <c r="B89" s="13" t="inlineStr">
        <is>
          <t>Công ty TNHH Nhóm Mây</t>
        </is>
      </c>
      <c r="C89" s="14" t="inlineStr">
        <is>
          <t>0312617990</t>
        </is>
      </c>
      <c r="D89" s="13" t="inlineStr">
        <is>
          <t>Số 50 đường số 34, phường An Phú, Thành phố Thủ Đức, Thành phố Hồ Chí Minh</t>
        </is>
      </c>
      <c r="E89" s="18" t="inlineStr">
        <is>
          <t>https://www.cloudteam.vn</t>
        </is>
      </c>
      <c r="F89" s="20" t="inlineStr">
        <is>
          <t>có captcha</t>
        </is>
      </c>
      <c r="G89" s="78" t="inlineStr">
        <is>
          <t>https://chanel-eportal.cloudteam.vn/</t>
        </is>
      </c>
      <c r="H89" s="35">
        <f>IF(N89&lt;&gt;"OK","",IF(IF(O89="✓","Mã tra cứu|","")&amp;IF(P89="✓","MST người bán|","")&amp;IF(Q89="✓","MST người mua|","")&amp;IF(R89="✓","Mẫu số / Ký hiệu|","")&amp;IF(S89="✓","Số HĐ|","")&amp;IF(T89="✓","Ngày lập|","")&amp;IF(U89="✓","Tổng tiền|","")&amp;IF(V89="✓","Mã CQT|","")&amp;IF(W89="✓","Upload XML|","")&amp;IF(X89="✓","Captcha ảnh|","")&amp;IF(Y89="✓","Captcha dạng tích|","")&amp;IF(Z89="✓","Captcha khác (slider/hình)|","")&amp;IF(AA89="✓","Đăng nhập|","")&amp;IF(AB89="✓","Email/SĐT/OTP|","")="","(không có tham số)",SUBSTITUTE(LEFT(IF(O89="✓","Mã tra cứu|","")&amp;IF(P89="✓","MST người bán|","")&amp;IF(Q89="✓","MST người mua|","")&amp;IF(R89="✓","Mẫu số / Ký hiệu|","")&amp;IF(S89="✓","Số HĐ|","")&amp;IF(T89="✓","Ngày lập|","")&amp;IF(U89="✓","Tổng tiền|","")&amp;IF(V89="✓","Mã CQT|","")&amp;IF(W89="✓","Upload XML|","")&amp;IF(X89="✓","Captcha ảnh|","")&amp;IF(Y89="✓","Captcha dạng tích|","")&amp;IF(Z89="✓","Captcha khác (slider/hình)|","")&amp;IF(AA89="✓","Đăng nhập|","")&amp;IF(AB89="✓","Email/SĐT/OTP|",""),LEN(IF(O89="✓","Mã tra cứu|","")&amp;IF(P89="✓","MST người bán|","")&amp;IF(Q89="✓","MST người mua|","")&amp;IF(R89="✓","Mẫu số / Ký hiệu|","")&amp;IF(S89="✓","Số HĐ|","")&amp;IF(T89="✓","Ngày lập|","")&amp;IF(U89="✓","Tổng tiền|","")&amp;IF(V89="✓","Mã CQT|","")&amp;IF(W89="✓","Upload XML|","")&amp;IF(X89="✓","Captcha ảnh|","")&amp;IF(Y89="✓","Captcha dạng tích|","")&amp;IF(Z89="✓","Captcha khác (slider/hình)|","")&amp;IF(AA89="✓","Đăng nhập|","")&amp;IF(AB89="✓","Email/SĐT/OTP|",""))-1),"|"," + ")))</f>
        <v/>
      </c>
      <c r="I89" s="20" t="inlineStr">
        <is>
          <t>Xong</t>
        </is>
      </c>
      <c r="J89" s="17" t="n"/>
      <c r="K89" s="60" t="n">
        <v>0.8741</v>
      </c>
      <c r="L89" s="20" t="inlineStr">
        <is>
          <t>g_120x40</t>
        </is>
      </c>
      <c r="M89" s="37" t="n"/>
      <c r="N89" s="38" t="inlineStr">
        <is>
          <t>OK</t>
        </is>
      </c>
      <c r="O89" s="39" t="inlineStr">
        <is>
          <t>✓</t>
        </is>
      </c>
      <c r="P89" s="39" t="n"/>
      <c r="Q89" s="39" t="n"/>
      <c r="R89" s="39" t="n"/>
      <c r="S89" s="39" t="n"/>
      <c r="T89" s="39" t="n"/>
      <c r="U89" s="39" t="n"/>
      <c r="V89" s="39" t="n"/>
      <c r="W89" s="39" t="n"/>
      <c r="X89" s="39" t="inlineStr">
        <is>
          <t>✓</t>
        </is>
      </c>
      <c r="Y89" s="39" t="n"/>
      <c r="Z89" s="39" t="n"/>
      <c r="AA89" s="39" t="n"/>
      <c r="AB89" s="39" t="n"/>
      <c r="AC89" s="39" t="n">
        <v>2</v>
      </c>
      <c r="AD89" s="16" t="inlineStr">
        <is>
          <t>ảnh 120x40 (/captcha/flat?&lt;rand&gt;)</t>
        </is>
      </c>
      <c r="AE89" s="16" t="inlineStr">
        <is>
          <t>Tab 'Xác thực XML': upload file XML + mã kiểm tra (captcha ảnh)</t>
        </is>
      </c>
      <c r="AF89" s="16" t="inlineStr">
        <is>
          <t>Cổng riêng của Chanel Vietnam trên nền Cloudteam. Tab mặc định 'Tìm hóa đơn': 'Mã tra cứu hóa đơn' + 'Mã kiểm tra'.</t>
        </is>
      </c>
      <c r="AG89" s="16" t="inlineStr">
        <is>
          <t>https://chanel-eportal.cloudteam.vn/</t>
        </is>
      </c>
      <c r="AH89" s="1" t="n"/>
      <c r="AI89" s="1" t="n"/>
      <c r="AJ89">
        <f>IFERROR(IF(INDEX(WBS2!$I$2:$I$25,MATCH($C89,WBS2!$F$2:$F$25,0))="","",INDEX(WBS2!$I$2:$I$25,MATCH($C89,WBS2!$F$2:$F$25,0))),"")</f>
        <v/>
      </c>
      <c r="AK89">
        <f>IFERROR(IF(INDEX(WBS2!$I$27:$I$162,MATCH($C89,WBS2!$F$27:$F$162,0))="","",INDEX(WBS2!$I$27:$I$162,MATCH($C89,WBS2!$F$27:$F$162,0))),"")</f>
        <v/>
      </c>
      <c r="AL89" s="102">
        <f>IFERROR(IF(OR($AK89="Chưa hoàn thành",$AK89="Sẵn sàng"),INDEX(WBS2!$H$27:$H$162,MATCH($C89,WBS2!$F$27:$F$162,0)),""),"")</f>
        <v/>
      </c>
      <c r="AM89">
        <f>IFERROR(IF(INDEX(WBS2!$J$27:$J$162,MATCH($C89,WBS2!$F$27:$F$162,0))="","",INDEX(WBS2!$J$27:$J$162,MATCH($C89,WBS2!$F$27:$F$162,0))),"")</f>
        <v/>
      </c>
      <c r="AN89">
        <f>IFERROR(IF(INDEX(WBS2!$I$163:$I$298,MATCH($C89,WBS2!$F$163:$F$298,0))="","",INDEX(WBS2!$I$163:$I$298,MATCH($C89,WBS2!$F$163:$F$298,0))),"")</f>
        <v/>
      </c>
      <c r="AO89" s="102">
        <f>IFERROR(IF(OR($AN89="Chưa hoàn thành",$AN89="Sẵn sàng"),INDEX(WBS2!$H$163:$H$298,MATCH($C89,WBS2!$F$163:$F$298,0)),""),"")</f>
        <v/>
      </c>
      <c r="AP89">
        <f>IFERROR(IF(INDEX(WBS2!$J$163:$J$298,MATCH($C89,WBS2!$F$163:$F$298,0))="","",INDEX(WBS2!$J$163:$J$298,MATCH($C89,WBS2!$F$163:$F$298,0))),"")</f>
        <v/>
      </c>
    </row>
    <row r="90" hidden="1" ht="14.25" customHeight="1">
      <c r="A90" s="13" t="n">
        <v>89</v>
      </c>
      <c r="B90" s="13" t="inlineStr">
        <is>
          <t>Công ty Cổ phần Hóa đơn điện tử VININVOICE</t>
        </is>
      </c>
      <c r="C90" s="14" t="inlineStr">
        <is>
          <t>0109282176</t>
        </is>
      </c>
      <c r="D90" s="13" t="inlineStr">
        <is>
          <t>Số 10 ngõ 123/47, Thụy Phương, Bắc Từ Liêm, Thành phố Hà Nội</t>
        </is>
      </c>
      <c r="E90" s="18" t="inlineStr">
        <is>
          <t>https://vininvoice.vn</t>
        </is>
      </c>
      <c r="F90" s="20" t="inlineStr">
        <is>
          <t>Không có captcha</t>
        </is>
      </c>
      <c r="G90" s="23" t="inlineStr">
        <is>
          <t>https://tracuu.vininvoice.vn/#/</t>
        </is>
      </c>
      <c r="H90" s="35">
        <f>IF(N90&lt;&gt;"OK","",IF(IF(O90="✓","Mã tra cứu|","")&amp;IF(P90="✓","MST người bán|","")&amp;IF(Q90="✓","MST người mua|","")&amp;IF(R90="✓","Mẫu số / Ký hiệu|","")&amp;IF(S90="✓","Số HĐ|","")&amp;IF(T90="✓","Ngày lập|","")&amp;IF(U90="✓","Tổng tiền|","")&amp;IF(V90="✓","Mã CQT|","")&amp;IF(W90="✓","Upload XML|","")&amp;IF(X90="✓","Captcha ảnh|","")&amp;IF(Y90="✓","Captcha dạng tích|","")&amp;IF(Z90="✓","Captcha khác (slider/hình)|","")&amp;IF(AA90="✓","Đăng nhập|","")&amp;IF(AB90="✓","Email/SĐT/OTP|","")="","(không có tham số)",SUBSTITUTE(LEFT(IF(O90="✓","Mã tra cứu|","")&amp;IF(P90="✓","MST người bán|","")&amp;IF(Q90="✓","MST người mua|","")&amp;IF(R90="✓","Mẫu số / Ký hiệu|","")&amp;IF(S90="✓","Số HĐ|","")&amp;IF(T90="✓","Ngày lập|","")&amp;IF(U90="✓","Tổng tiền|","")&amp;IF(V90="✓","Mã CQT|","")&amp;IF(W90="✓","Upload XML|","")&amp;IF(X90="✓","Captcha ảnh|","")&amp;IF(Y90="✓","Captcha dạng tích|","")&amp;IF(Z90="✓","Captcha khác (slider/hình)|","")&amp;IF(AA90="✓","Đăng nhập|","")&amp;IF(AB90="✓","Email/SĐT/OTP|",""),LEN(IF(O90="✓","Mã tra cứu|","")&amp;IF(P90="✓","MST người bán|","")&amp;IF(Q90="✓","MST người mua|","")&amp;IF(R90="✓","Mẫu số / Ký hiệu|","")&amp;IF(S90="✓","Số HĐ|","")&amp;IF(T90="✓","Ngày lập|","")&amp;IF(U90="✓","Tổng tiền|","")&amp;IF(V90="✓","Mã CQT|","")&amp;IF(W90="✓","Upload XML|","")&amp;IF(X90="✓","Captcha ảnh|","")&amp;IF(Y90="✓","Captcha dạng tích|","")&amp;IF(Z90="✓","Captcha khác (slider/hình)|","")&amp;IF(AA90="✓","Đăng nhập|","")&amp;IF(AB90="✓","Email/SĐT/OTP|",""))-1),"|"," + ")))</f>
        <v/>
      </c>
      <c r="I90" s="17" t="n"/>
      <c r="J90" s="17" t="n"/>
      <c r="K90" s="17" t="n"/>
      <c r="L90" s="17" t="n"/>
      <c r="M90" s="37" t="n"/>
      <c r="N90" s="38" t="inlineStr">
        <is>
          <t>OK</t>
        </is>
      </c>
      <c r="O90" s="39" t="inlineStr">
        <is>
          <t>✓</t>
        </is>
      </c>
      <c r="P90" s="39" t="n"/>
      <c r="Q90" s="39" t="n"/>
      <c r="R90" s="39" t="n"/>
      <c r="S90" s="39" t="n"/>
      <c r="T90" s="39" t="n"/>
      <c r="U90" s="39" t="n"/>
      <c r="V90" s="39" t="n"/>
      <c r="W90" s="39" t="n"/>
      <c r="X90" s="39" t="n"/>
      <c r="Y90" s="39" t="n"/>
      <c r="Z90" s="39" t="n"/>
      <c r="AA90" s="39" t="n"/>
      <c r="AB90" s="39" t="n"/>
      <c r="AC90" s="39" t="n">
        <v>1</v>
      </c>
      <c r="AD90" s="16" t="inlineStr">
        <is>
          <t>không có</t>
        </is>
      </c>
      <c r="AE90" s="16" t="n"/>
      <c r="AF90" s="16" t="inlineStr">
        <is>
          <t>SPA (hash route), cùng giao diện/nền tảng với tracuu.myinvoice.vn. Chỉ 1 ô 'Nhập mã tra cứu'.</t>
        </is>
      </c>
      <c r="AG90" s="16" t="inlineStr">
        <is>
          <t>https://tracuu.vininvoice.vn/#/</t>
        </is>
      </c>
      <c r="AH90" s="1" t="n"/>
      <c r="AI90" s="1" t="n"/>
      <c r="AJ90">
        <f>IFERROR(IF(INDEX(WBS2!$I$2:$I$25,MATCH($C90,WBS2!$F$2:$F$25,0))="","",INDEX(WBS2!$I$2:$I$25,MATCH($C90,WBS2!$F$2:$F$25,0))),"")</f>
        <v/>
      </c>
      <c r="AK90">
        <f>IFERROR(IF(INDEX(WBS2!$I$27:$I$162,MATCH($C90,WBS2!$F$27:$F$162,0))="","",INDEX(WBS2!$I$27:$I$162,MATCH($C90,WBS2!$F$27:$F$162,0))),"")</f>
        <v/>
      </c>
      <c r="AL90" s="102">
        <f>IFERROR(IF(OR($AK90="Chưa hoàn thành",$AK90="Sẵn sàng"),INDEX(WBS2!$H$27:$H$162,MATCH($C90,WBS2!$F$27:$F$162,0)),""),"")</f>
        <v/>
      </c>
      <c r="AM90">
        <f>IFERROR(IF(INDEX(WBS2!$J$27:$J$162,MATCH($C90,WBS2!$F$27:$F$162,0))="","",INDEX(WBS2!$J$27:$J$162,MATCH($C90,WBS2!$F$27:$F$162,0))),"")</f>
        <v/>
      </c>
      <c r="AN90">
        <f>IFERROR(IF(INDEX(WBS2!$I$163:$I$298,MATCH($C90,WBS2!$F$163:$F$298,0))="","",INDEX(WBS2!$I$163:$I$298,MATCH($C90,WBS2!$F$163:$F$298,0))),"")</f>
        <v/>
      </c>
      <c r="AO90" s="102">
        <f>IFERROR(IF(OR($AN90="Chưa hoàn thành",$AN90="Sẵn sàng"),INDEX(WBS2!$H$163:$H$298,MATCH($C90,WBS2!$F$163:$F$298,0)),""),"")</f>
        <v/>
      </c>
      <c r="AP90">
        <f>IFERROR(IF(INDEX(WBS2!$J$163:$J$298,MATCH($C90,WBS2!$F$163:$F$298,0))="","",INDEX(WBS2!$J$163:$J$298,MATCH($C90,WBS2!$F$163:$F$298,0))),"")</f>
        <v/>
      </c>
    </row>
    <row r="91" hidden="1" ht="14.25" customHeight="1">
      <c r="A91" s="13" t="n">
        <v>90</v>
      </c>
      <c r="B91" s="13" t="inlineStr">
        <is>
          <t>Trung tâm Tin học và Công nghệ số</t>
        </is>
      </c>
      <c r="C91" s="14" t="inlineStr">
        <is>
          <t>0102723181</t>
        </is>
      </c>
      <c r="D91" s="13" t="inlineStr">
        <is>
          <t>Số 25 Ngô Quyền, phường Tràng Tiền, quận Hoàn Kiếm, Tp Hà Nội</t>
        </is>
      </c>
      <c r="E91" s="18" t="inlineStr">
        <is>
          <t xml:space="preserve">http://hoadonct.gov.vn   </t>
        </is>
      </c>
      <c r="F91" s="20" t="n"/>
      <c r="G91" s="20" t="n"/>
      <c r="H91" s="35">
        <f>IF(N91&lt;&gt;"OK","",IF(IF(O91="✓","Mã tra cứu|","")&amp;IF(P91="✓","MST người bán|","")&amp;IF(Q91="✓","MST người mua|","")&amp;IF(R91="✓","Mẫu số / Ký hiệu|","")&amp;IF(S91="✓","Số HĐ|","")&amp;IF(T91="✓","Ngày lập|","")&amp;IF(U91="✓","Tổng tiền|","")&amp;IF(V91="✓","Mã CQT|","")&amp;IF(W91="✓","Upload XML|","")&amp;IF(X91="✓","Captcha ảnh|","")&amp;IF(Y91="✓","Captcha dạng tích|","")&amp;IF(Z91="✓","Captcha khác (slider/hình)|","")&amp;IF(AA91="✓","Đăng nhập|","")&amp;IF(AB91="✓","Email/SĐT/OTP|","")="","(không có tham số)",SUBSTITUTE(LEFT(IF(O91="✓","Mã tra cứu|","")&amp;IF(P91="✓","MST người bán|","")&amp;IF(Q91="✓","MST người mua|","")&amp;IF(R91="✓","Mẫu số / Ký hiệu|","")&amp;IF(S91="✓","Số HĐ|","")&amp;IF(T91="✓","Ngày lập|","")&amp;IF(U91="✓","Tổng tiền|","")&amp;IF(V91="✓","Mã CQT|","")&amp;IF(W91="✓","Upload XML|","")&amp;IF(X91="✓","Captcha ảnh|","")&amp;IF(Y91="✓","Captcha dạng tích|","")&amp;IF(Z91="✓","Captcha khác (slider/hình)|","")&amp;IF(AA91="✓","Đăng nhập|","")&amp;IF(AB91="✓","Email/SĐT/OTP|",""),LEN(IF(O91="✓","Mã tra cứu|","")&amp;IF(P91="✓","MST người bán|","")&amp;IF(Q91="✓","MST người mua|","")&amp;IF(R91="✓","Mẫu số / Ký hiệu|","")&amp;IF(S91="✓","Số HĐ|","")&amp;IF(T91="✓","Ngày lập|","")&amp;IF(U91="✓","Tổng tiền|","")&amp;IF(V91="✓","Mã CQT|","")&amp;IF(W91="✓","Upload XML|","")&amp;IF(X91="✓","Captcha ảnh|","")&amp;IF(Y91="✓","Captcha dạng tích|","")&amp;IF(Z91="✓","Captcha khác (slider/hình)|","")&amp;IF(AA91="✓","Đăng nhập|","")&amp;IF(AB91="✓","Email/SĐT/OTP|",""))-1),"|"," + ")))</f>
        <v/>
      </c>
      <c r="I91" s="17" t="n"/>
      <c r="J91" s="17" t="n"/>
      <c r="K91" s="17" t="n"/>
      <c r="L91" s="17" t="n"/>
      <c r="M91" s="37" t="n"/>
      <c r="N91" s="38" t="n"/>
      <c r="O91" s="37" t="n"/>
      <c r="P91" s="37" t="n"/>
      <c r="Q91" s="37" t="n"/>
      <c r="R91" s="37" t="n"/>
      <c r="S91" s="37" t="n"/>
      <c r="T91" s="37" t="n"/>
      <c r="U91" s="37" t="n"/>
      <c r="V91" s="37" t="n"/>
      <c r="W91" s="37" t="n"/>
      <c r="X91" s="37" t="n"/>
      <c r="Y91" s="37" t="n"/>
      <c r="Z91" s="37" t="n"/>
      <c r="AA91" s="37" t="n"/>
      <c r="AB91" s="37" t="n"/>
      <c r="AC91" s="37" t="n"/>
      <c r="AD91" s="37" t="n"/>
      <c r="AE91" s="37" t="n"/>
      <c r="AF91" s="37" t="n"/>
      <c r="AG91" s="37" t="n"/>
      <c r="AH91" s="1" t="n"/>
      <c r="AI91" s="1" t="n"/>
      <c r="AJ91">
        <f>IFERROR(IF(INDEX(WBS2!$I$2:$I$25,MATCH($C91,WBS2!$F$2:$F$25,0))="","",INDEX(WBS2!$I$2:$I$25,MATCH($C91,WBS2!$F$2:$F$25,0))),"")</f>
        <v/>
      </c>
      <c r="AK91">
        <f>IFERROR(IF(INDEX(WBS2!$I$27:$I$162,MATCH($C91,WBS2!$F$27:$F$162,0))="","",INDEX(WBS2!$I$27:$I$162,MATCH($C91,WBS2!$F$27:$F$162,0))),"")</f>
        <v/>
      </c>
      <c r="AL91" s="102">
        <f>IFERROR(IF(OR($AK91="Chưa hoàn thành",$AK91="Sẵn sàng"),INDEX(WBS2!$H$27:$H$162,MATCH($C91,WBS2!$F$27:$F$162,0)),""),"")</f>
        <v/>
      </c>
      <c r="AM91">
        <f>IFERROR(IF(INDEX(WBS2!$J$27:$J$162,MATCH($C91,WBS2!$F$27:$F$162,0))="","",INDEX(WBS2!$J$27:$J$162,MATCH($C91,WBS2!$F$27:$F$162,0))),"")</f>
        <v/>
      </c>
      <c r="AN91">
        <f>IFERROR(IF(INDEX(WBS2!$I$163:$I$298,MATCH($C91,WBS2!$F$163:$F$298,0))="","",INDEX(WBS2!$I$163:$I$298,MATCH($C91,WBS2!$F$163:$F$298,0))),"")</f>
        <v/>
      </c>
      <c r="AO91" s="102">
        <f>IFERROR(IF(OR($AN91="Chưa hoàn thành",$AN91="Sẵn sàng"),INDEX(WBS2!$H$163:$H$298,MATCH($C91,WBS2!$F$163:$F$298,0)),""),"")</f>
        <v/>
      </c>
      <c r="AP91">
        <f>IFERROR(IF(INDEX(WBS2!$J$163:$J$298,MATCH($C91,WBS2!$F$163:$F$298,0))="","",INDEX(WBS2!$J$163:$J$298,MATCH($C91,WBS2!$F$163:$F$298,0))),"")</f>
        <v/>
      </c>
    </row>
    <row r="92" hidden="1" ht="14.25" customHeight="1">
      <c r="A92" s="13" t="n">
        <v>91</v>
      </c>
      <c r="B92" s="13" t="inlineStr">
        <is>
          <t>Công ty Cổ phần VETC</t>
        </is>
      </c>
      <c r="C92" s="14" t="inlineStr">
        <is>
          <t>0106858609</t>
        </is>
      </c>
      <c r="D92" s="13" t="inlineStr">
        <is>
          <t>Số 167 phố Trung Kính, phường Yên Hòa, quận Cầu Giấy, thành phố Hà Nội</t>
        </is>
      </c>
      <c r="E92" s="18" t="inlineStr">
        <is>
          <t>https://vetc.com.vn</t>
        </is>
      </c>
      <c r="F92" s="20" t="inlineStr">
        <is>
          <t>Không có captcha</t>
        </is>
      </c>
      <c r="G92" s="23" t="inlineStr">
        <is>
          <t>https://tracuuhoadon.vetc.com.vn/</t>
        </is>
      </c>
      <c r="H92" s="35">
        <f>IF(N92&lt;&gt;"OK","",IF(IF(O92="✓","Mã tra cứu|","")&amp;IF(P92="✓","MST người bán|","")&amp;IF(Q92="✓","MST người mua|","")&amp;IF(R92="✓","Mẫu số / Ký hiệu|","")&amp;IF(S92="✓","Số HĐ|","")&amp;IF(T92="✓","Ngày lập|","")&amp;IF(U92="✓","Tổng tiền|","")&amp;IF(V92="✓","Mã CQT|","")&amp;IF(W92="✓","Upload XML|","")&amp;IF(X92="✓","Captcha ảnh|","")&amp;IF(Y92="✓","Captcha dạng tích|","")&amp;IF(Z92="✓","Captcha khác (slider/hình)|","")&amp;IF(AA92="✓","Đăng nhập|","")&amp;IF(AB92="✓","Email/SĐT/OTP|","")="","(không có tham số)",SUBSTITUTE(LEFT(IF(O92="✓","Mã tra cứu|","")&amp;IF(P92="✓","MST người bán|","")&amp;IF(Q92="✓","MST người mua|","")&amp;IF(R92="✓","Mẫu số / Ký hiệu|","")&amp;IF(S92="✓","Số HĐ|","")&amp;IF(T92="✓","Ngày lập|","")&amp;IF(U92="✓","Tổng tiền|","")&amp;IF(V92="✓","Mã CQT|","")&amp;IF(W92="✓","Upload XML|","")&amp;IF(X92="✓","Captcha ảnh|","")&amp;IF(Y92="✓","Captcha dạng tích|","")&amp;IF(Z92="✓","Captcha khác (slider/hình)|","")&amp;IF(AA92="✓","Đăng nhập|","")&amp;IF(AB92="✓","Email/SĐT/OTP|",""),LEN(IF(O92="✓","Mã tra cứu|","")&amp;IF(P92="✓","MST người bán|","")&amp;IF(Q92="✓","MST người mua|","")&amp;IF(R92="✓","Mẫu số / Ký hiệu|","")&amp;IF(S92="✓","Số HĐ|","")&amp;IF(T92="✓","Ngày lập|","")&amp;IF(U92="✓","Tổng tiền|","")&amp;IF(V92="✓","Mã CQT|","")&amp;IF(W92="✓","Upload XML|","")&amp;IF(X92="✓","Captcha ảnh|","")&amp;IF(Y92="✓","Captcha dạng tích|","")&amp;IF(Z92="✓","Captcha khác (slider/hình)|","")&amp;IF(AA92="✓","Đăng nhập|","")&amp;IF(AB92="✓","Email/SĐT/OTP|",""))-1),"|"," + ")))</f>
        <v/>
      </c>
      <c r="I92" s="17" t="n"/>
      <c r="J92" s="17" t="n"/>
      <c r="K92" s="17" t="n"/>
      <c r="L92" s="17" t="n"/>
      <c r="M92" s="37" t="n"/>
      <c r="N92" s="38" t="inlineStr">
        <is>
          <t>OK</t>
        </is>
      </c>
      <c r="O92" s="39" t="inlineStr">
        <is>
          <t>✓</t>
        </is>
      </c>
      <c r="P92" s="39" t="n"/>
      <c r="Q92" s="39" t="n"/>
      <c r="R92" s="39" t="n"/>
      <c r="S92" s="39" t="n"/>
      <c r="T92" s="39" t="n"/>
      <c r="U92" s="39" t="n"/>
      <c r="V92" s="39" t="n"/>
      <c r="W92" s="39" t="n"/>
      <c r="X92" s="39" t="n"/>
      <c r="Y92" s="39" t="n"/>
      <c r="Z92" s="39" t="n"/>
      <c r="AA92" s="39" t="n"/>
      <c r="AB92" s="39" t="n"/>
      <c r="AC92" s="39" t="n">
        <v>1</v>
      </c>
      <c r="AD92" s="16" t="inlineStr">
        <is>
          <t>không có</t>
        </is>
      </c>
      <c r="AE92" s="16" t="inlineStr">
        <is>
          <t>Radio 'Mã vé': chọn Trạm/tuyến (dropdown) + Mã vé (ký hiệu+số vé) + Biển số xe</t>
        </is>
      </c>
      <c r="AF92" s="16" t="inlineStr">
        <is>
          <t>VETC. Radio mặc định 'Mã tra cứu': 1 ô secureId. Adapter vetc trong project dùng TTKhac 'Mã tra cứu'.</t>
        </is>
      </c>
      <c r="AG92" s="16" t="inlineStr">
        <is>
          <t>https://tracuuhoadon.vetc.com.vn/</t>
        </is>
      </c>
      <c r="AH92" s="1" t="n"/>
      <c r="AI92" s="1" t="n"/>
      <c r="AJ92">
        <f>IFERROR(IF(INDEX(WBS2!$I$2:$I$25,MATCH($C92,WBS2!$F$2:$F$25,0))="","",INDEX(WBS2!$I$2:$I$25,MATCH($C92,WBS2!$F$2:$F$25,0))),"")</f>
        <v/>
      </c>
      <c r="AK92">
        <f>IFERROR(IF(INDEX(WBS2!$I$27:$I$162,MATCH($C92,WBS2!$F$27:$F$162,0))="","",INDEX(WBS2!$I$27:$I$162,MATCH($C92,WBS2!$F$27:$F$162,0))),"")</f>
        <v/>
      </c>
      <c r="AL92" s="102">
        <f>IFERROR(IF(OR($AK92="Chưa hoàn thành",$AK92="Sẵn sàng"),INDEX(WBS2!$H$27:$H$162,MATCH($C92,WBS2!$F$27:$F$162,0)),""),"")</f>
        <v/>
      </c>
      <c r="AM92">
        <f>IFERROR(IF(INDEX(WBS2!$J$27:$J$162,MATCH($C92,WBS2!$F$27:$F$162,0))="","",INDEX(WBS2!$J$27:$J$162,MATCH($C92,WBS2!$F$27:$F$162,0))),"")</f>
        <v/>
      </c>
      <c r="AN92">
        <f>IFERROR(IF(INDEX(WBS2!$I$163:$I$298,MATCH($C92,WBS2!$F$163:$F$298,0))="","",INDEX(WBS2!$I$163:$I$298,MATCH($C92,WBS2!$F$163:$F$298,0))),"")</f>
        <v/>
      </c>
      <c r="AO92" s="102">
        <f>IFERROR(IF(OR($AN92="Chưa hoàn thành",$AN92="Sẵn sàng"),INDEX(WBS2!$H$163:$H$298,MATCH($C92,WBS2!$F$163:$F$298,0)),""),"")</f>
        <v/>
      </c>
      <c r="AP92">
        <f>IFERROR(IF(INDEX(WBS2!$J$163:$J$298,MATCH($C92,WBS2!$F$163:$F$298,0))="","",INDEX(WBS2!$J$163:$J$298,MATCH($C92,WBS2!$F$163:$F$298,0))),"")</f>
        <v/>
      </c>
    </row>
    <row r="93" hidden="1" ht="14.25" customHeight="1">
      <c r="A93" s="13" t="n">
        <v>92</v>
      </c>
      <c r="B93" s="13" t="inlineStr">
        <is>
          <t>Công ty TNHH Phần mềm PVS</t>
        </is>
      </c>
      <c r="C93" s="14" t="inlineStr">
        <is>
          <t>0315151651</t>
        </is>
      </c>
      <c r="D93" s="13" t="inlineStr">
        <is>
          <t>B19.21, Sunrise Cityview, số 33 Nguyễn Hữu Thọ, phường Tân Hưng, quận 7, Tp Hồ Chí Minh</t>
        </is>
      </c>
      <c r="E93" s="18" t="inlineStr">
        <is>
          <t>https://pvssolution.com/</t>
        </is>
      </c>
      <c r="F93" s="20" t="inlineStr">
        <is>
          <t>Không có captcha</t>
        </is>
      </c>
      <c r="G93" s="66" t="inlineStr">
        <is>
          <t>https://invoice.pvssolution.com/</t>
        </is>
      </c>
      <c r="H93" s="35">
        <f>IF(N93&lt;&gt;"OK","",IF(IF(O93="✓","Mã tra cứu|","")&amp;IF(P93="✓","MST người bán|","")&amp;IF(Q93="✓","MST người mua|","")&amp;IF(R93="✓","Mẫu số / Ký hiệu|","")&amp;IF(S93="✓","Số HĐ|","")&amp;IF(T93="✓","Ngày lập|","")&amp;IF(U93="✓","Tổng tiền|","")&amp;IF(V93="✓","Mã CQT|","")&amp;IF(W93="✓","Upload XML|","")&amp;IF(X93="✓","Captcha ảnh|","")&amp;IF(Y93="✓","Captcha dạng tích|","")&amp;IF(Z93="✓","Captcha khác (slider/hình)|","")&amp;IF(AA93="✓","Đăng nhập|","")&amp;IF(AB93="✓","Email/SĐT/OTP|","")="","(không có tham số)",SUBSTITUTE(LEFT(IF(O93="✓","Mã tra cứu|","")&amp;IF(P93="✓","MST người bán|","")&amp;IF(Q93="✓","MST người mua|","")&amp;IF(R93="✓","Mẫu số / Ký hiệu|","")&amp;IF(S93="✓","Số HĐ|","")&amp;IF(T93="✓","Ngày lập|","")&amp;IF(U93="✓","Tổng tiền|","")&amp;IF(V93="✓","Mã CQT|","")&amp;IF(W93="✓","Upload XML|","")&amp;IF(X93="✓","Captcha ảnh|","")&amp;IF(Y93="✓","Captcha dạng tích|","")&amp;IF(Z93="✓","Captcha khác (slider/hình)|","")&amp;IF(AA93="✓","Đăng nhập|","")&amp;IF(AB93="✓","Email/SĐT/OTP|",""),LEN(IF(O93="✓","Mã tra cứu|","")&amp;IF(P93="✓","MST người bán|","")&amp;IF(Q93="✓","MST người mua|","")&amp;IF(R93="✓","Mẫu số / Ký hiệu|","")&amp;IF(S93="✓","Số HĐ|","")&amp;IF(T93="✓","Ngày lập|","")&amp;IF(U93="✓","Tổng tiền|","")&amp;IF(V93="✓","Mã CQT|","")&amp;IF(W93="✓","Upload XML|","")&amp;IF(X93="✓","Captcha ảnh|","")&amp;IF(Y93="✓","Captcha dạng tích|","")&amp;IF(Z93="✓","Captcha khác (slider/hình)|","")&amp;IF(AA93="✓","Đăng nhập|","")&amp;IF(AB93="✓","Email/SĐT/OTP|",""))-1),"|"," + ")))</f>
        <v/>
      </c>
      <c r="I93" s="17" t="n"/>
      <c r="J93" s="17" t="n"/>
      <c r="K93" s="17" t="n"/>
      <c r="L93" s="17" t="n"/>
      <c r="M93" s="37" t="n"/>
      <c r="N93" s="38" t="inlineStr">
        <is>
          <t>Faile</t>
        </is>
      </c>
      <c r="O93" s="39" t="n"/>
      <c r="P93" s="39" t="n"/>
      <c r="Q93" s="39" t="n"/>
      <c r="R93" s="39" t="n"/>
      <c r="S93" s="39" t="n"/>
      <c r="T93" s="39" t="n"/>
      <c r="U93" s="39" t="n"/>
      <c r="V93" s="39" t="n"/>
      <c r="W93" s="39" t="n"/>
      <c r="X93" s="39" t="n"/>
      <c r="Y93" s="39" t="n"/>
      <c r="Z93" s="39" t="n"/>
      <c r="AA93" s="39" t="n"/>
      <c r="AB93" s="39" t="n"/>
      <c r="AC93" s="39" t="n"/>
      <c r="AD93" s="16" t="n"/>
      <c r="AE93" s="16" t="n"/>
      <c r="AF93" s="16" t="inlineStr">
        <is>
          <t>invoice.pvssolution.com timeout kết nối (https và http). Trang web pvssolution.com chỉ giới thiệu SP (Pinance), không có link tra cứu HĐ</t>
        </is>
      </c>
      <c r="AG93" s="16" t="inlineStr">
        <is>
          <t>https://invoice.pvssolution.com/</t>
        </is>
      </c>
      <c r="AH93" s="1" t="n"/>
      <c r="AI93" s="1" t="n"/>
      <c r="AJ93">
        <f>IFERROR(IF(INDEX(WBS2!$I$2:$I$25,MATCH($C93,WBS2!$F$2:$F$25,0))="","",INDEX(WBS2!$I$2:$I$25,MATCH($C93,WBS2!$F$2:$F$25,0))),"")</f>
        <v/>
      </c>
      <c r="AK93">
        <f>IFERROR(IF(INDEX(WBS2!$I$27:$I$162,MATCH($C93,WBS2!$F$27:$F$162,0))="","",INDEX(WBS2!$I$27:$I$162,MATCH($C93,WBS2!$F$27:$F$162,0))),"")</f>
        <v/>
      </c>
      <c r="AL93" s="102">
        <f>IFERROR(IF(OR($AK93="Chưa hoàn thành",$AK93="Sẵn sàng"),INDEX(WBS2!$H$27:$H$162,MATCH($C93,WBS2!$F$27:$F$162,0)),""),"")</f>
        <v/>
      </c>
      <c r="AM93">
        <f>IFERROR(IF(INDEX(WBS2!$J$27:$J$162,MATCH($C93,WBS2!$F$27:$F$162,0))="","",INDEX(WBS2!$J$27:$J$162,MATCH($C93,WBS2!$F$27:$F$162,0))),"")</f>
        <v/>
      </c>
      <c r="AN93">
        <f>IFERROR(IF(INDEX(WBS2!$I$163:$I$298,MATCH($C93,WBS2!$F$163:$F$298,0))="","",INDEX(WBS2!$I$163:$I$298,MATCH($C93,WBS2!$F$163:$F$298,0))),"")</f>
        <v/>
      </c>
      <c r="AO93" s="102">
        <f>IFERROR(IF(OR($AN93="Chưa hoàn thành",$AN93="Sẵn sàng"),INDEX(WBS2!$H$163:$H$298,MATCH($C93,WBS2!$F$163:$F$298,0)),""),"")</f>
        <v/>
      </c>
      <c r="AP93">
        <f>IFERROR(IF(INDEX(WBS2!$J$163:$J$298,MATCH($C93,WBS2!$F$163:$F$298,0))="","",INDEX(WBS2!$J$163:$J$298,MATCH($C93,WBS2!$F$163:$F$298,0))),"")</f>
        <v/>
      </c>
    </row>
    <row r="94" hidden="1" ht="14.25" customHeight="1">
      <c r="A94" s="82" t="inlineStr">
        <is>
          <t xml:space="preserve">93 </t>
        </is>
      </c>
      <c r="B94" s="13" t="inlineStr">
        <is>
          <t>Công ty Cổ phần Dịch vụ Thương mại Việt Nam trực tuyến</t>
        </is>
      </c>
      <c r="C94" s="14" t="inlineStr">
        <is>
          <t>0310151739</t>
        </is>
      </c>
      <c r="D94" s="13" t="inlineStr">
        <is>
          <t>191 Nam Kỳ Khởi Nghĩa, phường Võ Thị Sáu, quận 3, Tp Hồ Chí Minh</t>
        </is>
      </c>
      <c r="E94" s="18" t="inlineStr">
        <is>
          <t>https://news.yoinvoice.vn</t>
        </is>
      </c>
      <c r="F94" s="20" t="n"/>
      <c r="G94" s="20" t="n"/>
      <c r="H94" s="35">
        <f>IF(N94&lt;&gt;"OK","",IF(IF(O94="✓","Mã tra cứu|","")&amp;IF(P94="✓","MST người bán|","")&amp;IF(Q94="✓","MST người mua|","")&amp;IF(R94="✓","Mẫu số / Ký hiệu|","")&amp;IF(S94="✓","Số HĐ|","")&amp;IF(T94="✓","Ngày lập|","")&amp;IF(U94="✓","Tổng tiền|","")&amp;IF(V94="✓","Mã CQT|","")&amp;IF(W94="✓","Upload XML|","")&amp;IF(X94="✓","Captcha ảnh|","")&amp;IF(Y94="✓","Captcha dạng tích|","")&amp;IF(Z94="✓","Captcha khác (slider/hình)|","")&amp;IF(AA94="✓","Đăng nhập|","")&amp;IF(AB94="✓","Email/SĐT/OTP|","")="","(không có tham số)",SUBSTITUTE(LEFT(IF(O94="✓","Mã tra cứu|","")&amp;IF(P94="✓","MST người bán|","")&amp;IF(Q94="✓","MST người mua|","")&amp;IF(R94="✓","Mẫu số / Ký hiệu|","")&amp;IF(S94="✓","Số HĐ|","")&amp;IF(T94="✓","Ngày lập|","")&amp;IF(U94="✓","Tổng tiền|","")&amp;IF(V94="✓","Mã CQT|","")&amp;IF(W94="✓","Upload XML|","")&amp;IF(X94="✓","Captcha ảnh|","")&amp;IF(Y94="✓","Captcha dạng tích|","")&amp;IF(Z94="✓","Captcha khác (slider/hình)|","")&amp;IF(AA94="✓","Đăng nhập|","")&amp;IF(AB94="✓","Email/SĐT/OTP|",""),LEN(IF(O94="✓","Mã tra cứu|","")&amp;IF(P94="✓","MST người bán|","")&amp;IF(Q94="✓","MST người mua|","")&amp;IF(R94="✓","Mẫu số / Ký hiệu|","")&amp;IF(S94="✓","Số HĐ|","")&amp;IF(T94="✓","Ngày lập|","")&amp;IF(U94="✓","Tổng tiền|","")&amp;IF(V94="✓","Mã CQT|","")&amp;IF(W94="✓","Upload XML|","")&amp;IF(X94="✓","Captcha ảnh|","")&amp;IF(Y94="✓","Captcha dạng tích|","")&amp;IF(Z94="✓","Captcha khác (slider/hình)|","")&amp;IF(AA94="✓","Đăng nhập|","")&amp;IF(AB94="✓","Email/SĐT/OTP|",""))-1),"|"," + ")))</f>
        <v/>
      </c>
      <c r="I94" s="17" t="n"/>
      <c r="J94" s="17" t="n"/>
      <c r="K94" s="17" t="n"/>
      <c r="L94" s="17" t="n"/>
      <c r="M94" s="37" t="n"/>
      <c r="N94" s="38" t="n"/>
      <c r="O94" s="37" t="n"/>
      <c r="P94" s="37" t="n"/>
      <c r="Q94" s="37" t="n"/>
      <c r="R94" s="37" t="n"/>
      <c r="S94" s="37" t="n"/>
      <c r="T94" s="37" t="n"/>
      <c r="U94" s="37" t="n"/>
      <c r="V94" s="37" t="n"/>
      <c r="W94" s="37" t="n"/>
      <c r="X94" s="37" t="n"/>
      <c r="Y94" s="37" t="n"/>
      <c r="Z94" s="37" t="n"/>
      <c r="AA94" s="37" t="n"/>
      <c r="AB94" s="37" t="n"/>
      <c r="AC94" s="37" t="n"/>
      <c r="AD94" s="37" t="n"/>
      <c r="AE94" s="37" t="n"/>
      <c r="AF94" s="37" t="n"/>
      <c r="AG94" s="37" t="n"/>
      <c r="AH94" s="1" t="n"/>
      <c r="AI94" s="1" t="n"/>
      <c r="AJ94">
        <f>IFERROR(IF(INDEX(WBS2!$I$2:$I$25,MATCH($C94,WBS2!$F$2:$F$25,0))="","",INDEX(WBS2!$I$2:$I$25,MATCH($C94,WBS2!$F$2:$F$25,0))),"")</f>
        <v/>
      </c>
      <c r="AK94">
        <f>IFERROR(IF(INDEX(WBS2!$I$27:$I$162,MATCH($C94,WBS2!$F$27:$F$162,0))="","",INDEX(WBS2!$I$27:$I$162,MATCH($C94,WBS2!$F$27:$F$162,0))),"")</f>
        <v/>
      </c>
      <c r="AL94" s="102">
        <f>IFERROR(IF(OR($AK94="Chưa hoàn thành",$AK94="Sẵn sàng"),INDEX(WBS2!$H$27:$H$162,MATCH($C94,WBS2!$F$27:$F$162,0)),""),"")</f>
        <v/>
      </c>
      <c r="AM94">
        <f>IFERROR(IF(INDEX(WBS2!$J$27:$J$162,MATCH($C94,WBS2!$F$27:$F$162,0))="","",INDEX(WBS2!$J$27:$J$162,MATCH($C94,WBS2!$F$27:$F$162,0))),"")</f>
        <v/>
      </c>
      <c r="AN94">
        <f>IFERROR(IF(INDEX(WBS2!$I$163:$I$298,MATCH($C94,WBS2!$F$163:$F$298,0))="","",INDEX(WBS2!$I$163:$I$298,MATCH($C94,WBS2!$F$163:$F$298,0))),"")</f>
        <v/>
      </c>
      <c r="AO94" s="102">
        <f>IFERROR(IF(OR($AN94="Chưa hoàn thành",$AN94="Sẵn sàng"),INDEX(WBS2!$H$163:$H$298,MATCH($C94,WBS2!$F$163:$F$298,0)),""),"")</f>
        <v/>
      </c>
      <c r="AP94">
        <f>IFERROR(IF(INDEX(WBS2!$J$163:$J$298,MATCH($C94,WBS2!$F$163:$F$298,0))="","",INDEX(WBS2!$J$163:$J$298,MATCH($C94,WBS2!$F$163:$F$298,0))),"")</f>
        <v/>
      </c>
    </row>
    <row r="95" hidden="1" ht="14.25" customHeight="1">
      <c r="A95" s="13" t="n">
        <v>94</v>
      </c>
      <c r="B95" s="13" t="inlineStr">
        <is>
          <t>Công ty TNHH Ecount Việt Nam</t>
        </is>
      </c>
      <c r="C95" s="14" t="inlineStr">
        <is>
          <t>0312575123</t>
        </is>
      </c>
      <c r="D95" s="13" t="inlineStr">
        <is>
          <t>Số 51 đường Nguyễn Cư Trinh, phường Nguyễn Cư Trinh, quận 1, Tp Hồ Chí Minh</t>
        </is>
      </c>
      <c r="E95" s="18" t="inlineStr">
        <is>
          <t xml:space="preserve">https://ecount.com   </t>
        </is>
      </c>
      <c r="F95" s="20" t="inlineStr">
        <is>
          <t>không có thông tin</t>
        </is>
      </c>
      <c r="G95" s="20" t="n"/>
      <c r="H95" s="35">
        <f>IF(N95&lt;&gt;"OK","",IF(IF(O95="✓","Mã tra cứu|","")&amp;IF(P95="✓","MST người bán|","")&amp;IF(Q95="✓","MST người mua|","")&amp;IF(R95="✓","Mẫu số / Ký hiệu|","")&amp;IF(S95="✓","Số HĐ|","")&amp;IF(T95="✓","Ngày lập|","")&amp;IF(U95="✓","Tổng tiền|","")&amp;IF(V95="✓","Mã CQT|","")&amp;IF(W95="✓","Upload XML|","")&amp;IF(X95="✓","Captcha ảnh|","")&amp;IF(Y95="✓","Captcha dạng tích|","")&amp;IF(Z95="✓","Captcha khác (slider/hình)|","")&amp;IF(AA95="✓","Đăng nhập|","")&amp;IF(AB95="✓","Email/SĐT/OTP|","")="","(không có tham số)",SUBSTITUTE(LEFT(IF(O95="✓","Mã tra cứu|","")&amp;IF(P95="✓","MST người bán|","")&amp;IF(Q95="✓","MST người mua|","")&amp;IF(R95="✓","Mẫu số / Ký hiệu|","")&amp;IF(S95="✓","Số HĐ|","")&amp;IF(T95="✓","Ngày lập|","")&amp;IF(U95="✓","Tổng tiền|","")&amp;IF(V95="✓","Mã CQT|","")&amp;IF(W95="✓","Upload XML|","")&amp;IF(X95="✓","Captcha ảnh|","")&amp;IF(Y95="✓","Captcha dạng tích|","")&amp;IF(Z95="✓","Captcha khác (slider/hình)|","")&amp;IF(AA95="✓","Đăng nhập|","")&amp;IF(AB95="✓","Email/SĐT/OTP|",""),LEN(IF(O95="✓","Mã tra cứu|","")&amp;IF(P95="✓","MST người bán|","")&amp;IF(Q95="✓","MST người mua|","")&amp;IF(R95="✓","Mẫu số / Ký hiệu|","")&amp;IF(S95="✓","Số HĐ|","")&amp;IF(T95="✓","Ngày lập|","")&amp;IF(U95="✓","Tổng tiền|","")&amp;IF(V95="✓","Mã CQT|","")&amp;IF(W95="✓","Upload XML|","")&amp;IF(X95="✓","Captcha ảnh|","")&amp;IF(Y95="✓","Captcha dạng tích|","")&amp;IF(Z95="✓","Captcha khác (slider/hình)|","")&amp;IF(AA95="✓","Đăng nhập|","")&amp;IF(AB95="✓","Email/SĐT/OTP|",""))-1),"|"," + ")))</f>
        <v/>
      </c>
      <c r="I95" s="17" t="n"/>
      <c r="J95" s="17" t="n"/>
      <c r="K95" s="17" t="n"/>
      <c r="L95" s="17" t="n"/>
      <c r="M95" s="37" t="n"/>
      <c r="N95" s="38" t="n"/>
      <c r="O95" s="37" t="n"/>
      <c r="P95" s="37" t="n"/>
      <c r="Q95" s="37" t="n"/>
      <c r="R95" s="37" t="n"/>
      <c r="S95" s="37" t="n"/>
      <c r="T95" s="37" t="n"/>
      <c r="U95" s="37" t="n"/>
      <c r="V95" s="37" t="n"/>
      <c r="W95" s="37" t="n"/>
      <c r="X95" s="37" t="n"/>
      <c r="Y95" s="37" t="n"/>
      <c r="Z95" s="37" t="n"/>
      <c r="AA95" s="37" t="n"/>
      <c r="AB95" s="37" t="n"/>
      <c r="AC95" s="37" t="n"/>
      <c r="AD95" s="37" t="n"/>
      <c r="AE95" s="37" t="n"/>
      <c r="AF95" s="37" t="n"/>
      <c r="AG95" s="37" t="n"/>
      <c r="AH95" s="1" t="n"/>
      <c r="AI95" s="1" t="n"/>
      <c r="AJ95">
        <f>IFERROR(IF(INDEX(WBS2!$I$2:$I$25,MATCH($C95,WBS2!$F$2:$F$25,0))="","",INDEX(WBS2!$I$2:$I$25,MATCH($C95,WBS2!$F$2:$F$25,0))),"")</f>
        <v/>
      </c>
      <c r="AK95">
        <f>IFERROR(IF(INDEX(WBS2!$I$27:$I$162,MATCH($C95,WBS2!$F$27:$F$162,0))="","",INDEX(WBS2!$I$27:$I$162,MATCH($C95,WBS2!$F$27:$F$162,0))),"")</f>
        <v/>
      </c>
      <c r="AL95" s="102">
        <f>IFERROR(IF(OR($AK95="Chưa hoàn thành",$AK95="Sẵn sàng"),INDEX(WBS2!$H$27:$H$162,MATCH($C95,WBS2!$F$27:$F$162,0)),""),"")</f>
        <v/>
      </c>
      <c r="AM95">
        <f>IFERROR(IF(INDEX(WBS2!$J$27:$J$162,MATCH($C95,WBS2!$F$27:$F$162,0))="","",INDEX(WBS2!$J$27:$J$162,MATCH($C95,WBS2!$F$27:$F$162,0))),"")</f>
        <v/>
      </c>
      <c r="AN95">
        <f>IFERROR(IF(INDEX(WBS2!$I$163:$I$298,MATCH($C95,WBS2!$F$163:$F$298,0))="","",INDEX(WBS2!$I$163:$I$298,MATCH($C95,WBS2!$F$163:$F$298,0))),"")</f>
        <v/>
      </c>
      <c r="AO95" s="102">
        <f>IFERROR(IF(OR($AN95="Chưa hoàn thành",$AN95="Sẵn sàng"),INDEX(WBS2!$H$163:$H$298,MATCH($C95,WBS2!$F$163:$F$298,0)),""),"")</f>
        <v/>
      </c>
      <c r="AP95">
        <f>IFERROR(IF(INDEX(WBS2!$J$163:$J$298,MATCH($C95,WBS2!$F$163:$F$298,0))="","",INDEX(WBS2!$J$163:$J$298,MATCH($C95,WBS2!$F$163:$F$298,0))),"")</f>
        <v/>
      </c>
    </row>
    <row r="96" hidden="1" ht="14.25" customHeight="1">
      <c r="A96" s="13" t="n">
        <v>95</v>
      </c>
      <c r="B96" s="13" t="inlineStr">
        <is>
          <t>Công ty Cổ phần ATIS</t>
        </is>
      </c>
      <c r="C96" s="14" t="inlineStr">
        <is>
          <t>0107732197</t>
        </is>
      </c>
      <c r="D96" s="13" t="inlineStr">
        <is>
          <t>Số 167, phố Trung Kính, phường Yên Hòa, quận Cầu Giấy, Tp Hà Nội</t>
        </is>
      </c>
      <c r="E96" s="18" t="inlineStr">
        <is>
          <t xml:space="preserve">https://atis.com.vn/hoa-don-dien-tu     </t>
        </is>
      </c>
      <c r="F96" s="20" t="inlineStr">
        <is>
          <t>Không có captcha</t>
        </is>
      </c>
      <c r="G96" s="63" t="inlineStr">
        <is>
          <t>https://tracuuhoadon.atis.com.vn/</t>
        </is>
      </c>
      <c r="H96" s="35">
        <f>IF(N96&lt;&gt;"OK","",IF(IF(O96="✓","Mã tra cứu|","")&amp;IF(P96="✓","MST người bán|","")&amp;IF(Q96="✓","MST người mua|","")&amp;IF(R96="✓","Mẫu số / Ký hiệu|","")&amp;IF(S96="✓","Số HĐ|","")&amp;IF(T96="✓","Ngày lập|","")&amp;IF(U96="✓","Tổng tiền|","")&amp;IF(V96="✓","Mã CQT|","")&amp;IF(W96="✓","Upload XML|","")&amp;IF(X96="✓","Captcha ảnh|","")&amp;IF(Y96="✓","Captcha dạng tích|","")&amp;IF(Z96="✓","Captcha khác (slider/hình)|","")&amp;IF(AA96="✓","Đăng nhập|","")&amp;IF(AB96="✓","Email/SĐT/OTP|","")="","(không có tham số)",SUBSTITUTE(LEFT(IF(O96="✓","Mã tra cứu|","")&amp;IF(P96="✓","MST người bán|","")&amp;IF(Q96="✓","MST người mua|","")&amp;IF(R96="✓","Mẫu số / Ký hiệu|","")&amp;IF(S96="✓","Số HĐ|","")&amp;IF(T96="✓","Ngày lập|","")&amp;IF(U96="✓","Tổng tiền|","")&amp;IF(V96="✓","Mã CQT|","")&amp;IF(W96="✓","Upload XML|","")&amp;IF(X96="✓","Captcha ảnh|","")&amp;IF(Y96="✓","Captcha dạng tích|","")&amp;IF(Z96="✓","Captcha khác (slider/hình)|","")&amp;IF(AA96="✓","Đăng nhập|","")&amp;IF(AB96="✓","Email/SĐT/OTP|",""),LEN(IF(O96="✓","Mã tra cứu|","")&amp;IF(P96="✓","MST người bán|","")&amp;IF(Q96="✓","MST người mua|","")&amp;IF(R96="✓","Mẫu số / Ký hiệu|","")&amp;IF(S96="✓","Số HĐ|","")&amp;IF(T96="✓","Ngày lập|","")&amp;IF(U96="✓","Tổng tiền|","")&amp;IF(V96="✓","Mã CQT|","")&amp;IF(W96="✓","Upload XML|","")&amp;IF(X96="✓","Captcha ảnh|","")&amp;IF(Y96="✓","Captcha dạng tích|","")&amp;IF(Z96="✓","Captcha khác (slider/hình)|","")&amp;IF(AA96="✓","Đăng nhập|","")&amp;IF(AB96="✓","Email/SĐT/OTP|",""))-1),"|"," + ")))</f>
        <v/>
      </c>
      <c r="I96" s="17" t="n"/>
      <c r="J96" s="17" t="n"/>
      <c r="K96" s="17" t="n"/>
      <c r="L96" s="17" t="n"/>
      <c r="M96" s="37" t="n"/>
      <c r="N96" s="38" t="inlineStr">
        <is>
          <t>OK</t>
        </is>
      </c>
      <c r="O96" s="39" t="inlineStr">
        <is>
          <t>✓</t>
        </is>
      </c>
      <c r="P96" s="39" t="n"/>
      <c r="Q96" s="39" t="n"/>
      <c r="R96" s="39" t="n"/>
      <c r="S96" s="39" t="n"/>
      <c r="T96" s="39" t="n"/>
      <c r="U96" s="39" t="n"/>
      <c r="V96" s="39" t="n"/>
      <c r="W96" s="39" t="n"/>
      <c r="X96" s="39" t="n"/>
      <c r="Y96" s="39" t="n"/>
      <c r="Z96" s="39" t="n"/>
      <c r="AA96" s="39" t="n"/>
      <c r="AB96" s="39" t="n"/>
      <c r="AC96" s="39" t="n">
        <v>1</v>
      </c>
      <c r="AD96" s="16" t="inlineStr">
        <is>
          <t>không có</t>
        </is>
      </c>
      <c r="AE96" s="16" t="inlineStr">
        <is>
          <t>Radio 'Mã vé': chọn Trạm/đơn vị (sourceOrg) + Mã vé (ký hiệu+số vé) + Biển số xe</t>
        </is>
      </c>
      <c r="AF96" s="16" t="inlineStr">
        <is>
          <t>Cổng ATIS làm cho VETC (footer Công ty TNHH Thu phí tự động VETC); mặc định chỉ 1 ô mã tra cứu</t>
        </is>
      </c>
      <c r="AG96" s="16" t="inlineStr">
        <is>
          <t>https://tracuuhoadon.atis.com.vn/</t>
        </is>
      </c>
      <c r="AH96" s="1" t="n"/>
      <c r="AI96" s="1" t="n"/>
      <c r="AJ96">
        <f>IFERROR(IF(INDEX(WBS2!$I$2:$I$25,MATCH($C96,WBS2!$F$2:$F$25,0))="","",INDEX(WBS2!$I$2:$I$25,MATCH($C96,WBS2!$F$2:$F$25,0))),"")</f>
        <v/>
      </c>
      <c r="AK96">
        <f>IFERROR(IF(INDEX(WBS2!$I$27:$I$162,MATCH($C96,WBS2!$F$27:$F$162,0))="","",INDEX(WBS2!$I$27:$I$162,MATCH($C96,WBS2!$F$27:$F$162,0))),"")</f>
        <v/>
      </c>
      <c r="AL96" s="102">
        <f>IFERROR(IF(OR($AK96="Chưa hoàn thành",$AK96="Sẵn sàng"),INDEX(WBS2!$H$27:$H$162,MATCH($C96,WBS2!$F$27:$F$162,0)),""),"")</f>
        <v/>
      </c>
      <c r="AM96">
        <f>IFERROR(IF(INDEX(WBS2!$J$27:$J$162,MATCH($C96,WBS2!$F$27:$F$162,0))="","",INDEX(WBS2!$J$27:$J$162,MATCH($C96,WBS2!$F$27:$F$162,0))),"")</f>
        <v/>
      </c>
      <c r="AN96">
        <f>IFERROR(IF(INDEX(WBS2!$I$163:$I$298,MATCH($C96,WBS2!$F$163:$F$298,0))="","",INDEX(WBS2!$I$163:$I$298,MATCH($C96,WBS2!$F$163:$F$298,0))),"")</f>
        <v/>
      </c>
      <c r="AO96" s="102">
        <f>IFERROR(IF(OR($AN96="Chưa hoàn thành",$AN96="Sẵn sàng"),INDEX(WBS2!$H$163:$H$298,MATCH($C96,WBS2!$F$163:$F$298,0)),""),"")</f>
        <v/>
      </c>
      <c r="AP96">
        <f>IFERROR(IF(INDEX(WBS2!$J$163:$J$298,MATCH($C96,WBS2!$F$163:$F$298,0))="","",INDEX(WBS2!$J$163:$J$298,MATCH($C96,WBS2!$F$163:$F$298,0))),"")</f>
        <v/>
      </c>
    </row>
    <row r="97" hidden="1" ht="14.25" customHeight="1">
      <c r="A97" s="13" t="n">
        <v>96</v>
      </c>
      <c r="B97" s="28" t="inlineStr">
        <is>
          <t>Công ty Cổ phần GMO-Z.com RUNSYSTEM</t>
        </is>
      </c>
      <c r="C97" s="14" t="inlineStr">
        <is>
          <t>0101659906</t>
        </is>
      </c>
      <c r="D97" s="13" t="inlineStr">
        <is>
          <t>Tầng 6, tòa nhà Ocean Park, số 01 Đào Duy Anh, phường Phương Mai, quận Đống Đa, Tp Hà Nội</t>
        </is>
      </c>
      <c r="E97" s="18" t="inlineStr">
        <is>
          <t>https://kaike.vn/hoa-don-dien-tu</t>
        </is>
      </c>
      <c r="F97" s="20" t="inlineStr">
        <is>
          <t>không có thông tin</t>
        </is>
      </c>
      <c r="G97" s="66" t="inlineStr">
        <is>
          <t>https://tracuu.kaike.vn/</t>
        </is>
      </c>
      <c r="H97" s="35">
        <f>IF(N97&lt;&gt;"OK","",IF(IF(O97="✓","Mã tra cứu|","")&amp;IF(P97="✓","MST người bán|","")&amp;IF(Q97="✓","MST người mua|","")&amp;IF(R97="✓","Mẫu số / Ký hiệu|","")&amp;IF(S97="✓","Số HĐ|","")&amp;IF(T97="✓","Ngày lập|","")&amp;IF(U97="✓","Tổng tiền|","")&amp;IF(V97="✓","Mã CQT|","")&amp;IF(W97="✓","Upload XML|","")&amp;IF(X97="✓","Captcha ảnh|","")&amp;IF(Y97="✓","Captcha dạng tích|","")&amp;IF(Z97="✓","Captcha khác (slider/hình)|","")&amp;IF(AA97="✓","Đăng nhập|","")&amp;IF(AB97="✓","Email/SĐT/OTP|","")="","(không có tham số)",SUBSTITUTE(LEFT(IF(O97="✓","Mã tra cứu|","")&amp;IF(P97="✓","MST người bán|","")&amp;IF(Q97="✓","MST người mua|","")&amp;IF(R97="✓","Mẫu số / Ký hiệu|","")&amp;IF(S97="✓","Số HĐ|","")&amp;IF(T97="✓","Ngày lập|","")&amp;IF(U97="✓","Tổng tiền|","")&amp;IF(V97="✓","Mã CQT|","")&amp;IF(W97="✓","Upload XML|","")&amp;IF(X97="✓","Captcha ảnh|","")&amp;IF(Y97="✓","Captcha dạng tích|","")&amp;IF(Z97="✓","Captcha khác (slider/hình)|","")&amp;IF(AA97="✓","Đăng nhập|","")&amp;IF(AB97="✓","Email/SĐT/OTP|",""),LEN(IF(O97="✓","Mã tra cứu|","")&amp;IF(P97="✓","MST người bán|","")&amp;IF(Q97="✓","MST người mua|","")&amp;IF(R97="✓","Mẫu số / Ký hiệu|","")&amp;IF(S97="✓","Số HĐ|","")&amp;IF(T97="✓","Ngày lập|","")&amp;IF(U97="✓","Tổng tiền|","")&amp;IF(V97="✓","Mã CQT|","")&amp;IF(W97="✓","Upload XML|","")&amp;IF(X97="✓","Captcha ảnh|","")&amp;IF(Y97="✓","Captcha dạng tích|","")&amp;IF(Z97="✓","Captcha khác (slider/hình)|","")&amp;IF(AA97="✓","Đăng nhập|","")&amp;IF(AB97="✓","Email/SĐT/OTP|",""))-1),"|"," + ")))</f>
        <v/>
      </c>
      <c r="I97" s="17" t="n"/>
      <c r="J97" s="17" t="n"/>
      <c r="K97" s="17" t="n"/>
      <c r="L97" s="17" t="n"/>
      <c r="M97" s="37" t="n"/>
      <c r="N97" s="38" t="inlineStr">
        <is>
          <t>Site lỗi</t>
        </is>
      </c>
      <c r="O97" s="39" t="n"/>
      <c r="P97" s="39" t="n"/>
      <c r="Q97" s="39" t="n"/>
      <c r="R97" s="39" t="n"/>
      <c r="S97" s="39" t="n"/>
      <c r="T97" s="39" t="n"/>
      <c r="U97" s="39" t="n"/>
      <c r="V97" s="39" t="n"/>
      <c r="W97" s="39" t="n"/>
      <c r="X97" s="39" t="n"/>
      <c r="Y97" s="39" t="n"/>
      <c r="Z97" s="39" t="n"/>
      <c r="AA97" s="39" t="n"/>
      <c r="AB97" s="39" t="n"/>
      <c r="AC97" s="39" t="n"/>
      <c r="AD97" s="16" t="n"/>
      <c r="AE97" s="16" t="n"/>
      <c r="AF97" s="16" t="inlineStr">
        <is>
          <t>Trang trắng: HTML có bundle React nhưng tải main.30d0c8a6.js bị cắt ngang (Response ended prematurely), không render được form; kaike.vn không phân giải DNS</t>
        </is>
      </c>
      <c r="AG97" s="16" t="inlineStr">
        <is>
          <t>https://tracuu.kaike.vn/</t>
        </is>
      </c>
      <c r="AH97" s="1" t="n"/>
      <c r="AI97" s="1" t="n"/>
      <c r="AJ97">
        <f>IFERROR(IF(INDEX(WBS2!$I$2:$I$25,MATCH($C97,WBS2!$F$2:$F$25,0))="","",INDEX(WBS2!$I$2:$I$25,MATCH($C97,WBS2!$F$2:$F$25,0))),"")</f>
        <v/>
      </c>
      <c r="AK97">
        <f>IFERROR(IF(INDEX(WBS2!$I$27:$I$162,MATCH($C97,WBS2!$F$27:$F$162,0))="","",INDEX(WBS2!$I$27:$I$162,MATCH($C97,WBS2!$F$27:$F$162,0))),"")</f>
        <v/>
      </c>
      <c r="AL97" s="102">
        <f>IFERROR(IF(OR($AK97="Chưa hoàn thành",$AK97="Sẵn sàng"),INDEX(WBS2!$H$27:$H$162,MATCH($C97,WBS2!$F$27:$F$162,0)),""),"")</f>
        <v/>
      </c>
      <c r="AM97">
        <f>IFERROR(IF(INDEX(WBS2!$J$27:$J$162,MATCH($C97,WBS2!$F$27:$F$162,0))="","",INDEX(WBS2!$J$27:$J$162,MATCH($C97,WBS2!$F$27:$F$162,0))),"")</f>
        <v/>
      </c>
      <c r="AN97">
        <f>IFERROR(IF(INDEX(WBS2!$I$163:$I$298,MATCH($C97,WBS2!$F$163:$F$298,0))="","",INDEX(WBS2!$I$163:$I$298,MATCH($C97,WBS2!$F$163:$F$298,0))),"")</f>
        <v/>
      </c>
      <c r="AO97" s="102">
        <f>IFERROR(IF(OR($AN97="Chưa hoàn thành",$AN97="Sẵn sàng"),INDEX(WBS2!$H$163:$H$298,MATCH($C97,WBS2!$F$163:$F$298,0)),""),"")</f>
        <v/>
      </c>
      <c r="AP97">
        <f>IFERROR(IF(INDEX(WBS2!$J$163:$J$298,MATCH($C97,WBS2!$F$163:$F$298,0))="","",INDEX(WBS2!$J$163:$J$298,MATCH($C97,WBS2!$F$163:$F$298,0))),"")</f>
        <v/>
      </c>
    </row>
    <row r="98" hidden="1" ht="14.25" customHeight="1">
      <c r="A98" s="13" t="n">
        <v>97</v>
      </c>
      <c r="B98" s="13" t="inlineStr">
        <is>
          <t>Công ty Cổ phần Tin học - Viễn thông Hàng không</t>
        </is>
      </c>
      <c r="C98" s="14" t="inlineStr">
        <is>
          <t>0103019524</t>
        </is>
      </c>
      <c r="D98" s="13" t="inlineStr">
        <is>
          <t>Số 412 Nguyễn Văn Cừ, phường Bồ Đề, quận Long Biên, Tp Hà Nội</t>
        </is>
      </c>
      <c r="E98" s="18" t="inlineStr">
        <is>
          <t>https://aits.vn/</t>
        </is>
      </c>
      <c r="F98" s="20" t="inlineStr">
        <is>
          <t>Không có captcha</t>
        </is>
      </c>
      <c r="G98" s="20" t="inlineStr">
        <is>
          <t>https://einvoice.aits.vn/</t>
        </is>
      </c>
      <c r="H98" s="35">
        <f>IF(N98&lt;&gt;"OK","",IF(IF(O98="✓","Mã tra cứu|","")&amp;IF(P98="✓","MST người bán|","")&amp;IF(Q98="✓","MST người mua|","")&amp;IF(R98="✓","Mẫu số / Ký hiệu|","")&amp;IF(S98="✓","Số HĐ|","")&amp;IF(T98="✓","Ngày lập|","")&amp;IF(U98="✓","Tổng tiền|","")&amp;IF(V98="✓","Mã CQT|","")&amp;IF(W98="✓","Upload XML|","")&amp;IF(X98="✓","Captcha ảnh|","")&amp;IF(Y98="✓","Captcha dạng tích|","")&amp;IF(Z98="✓","Captcha khác (slider/hình)|","")&amp;IF(AA98="✓","Đăng nhập|","")&amp;IF(AB98="✓","Email/SĐT/OTP|","")="","(không có tham số)",SUBSTITUTE(LEFT(IF(O98="✓","Mã tra cứu|","")&amp;IF(P98="✓","MST người bán|","")&amp;IF(Q98="✓","MST người mua|","")&amp;IF(R98="✓","Mẫu số / Ký hiệu|","")&amp;IF(S98="✓","Số HĐ|","")&amp;IF(T98="✓","Ngày lập|","")&amp;IF(U98="✓","Tổng tiền|","")&amp;IF(V98="✓","Mã CQT|","")&amp;IF(W98="✓","Upload XML|","")&amp;IF(X98="✓","Captcha ảnh|","")&amp;IF(Y98="✓","Captcha dạng tích|","")&amp;IF(Z98="✓","Captcha khác (slider/hình)|","")&amp;IF(AA98="✓","Đăng nhập|","")&amp;IF(AB98="✓","Email/SĐT/OTP|",""),LEN(IF(O98="✓","Mã tra cứu|","")&amp;IF(P98="✓","MST người bán|","")&amp;IF(Q98="✓","MST người mua|","")&amp;IF(R98="✓","Mẫu số / Ký hiệu|","")&amp;IF(S98="✓","Số HĐ|","")&amp;IF(T98="✓","Ngày lập|","")&amp;IF(U98="✓","Tổng tiền|","")&amp;IF(V98="✓","Mã CQT|","")&amp;IF(W98="✓","Upload XML|","")&amp;IF(X98="✓","Captcha ảnh|","")&amp;IF(Y98="✓","Captcha dạng tích|","")&amp;IF(Z98="✓","Captcha khác (slider/hình)|","")&amp;IF(AA98="✓","Đăng nhập|","")&amp;IF(AB98="✓","Email/SĐT/OTP|",""))-1),"|"," + ")))</f>
        <v/>
      </c>
      <c r="I98" s="17" t="n"/>
      <c r="J98" s="17" t="n"/>
      <c r="K98" s="17" t="n"/>
      <c r="L98" s="17" t="n"/>
      <c r="M98" s="37" t="n"/>
      <c r="N98" s="38" t="inlineStr">
        <is>
          <t>OK</t>
        </is>
      </c>
      <c r="O98" s="39" t="inlineStr">
        <is>
          <t>✓</t>
        </is>
      </c>
      <c r="P98" s="39" t="inlineStr">
        <is>
          <t>✓</t>
        </is>
      </c>
      <c r="Q98" s="39" t="n"/>
      <c r="R98" s="39" t="n"/>
      <c r="S98" s="39" t="n"/>
      <c r="T98" s="39" t="n"/>
      <c r="U98" s="39" t="n"/>
      <c r="V98" s="39" t="n"/>
      <c r="W98" s="39" t="n"/>
      <c r="X98" s="39" t="n"/>
      <c r="Y98" s="39" t="n"/>
      <c r="Z98" s="39" t="n"/>
      <c r="AA98" s="39" t="n"/>
      <c r="AB98" s="39" t="n"/>
      <c r="AC98" s="39" t="n">
        <v>2</v>
      </c>
      <c r="AD98" s="16" t="inlineStr">
        <is>
          <t>không có</t>
        </is>
      </c>
      <c r="AE98" s="16" t="inlineStr">
        <is>
          <t>Cùng trang: upload file hóa đơn (*.zip) → 'Xem hóa đơn'</t>
        </is>
      </c>
      <c r="AF98" s="16" t="inlineStr">
        <is>
          <t>Form: MST đơn vị bán + Số bảo mật. Có mã Telerik RadCaptcha nhưng đã bị comment trong HTML (không hiển thị)</t>
        </is>
      </c>
      <c r="AG98" s="16" t="inlineStr">
        <is>
          <t>https://einvoice.aits.vn/</t>
        </is>
      </c>
      <c r="AH98" s="1" t="n"/>
      <c r="AI98" s="1" t="n"/>
      <c r="AJ98">
        <f>IFERROR(IF(INDEX(WBS2!$I$2:$I$25,MATCH($C98,WBS2!$F$2:$F$25,0))="","",INDEX(WBS2!$I$2:$I$25,MATCH($C98,WBS2!$F$2:$F$25,0))),"")</f>
        <v/>
      </c>
      <c r="AK98">
        <f>IFERROR(IF(INDEX(WBS2!$I$27:$I$162,MATCH($C98,WBS2!$F$27:$F$162,0))="","",INDEX(WBS2!$I$27:$I$162,MATCH($C98,WBS2!$F$27:$F$162,0))),"")</f>
        <v/>
      </c>
      <c r="AL98" s="102">
        <f>IFERROR(IF(OR($AK98="Chưa hoàn thành",$AK98="Sẵn sàng"),INDEX(WBS2!$H$27:$H$162,MATCH($C98,WBS2!$F$27:$F$162,0)),""),"")</f>
        <v/>
      </c>
      <c r="AM98">
        <f>IFERROR(IF(INDEX(WBS2!$J$27:$J$162,MATCH($C98,WBS2!$F$27:$F$162,0))="","",INDEX(WBS2!$J$27:$J$162,MATCH($C98,WBS2!$F$27:$F$162,0))),"")</f>
        <v/>
      </c>
      <c r="AN98">
        <f>IFERROR(IF(INDEX(WBS2!$I$163:$I$298,MATCH($C98,WBS2!$F$163:$F$298,0))="","",INDEX(WBS2!$I$163:$I$298,MATCH($C98,WBS2!$F$163:$F$298,0))),"")</f>
        <v/>
      </c>
      <c r="AO98" s="102">
        <f>IFERROR(IF(OR($AN98="Chưa hoàn thành",$AN98="Sẵn sàng"),INDEX(WBS2!$H$163:$H$298,MATCH($C98,WBS2!$F$163:$F$298,0)),""),"")</f>
        <v/>
      </c>
      <c r="AP98">
        <f>IFERROR(IF(INDEX(WBS2!$J$163:$J$298,MATCH($C98,WBS2!$F$163:$F$298,0))="","",INDEX(WBS2!$J$163:$J$298,MATCH($C98,WBS2!$F$163:$F$298,0))),"")</f>
        <v/>
      </c>
    </row>
    <row r="99" hidden="1" ht="14.25" customHeight="1">
      <c r="A99" s="13" t="n">
        <v>98</v>
      </c>
      <c r="B99" s="13" t="inlineStr">
        <is>
          <t>Công ty TNHH Bizzi VietNam</t>
        </is>
      </c>
      <c r="C99" s="14" t="inlineStr">
        <is>
          <t>0316114998</t>
        </is>
      </c>
      <c r="D99" s="13" t="inlineStr">
        <is>
          <t>Số 2-4-6 đường số 5, phường An Lợi Đông, Tp Thủ Đức, Tp Hồ Chí Minh</t>
        </is>
      </c>
      <c r="E99" s="18" t="inlineStr">
        <is>
          <t>https://bizzi.vn/</t>
        </is>
      </c>
      <c r="F99" s="20" t="inlineStr">
        <is>
          <t>captcha dạng tích</t>
        </is>
      </c>
      <c r="G99" s="23" t="inlineStr">
        <is>
          <t>https://tchd.bizzi.vn/</t>
        </is>
      </c>
      <c r="H99" s="35">
        <f>IF(N99&lt;&gt;"OK","",IF(IF(O99="✓","Mã tra cứu|","")&amp;IF(P99="✓","MST người bán|","")&amp;IF(Q99="✓","MST người mua|","")&amp;IF(R99="✓","Mẫu số / Ký hiệu|","")&amp;IF(S99="✓","Số HĐ|","")&amp;IF(T99="✓","Ngày lập|","")&amp;IF(U99="✓","Tổng tiền|","")&amp;IF(V99="✓","Mã CQT|","")&amp;IF(W99="✓","Upload XML|","")&amp;IF(X99="✓","Captcha ảnh|","")&amp;IF(Y99="✓","Captcha dạng tích|","")&amp;IF(Z99="✓","Captcha khác (slider/hình)|","")&amp;IF(AA99="✓","Đăng nhập|","")&amp;IF(AB99="✓","Email/SĐT/OTP|","")="","(không có tham số)",SUBSTITUTE(LEFT(IF(O99="✓","Mã tra cứu|","")&amp;IF(P99="✓","MST người bán|","")&amp;IF(Q99="✓","MST người mua|","")&amp;IF(R99="✓","Mẫu số / Ký hiệu|","")&amp;IF(S99="✓","Số HĐ|","")&amp;IF(T99="✓","Ngày lập|","")&amp;IF(U99="✓","Tổng tiền|","")&amp;IF(V99="✓","Mã CQT|","")&amp;IF(W99="✓","Upload XML|","")&amp;IF(X99="✓","Captcha ảnh|","")&amp;IF(Y99="✓","Captcha dạng tích|","")&amp;IF(Z99="✓","Captcha khác (slider/hình)|","")&amp;IF(AA99="✓","Đăng nhập|","")&amp;IF(AB99="✓","Email/SĐT/OTP|",""),LEN(IF(O99="✓","Mã tra cứu|","")&amp;IF(P99="✓","MST người bán|","")&amp;IF(Q99="✓","MST người mua|","")&amp;IF(R99="✓","Mẫu số / Ký hiệu|","")&amp;IF(S99="✓","Số HĐ|","")&amp;IF(T99="✓","Ngày lập|","")&amp;IF(U99="✓","Tổng tiền|","")&amp;IF(V99="✓","Mã CQT|","")&amp;IF(W99="✓","Upload XML|","")&amp;IF(X99="✓","Captcha ảnh|","")&amp;IF(Y99="✓","Captcha dạng tích|","")&amp;IF(Z99="✓","Captcha khác (slider/hình)|","")&amp;IF(AA99="✓","Đăng nhập|","")&amp;IF(AB99="✓","Email/SĐT/OTP|",""))-1),"|"," + ")))</f>
        <v/>
      </c>
      <c r="I99" s="17" t="n"/>
      <c r="J99" s="17" t="n"/>
      <c r="K99" s="17" t="n"/>
      <c r="L99" s="17" t="n"/>
      <c r="M99" s="37" t="n"/>
      <c r="N99" s="38" t="inlineStr">
        <is>
          <t>OK</t>
        </is>
      </c>
      <c r="O99" s="39" t="inlineStr">
        <is>
          <t>✓</t>
        </is>
      </c>
      <c r="P99" s="39" t="n"/>
      <c r="Q99" s="39" t="n"/>
      <c r="R99" s="39" t="n"/>
      <c r="S99" s="39" t="n"/>
      <c r="T99" s="39" t="n"/>
      <c r="U99" s="39" t="n"/>
      <c r="V99" s="39" t="n"/>
      <c r="W99" s="39" t="n"/>
      <c r="X99" s="39" t="n"/>
      <c r="Y99" s="39" t="inlineStr">
        <is>
          <t>✓</t>
        </is>
      </c>
      <c r="Z99" s="39" t="n"/>
      <c r="AA99" s="39" t="n"/>
      <c r="AB99" s="39" t="n"/>
      <c r="AC99" s="39" t="n">
        <v>2</v>
      </c>
      <c r="AD99" s="16" t="inlineStr">
        <is>
          <t>Cloudflare Turnstile checkbox ('Xác minh bạn là con người')</t>
        </is>
      </c>
      <c r="AE99" s="16" t="n"/>
      <c r="AF99" s="16" t="inlineStr">
        <is>
          <t>SPA React; 1 ô mã tra cứu + Turnstile hiển thị (size normal)</t>
        </is>
      </c>
      <c r="AG99" s="16" t="inlineStr">
        <is>
          <t>https://tchd.bizzi.vn/</t>
        </is>
      </c>
      <c r="AH99" s="1" t="n"/>
      <c r="AI99" s="1" t="n"/>
      <c r="AJ99">
        <f>IFERROR(IF(INDEX(WBS2!$I$2:$I$25,MATCH($C99,WBS2!$F$2:$F$25,0))="","",INDEX(WBS2!$I$2:$I$25,MATCH($C99,WBS2!$F$2:$F$25,0))),"")</f>
        <v/>
      </c>
      <c r="AK99">
        <f>IFERROR(IF(INDEX(WBS2!$I$27:$I$162,MATCH($C99,WBS2!$F$27:$F$162,0))="","",INDEX(WBS2!$I$27:$I$162,MATCH($C99,WBS2!$F$27:$F$162,0))),"")</f>
        <v/>
      </c>
      <c r="AL99" s="102">
        <f>IFERROR(IF(OR($AK99="Chưa hoàn thành",$AK99="Sẵn sàng"),INDEX(WBS2!$H$27:$H$162,MATCH($C99,WBS2!$F$27:$F$162,0)),""),"")</f>
        <v/>
      </c>
      <c r="AM99">
        <f>IFERROR(IF(INDEX(WBS2!$J$27:$J$162,MATCH($C99,WBS2!$F$27:$F$162,0))="","",INDEX(WBS2!$J$27:$J$162,MATCH($C99,WBS2!$F$27:$F$162,0))),"")</f>
        <v/>
      </c>
      <c r="AN99">
        <f>IFERROR(IF(INDEX(WBS2!$I$163:$I$298,MATCH($C99,WBS2!$F$163:$F$298,0))="","",INDEX(WBS2!$I$163:$I$298,MATCH($C99,WBS2!$F$163:$F$298,0))),"")</f>
        <v/>
      </c>
      <c r="AO99" s="102">
        <f>IFERROR(IF(OR($AN99="Chưa hoàn thành",$AN99="Sẵn sàng"),INDEX(WBS2!$H$163:$H$298,MATCH($C99,WBS2!$F$163:$F$298,0)),""),"")</f>
        <v/>
      </c>
      <c r="AP99">
        <f>IFERROR(IF(INDEX(WBS2!$J$163:$J$298,MATCH($C99,WBS2!$F$163:$F$298,0))="","",INDEX(WBS2!$J$163:$J$298,MATCH($C99,WBS2!$F$163:$F$298,0))),"")</f>
        <v/>
      </c>
    </row>
    <row r="100" hidden="1" ht="14.25" customHeight="1">
      <c r="A100" s="13" t="n">
        <v>99</v>
      </c>
      <c r="B100" s="13" t="inlineStr">
        <is>
          <t>Công ty Cổ phần Công nghệ BEE</t>
        </is>
      </c>
      <c r="C100" s="14" t="inlineStr">
        <is>
          <t>0316636497</t>
        </is>
      </c>
      <c r="D100" s="13" t="inlineStr">
        <is>
          <t>L64 đường Cư Xá Phú Lâm A, phường 12, quận 6, Tp Hồ Chí Minh</t>
        </is>
      </c>
      <c r="E100" s="18" t="inlineStr">
        <is>
          <t>http://beetek.vn/</t>
        </is>
      </c>
      <c r="F100" s="20" t="inlineStr">
        <is>
          <t>không có thông tin</t>
        </is>
      </c>
      <c r="G100" s="20" t="n"/>
      <c r="H100" s="35">
        <f>IF(N100&lt;&gt;"OK","",IF(IF(O100="✓","Mã tra cứu|","")&amp;IF(P100="✓","MST người bán|","")&amp;IF(Q100="✓","MST người mua|","")&amp;IF(R100="✓","Mẫu số / Ký hiệu|","")&amp;IF(S100="✓","Số HĐ|","")&amp;IF(T100="✓","Ngày lập|","")&amp;IF(U100="✓","Tổng tiền|","")&amp;IF(V100="✓","Mã CQT|","")&amp;IF(W100="✓","Upload XML|","")&amp;IF(X100="✓","Captcha ảnh|","")&amp;IF(Y100="✓","Captcha dạng tích|","")&amp;IF(Z100="✓","Captcha khác (slider/hình)|","")&amp;IF(AA100="✓","Đăng nhập|","")&amp;IF(AB100="✓","Email/SĐT/OTP|","")="","(không có tham số)",SUBSTITUTE(LEFT(IF(O100="✓","Mã tra cứu|","")&amp;IF(P100="✓","MST người bán|","")&amp;IF(Q100="✓","MST người mua|","")&amp;IF(R100="✓","Mẫu số / Ký hiệu|","")&amp;IF(S100="✓","Số HĐ|","")&amp;IF(T100="✓","Ngày lập|","")&amp;IF(U100="✓","Tổng tiền|","")&amp;IF(V100="✓","Mã CQT|","")&amp;IF(W100="✓","Upload XML|","")&amp;IF(X100="✓","Captcha ảnh|","")&amp;IF(Y100="✓","Captcha dạng tích|","")&amp;IF(Z100="✓","Captcha khác (slider/hình)|","")&amp;IF(AA100="✓","Đăng nhập|","")&amp;IF(AB100="✓","Email/SĐT/OTP|",""),LEN(IF(O100="✓","Mã tra cứu|","")&amp;IF(P100="✓","MST người bán|","")&amp;IF(Q100="✓","MST người mua|","")&amp;IF(R100="✓","Mẫu số / Ký hiệu|","")&amp;IF(S100="✓","Số HĐ|","")&amp;IF(T100="✓","Ngày lập|","")&amp;IF(U100="✓","Tổng tiền|","")&amp;IF(V100="✓","Mã CQT|","")&amp;IF(W100="✓","Upload XML|","")&amp;IF(X100="✓","Captcha ảnh|","")&amp;IF(Y100="✓","Captcha dạng tích|","")&amp;IF(Z100="✓","Captcha khác (slider/hình)|","")&amp;IF(AA100="✓","Đăng nhập|","")&amp;IF(AB100="✓","Email/SĐT/OTP|",""))-1),"|"," + ")))</f>
        <v/>
      </c>
      <c r="I100" s="17" t="n"/>
      <c r="J100" s="17" t="n"/>
      <c r="K100" s="17" t="n"/>
      <c r="L100" s="17" t="n"/>
      <c r="M100" s="37" t="n"/>
      <c r="N100" s="38" t="n"/>
      <c r="O100" s="37" t="n"/>
      <c r="P100" s="37" t="n"/>
      <c r="Q100" s="37" t="n"/>
      <c r="R100" s="37" t="n"/>
      <c r="S100" s="37" t="n"/>
      <c r="T100" s="37" t="n"/>
      <c r="U100" s="37" t="n"/>
      <c r="V100" s="37" t="n"/>
      <c r="W100" s="37" t="n"/>
      <c r="X100" s="37" t="n"/>
      <c r="Y100" s="37" t="n"/>
      <c r="Z100" s="37" t="n"/>
      <c r="AA100" s="37" t="n"/>
      <c r="AB100" s="37" t="n"/>
      <c r="AC100" s="37" t="n"/>
      <c r="AD100" s="37" t="n"/>
      <c r="AE100" s="37" t="n"/>
      <c r="AF100" s="37" t="n"/>
      <c r="AG100" s="37" t="n"/>
      <c r="AH100" s="1" t="n"/>
      <c r="AI100" s="1" t="n"/>
      <c r="AJ100">
        <f>IFERROR(IF(INDEX(WBS2!$I$2:$I$25,MATCH($C100,WBS2!$F$2:$F$25,0))="","",INDEX(WBS2!$I$2:$I$25,MATCH($C100,WBS2!$F$2:$F$25,0))),"")</f>
        <v/>
      </c>
      <c r="AK100">
        <f>IFERROR(IF(INDEX(WBS2!$I$27:$I$162,MATCH($C100,WBS2!$F$27:$F$162,0))="","",INDEX(WBS2!$I$27:$I$162,MATCH($C100,WBS2!$F$27:$F$162,0))),"")</f>
        <v/>
      </c>
      <c r="AL100" s="102">
        <f>IFERROR(IF(OR($AK100="Chưa hoàn thành",$AK100="Sẵn sàng"),INDEX(WBS2!$H$27:$H$162,MATCH($C100,WBS2!$F$27:$F$162,0)),""),"")</f>
        <v/>
      </c>
      <c r="AM100">
        <f>IFERROR(IF(INDEX(WBS2!$J$27:$J$162,MATCH($C100,WBS2!$F$27:$F$162,0))="","",INDEX(WBS2!$J$27:$J$162,MATCH($C100,WBS2!$F$27:$F$162,0))),"")</f>
        <v/>
      </c>
      <c r="AN100">
        <f>IFERROR(IF(INDEX(WBS2!$I$163:$I$298,MATCH($C100,WBS2!$F$163:$F$298,0))="","",INDEX(WBS2!$I$163:$I$298,MATCH($C100,WBS2!$F$163:$F$298,0))),"")</f>
        <v/>
      </c>
      <c r="AO100" s="102">
        <f>IFERROR(IF(OR($AN100="Chưa hoàn thành",$AN100="Sẵn sàng"),INDEX(WBS2!$H$163:$H$298,MATCH($C100,WBS2!$F$163:$F$298,0)),""),"")</f>
        <v/>
      </c>
      <c r="AP100">
        <f>IFERROR(IF(INDEX(WBS2!$J$163:$J$298,MATCH($C100,WBS2!$F$163:$F$298,0))="","",INDEX(WBS2!$J$163:$J$298,MATCH($C100,WBS2!$F$163:$F$298,0))),"")</f>
        <v/>
      </c>
    </row>
    <row r="101" hidden="1" ht="14.25" customHeight="1">
      <c r="A101" s="13" t="n">
        <v>100</v>
      </c>
      <c r="B101" s="13" t="inlineStr">
        <is>
          <t>Công ty Cổ phần MONT-E</t>
        </is>
      </c>
      <c r="C101" s="14" t="inlineStr">
        <is>
          <t>0106249501</t>
        </is>
      </c>
      <c r="D101" s="13" t="inlineStr">
        <is>
          <t>Tầng 2, A1-A3 Tòa nhà Ecolife Capitol, số 58 Tố Hữu, phường Mễ Trì, quận Nam Từ Liêm, Tp Hà Nội</t>
        </is>
      </c>
      <c r="E101" s="18" t="inlineStr">
        <is>
          <t>https://mont-e.com/</t>
        </is>
      </c>
      <c r="F101" s="20" t="inlineStr">
        <is>
          <t>không có thông tin</t>
        </is>
      </c>
      <c r="G101" s="20" t="n"/>
      <c r="H101" s="35">
        <f>IF(N101&lt;&gt;"OK","",IF(IF(O101="✓","Mã tra cứu|","")&amp;IF(P101="✓","MST người bán|","")&amp;IF(Q101="✓","MST người mua|","")&amp;IF(R101="✓","Mẫu số / Ký hiệu|","")&amp;IF(S101="✓","Số HĐ|","")&amp;IF(T101="✓","Ngày lập|","")&amp;IF(U101="✓","Tổng tiền|","")&amp;IF(V101="✓","Mã CQT|","")&amp;IF(W101="✓","Upload XML|","")&amp;IF(X101="✓","Captcha ảnh|","")&amp;IF(Y101="✓","Captcha dạng tích|","")&amp;IF(Z101="✓","Captcha khác (slider/hình)|","")&amp;IF(AA101="✓","Đăng nhập|","")&amp;IF(AB101="✓","Email/SĐT/OTP|","")="","(không có tham số)",SUBSTITUTE(LEFT(IF(O101="✓","Mã tra cứu|","")&amp;IF(P101="✓","MST người bán|","")&amp;IF(Q101="✓","MST người mua|","")&amp;IF(R101="✓","Mẫu số / Ký hiệu|","")&amp;IF(S101="✓","Số HĐ|","")&amp;IF(T101="✓","Ngày lập|","")&amp;IF(U101="✓","Tổng tiền|","")&amp;IF(V101="✓","Mã CQT|","")&amp;IF(W101="✓","Upload XML|","")&amp;IF(X101="✓","Captcha ảnh|","")&amp;IF(Y101="✓","Captcha dạng tích|","")&amp;IF(Z101="✓","Captcha khác (slider/hình)|","")&amp;IF(AA101="✓","Đăng nhập|","")&amp;IF(AB101="✓","Email/SĐT/OTP|",""),LEN(IF(O101="✓","Mã tra cứu|","")&amp;IF(P101="✓","MST người bán|","")&amp;IF(Q101="✓","MST người mua|","")&amp;IF(R101="✓","Mẫu số / Ký hiệu|","")&amp;IF(S101="✓","Số HĐ|","")&amp;IF(T101="✓","Ngày lập|","")&amp;IF(U101="✓","Tổng tiền|","")&amp;IF(V101="✓","Mã CQT|","")&amp;IF(W101="✓","Upload XML|","")&amp;IF(X101="✓","Captcha ảnh|","")&amp;IF(Y101="✓","Captcha dạng tích|","")&amp;IF(Z101="✓","Captcha khác (slider/hình)|","")&amp;IF(AA101="✓","Đăng nhập|","")&amp;IF(AB101="✓","Email/SĐT/OTP|",""))-1),"|"," + ")))</f>
        <v/>
      </c>
      <c r="I101" s="17" t="n"/>
      <c r="J101" s="17" t="n"/>
      <c r="K101" s="17" t="n"/>
      <c r="L101" s="17" t="n"/>
      <c r="M101" s="37" t="n"/>
      <c r="N101" s="38" t="n"/>
      <c r="O101" s="37" t="n"/>
      <c r="P101" s="37" t="n"/>
      <c r="Q101" s="37" t="n"/>
      <c r="R101" s="37" t="n"/>
      <c r="S101" s="37" t="n"/>
      <c r="T101" s="37" t="n"/>
      <c r="U101" s="37" t="n"/>
      <c r="V101" s="37" t="n"/>
      <c r="W101" s="37" t="n"/>
      <c r="X101" s="37" t="n"/>
      <c r="Y101" s="37" t="n"/>
      <c r="Z101" s="37" t="n"/>
      <c r="AA101" s="37" t="n"/>
      <c r="AB101" s="37" t="n"/>
      <c r="AC101" s="37" t="n"/>
      <c r="AD101" s="37" t="n"/>
      <c r="AE101" s="37" t="n"/>
      <c r="AF101" s="37" t="n"/>
      <c r="AG101" s="37" t="n"/>
      <c r="AH101" s="1" t="n"/>
      <c r="AI101" s="1" t="n"/>
      <c r="AJ101">
        <f>IFERROR(IF(INDEX(WBS2!$I$2:$I$25,MATCH($C101,WBS2!$F$2:$F$25,0))="","",INDEX(WBS2!$I$2:$I$25,MATCH($C101,WBS2!$F$2:$F$25,0))),"")</f>
        <v/>
      </c>
      <c r="AK101">
        <f>IFERROR(IF(INDEX(WBS2!$I$27:$I$162,MATCH($C101,WBS2!$F$27:$F$162,0))="","",INDEX(WBS2!$I$27:$I$162,MATCH($C101,WBS2!$F$27:$F$162,0))),"")</f>
        <v/>
      </c>
      <c r="AL101" s="102">
        <f>IFERROR(IF(OR($AK101="Chưa hoàn thành",$AK101="Sẵn sàng"),INDEX(WBS2!$H$27:$H$162,MATCH($C101,WBS2!$F$27:$F$162,0)),""),"")</f>
        <v/>
      </c>
      <c r="AM101">
        <f>IFERROR(IF(INDEX(WBS2!$J$27:$J$162,MATCH($C101,WBS2!$F$27:$F$162,0))="","",INDEX(WBS2!$J$27:$J$162,MATCH($C101,WBS2!$F$27:$F$162,0))),"")</f>
        <v/>
      </c>
      <c r="AN101">
        <f>IFERROR(IF(INDEX(WBS2!$I$163:$I$298,MATCH($C101,WBS2!$F$163:$F$298,0))="","",INDEX(WBS2!$I$163:$I$298,MATCH($C101,WBS2!$F$163:$F$298,0))),"")</f>
        <v/>
      </c>
      <c r="AO101" s="102">
        <f>IFERROR(IF(OR($AN101="Chưa hoàn thành",$AN101="Sẵn sàng"),INDEX(WBS2!$H$163:$H$298,MATCH($C101,WBS2!$F$163:$F$298,0)),""),"")</f>
        <v/>
      </c>
      <c r="AP101">
        <f>IFERROR(IF(INDEX(WBS2!$J$163:$J$298,MATCH($C101,WBS2!$F$163:$F$298,0))="","",INDEX(WBS2!$J$163:$J$298,MATCH($C101,WBS2!$F$163:$F$298,0))),"")</f>
        <v/>
      </c>
    </row>
    <row r="102" hidden="1" ht="14.25" customHeight="1">
      <c r="A102" s="13" t="n">
        <v>101</v>
      </c>
      <c r="B102" s="13" t="inlineStr">
        <is>
          <t>Công ty TNHH Tư vấn và Dịch vụ Home Casta</t>
        </is>
      </c>
      <c r="C102" s="14" t="inlineStr">
        <is>
          <t>0201802839</t>
        </is>
      </c>
      <c r="D102" s="13" t="inlineStr">
        <is>
          <t>Khu dân cư Trung Hành 5 (tại nhà ông Lê Đức Đạt) phường Đằng Lâm, quận Hải An, Tp Hải Phòng</t>
        </is>
      </c>
      <c r="E102" s="18" t="inlineStr">
        <is>
          <t xml:space="preserve">https://homecasta.vn </t>
        </is>
      </c>
      <c r="F102" s="20" t="inlineStr">
        <is>
          <t>Không có captcha</t>
        </is>
      </c>
      <c r="G102" s="23" t="inlineStr">
        <is>
          <t>https://tracuu.homecasta.vn/#/</t>
        </is>
      </c>
      <c r="H102" s="35">
        <f>IF(N102&lt;&gt;"OK","",IF(IF(O102="✓","Mã tra cứu|","")&amp;IF(P102="✓","MST người bán|","")&amp;IF(Q102="✓","MST người mua|","")&amp;IF(R102="✓","Mẫu số / Ký hiệu|","")&amp;IF(S102="✓","Số HĐ|","")&amp;IF(T102="✓","Ngày lập|","")&amp;IF(U102="✓","Tổng tiền|","")&amp;IF(V102="✓","Mã CQT|","")&amp;IF(W102="✓","Upload XML|","")&amp;IF(X102="✓","Captcha ảnh|","")&amp;IF(Y102="✓","Captcha dạng tích|","")&amp;IF(Z102="✓","Captcha khác (slider/hình)|","")&amp;IF(AA102="✓","Đăng nhập|","")&amp;IF(AB102="✓","Email/SĐT/OTP|","")="","(không có tham số)",SUBSTITUTE(LEFT(IF(O102="✓","Mã tra cứu|","")&amp;IF(P102="✓","MST người bán|","")&amp;IF(Q102="✓","MST người mua|","")&amp;IF(R102="✓","Mẫu số / Ký hiệu|","")&amp;IF(S102="✓","Số HĐ|","")&amp;IF(T102="✓","Ngày lập|","")&amp;IF(U102="✓","Tổng tiền|","")&amp;IF(V102="✓","Mã CQT|","")&amp;IF(W102="✓","Upload XML|","")&amp;IF(X102="✓","Captcha ảnh|","")&amp;IF(Y102="✓","Captcha dạng tích|","")&amp;IF(Z102="✓","Captcha khác (slider/hình)|","")&amp;IF(AA102="✓","Đăng nhập|","")&amp;IF(AB102="✓","Email/SĐT/OTP|",""),LEN(IF(O102="✓","Mã tra cứu|","")&amp;IF(P102="✓","MST người bán|","")&amp;IF(Q102="✓","MST người mua|","")&amp;IF(R102="✓","Mẫu số / Ký hiệu|","")&amp;IF(S102="✓","Số HĐ|","")&amp;IF(T102="✓","Ngày lập|","")&amp;IF(U102="✓","Tổng tiền|","")&amp;IF(V102="✓","Mã CQT|","")&amp;IF(W102="✓","Upload XML|","")&amp;IF(X102="✓","Captcha ảnh|","")&amp;IF(Y102="✓","Captcha dạng tích|","")&amp;IF(Z102="✓","Captcha khác (slider/hình)|","")&amp;IF(AA102="✓","Đăng nhập|","")&amp;IF(AB102="✓","Email/SĐT/OTP|",""))-1),"|"," + ")))</f>
        <v/>
      </c>
      <c r="I102" s="17" t="n"/>
      <c r="J102" s="17" t="n"/>
      <c r="K102" s="17" t="n"/>
      <c r="L102" s="17" t="n"/>
      <c r="M102" s="37" t="n"/>
      <c r="N102" s="38" t="inlineStr">
        <is>
          <t>OK</t>
        </is>
      </c>
      <c r="O102" s="39" t="inlineStr">
        <is>
          <t>✓</t>
        </is>
      </c>
      <c r="P102" s="39" t="n"/>
      <c r="Q102" s="39" t="n"/>
      <c r="R102" s="39" t="n"/>
      <c r="S102" s="39" t="n"/>
      <c r="T102" s="39" t="n"/>
      <c r="U102" s="39" t="n"/>
      <c r="V102" s="39" t="n"/>
      <c r="W102" s="39" t="n"/>
      <c r="X102" s="39" t="n"/>
      <c r="Y102" s="39" t="n"/>
      <c r="Z102" s="39" t="n"/>
      <c r="AA102" s="39" t="n"/>
      <c r="AB102" s="39" t="n"/>
      <c r="AC102" s="39" t="n">
        <v>1</v>
      </c>
      <c r="AD102" s="16" t="inlineStr">
        <is>
          <t>không có</t>
        </is>
      </c>
      <c r="AE102" s="16" t="n"/>
      <c r="AF102" s="16" t="inlineStr">
        <is>
          <t>Giao diện cùng mẫu với tchd.bizzi.vn (SPA React) nhưng không nạp Turnstile; chỉ 1 ô mã tra cứu</t>
        </is>
      </c>
      <c r="AG102" s="16" t="inlineStr">
        <is>
          <t>https://tracuu.homecasta.vn/#/</t>
        </is>
      </c>
      <c r="AH102" s="1" t="n"/>
      <c r="AI102" s="1" t="n"/>
      <c r="AJ102">
        <f>IFERROR(IF(INDEX(WBS2!$I$2:$I$25,MATCH($C102,WBS2!$F$2:$F$25,0))="","",INDEX(WBS2!$I$2:$I$25,MATCH($C102,WBS2!$F$2:$F$25,0))),"")</f>
        <v/>
      </c>
      <c r="AK102">
        <f>IFERROR(IF(INDEX(WBS2!$I$27:$I$162,MATCH($C102,WBS2!$F$27:$F$162,0))="","",INDEX(WBS2!$I$27:$I$162,MATCH($C102,WBS2!$F$27:$F$162,0))),"")</f>
        <v/>
      </c>
      <c r="AL102" s="102">
        <f>IFERROR(IF(OR($AK102="Chưa hoàn thành",$AK102="Sẵn sàng"),INDEX(WBS2!$H$27:$H$162,MATCH($C102,WBS2!$F$27:$F$162,0)),""),"")</f>
        <v/>
      </c>
      <c r="AM102">
        <f>IFERROR(IF(INDEX(WBS2!$J$27:$J$162,MATCH($C102,WBS2!$F$27:$F$162,0))="","",INDEX(WBS2!$J$27:$J$162,MATCH($C102,WBS2!$F$27:$F$162,0))),"")</f>
        <v/>
      </c>
      <c r="AN102">
        <f>IFERROR(IF(INDEX(WBS2!$I$163:$I$298,MATCH($C102,WBS2!$F$163:$F$298,0))="","",INDEX(WBS2!$I$163:$I$298,MATCH($C102,WBS2!$F$163:$F$298,0))),"")</f>
        <v/>
      </c>
      <c r="AO102" s="102">
        <f>IFERROR(IF(OR($AN102="Chưa hoàn thành",$AN102="Sẵn sàng"),INDEX(WBS2!$H$163:$H$298,MATCH($C102,WBS2!$F$163:$F$298,0)),""),"")</f>
        <v/>
      </c>
      <c r="AP102">
        <f>IFERROR(IF(INDEX(WBS2!$J$163:$J$298,MATCH($C102,WBS2!$F$163:$F$298,0))="","",INDEX(WBS2!$J$163:$J$298,MATCH($C102,WBS2!$F$163:$F$298,0))),"")</f>
        <v/>
      </c>
    </row>
    <row r="103" hidden="1" ht="14.25" customHeight="1">
      <c r="A103" s="13" t="n">
        <v>102</v>
      </c>
      <c r="B103" s="28" t="inlineStr">
        <is>
          <t>Công ty CP Tư vấn và Chuyển giao công nghệ Sơn Phát</t>
        </is>
      </c>
      <c r="C103" s="14" t="inlineStr">
        <is>
          <t>4601328480</t>
        </is>
      </c>
      <c r="D103" s="13" t="inlineStr">
        <is>
          <t>Số nhà 2, ngách 32, tổ 9, phường Tân Lập, tp Thái Nguyên, tỉnh Thái Nguyên.</t>
        </is>
      </c>
      <c r="E103" s="18" t="inlineStr">
        <is>
          <t xml:space="preserve">https://sonphat.vn   </t>
        </is>
      </c>
      <c r="F103" s="20" t="inlineStr">
        <is>
          <t>không có thông tin</t>
        </is>
      </c>
      <c r="G103" s="66" t="inlineStr">
        <is>
          <t>https://tracuuhoadon.sonphat.vn/</t>
        </is>
      </c>
      <c r="H103" s="35">
        <f>IF(N103&lt;&gt;"OK","",IF(IF(O103="✓","Mã tra cứu|","")&amp;IF(P103="✓","MST người bán|","")&amp;IF(Q103="✓","MST người mua|","")&amp;IF(R103="✓","Mẫu số / Ký hiệu|","")&amp;IF(S103="✓","Số HĐ|","")&amp;IF(T103="✓","Ngày lập|","")&amp;IF(U103="✓","Tổng tiền|","")&amp;IF(V103="✓","Mã CQT|","")&amp;IF(W103="✓","Upload XML|","")&amp;IF(X103="✓","Captcha ảnh|","")&amp;IF(Y103="✓","Captcha dạng tích|","")&amp;IF(Z103="✓","Captcha khác (slider/hình)|","")&amp;IF(AA103="✓","Đăng nhập|","")&amp;IF(AB103="✓","Email/SĐT/OTP|","")="","(không có tham số)",SUBSTITUTE(LEFT(IF(O103="✓","Mã tra cứu|","")&amp;IF(P103="✓","MST người bán|","")&amp;IF(Q103="✓","MST người mua|","")&amp;IF(R103="✓","Mẫu số / Ký hiệu|","")&amp;IF(S103="✓","Số HĐ|","")&amp;IF(T103="✓","Ngày lập|","")&amp;IF(U103="✓","Tổng tiền|","")&amp;IF(V103="✓","Mã CQT|","")&amp;IF(W103="✓","Upload XML|","")&amp;IF(X103="✓","Captcha ảnh|","")&amp;IF(Y103="✓","Captcha dạng tích|","")&amp;IF(Z103="✓","Captcha khác (slider/hình)|","")&amp;IF(AA103="✓","Đăng nhập|","")&amp;IF(AB103="✓","Email/SĐT/OTP|",""),LEN(IF(O103="✓","Mã tra cứu|","")&amp;IF(P103="✓","MST người bán|","")&amp;IF(Q103="✓","MST người mua|","")&amp;IF(R103="✓","Mẫu số / Ký hiệu|","")&amp;IF(S103="✓","Số HĐ|","")&amp;IF(T103="✓","Ngày lập|","")&amp;IF(U103="✓","Tổng tiền|","")&amp;IF(V103="✓","Mã CQT|","")&amp;IF(W103="✓","Upload XML|","")&amp;IF(X103="✓","Captcha ảnh|","")&amp;IF(Y103="✓","Captcha dạng tích|","")&amp;IF(Z103="✓","Captcha khác (slider/hình)|","")&amp;IF(AA103="✓","Đăng nhập|","")&amp;IF(AB103="✓","Email/SĐT/OTP|",""))-1),"|"," + ")))</f>
        <v/>
      </c>
      <c r="I103" s="17" t="n"/>
      <c r="J103" s="17" t="n"/>
      <c r="K103" s="17" t="n"/>
      <c r="L103" s="17" t="n"/>
      <c r="M103" s="37" t="n"/>
      <c r="N103" s="38" t="inlineStr">
        <is>
          <t>OK</t>
        </is>
      </c>
      <c r="O103" s="39" t="inlineStr">
        <is>
          <t>✓</t>
        </is>
      </c>
      <c r="P103" s="39" t="n"/>
      <c r="Q103" s="39" t="n"/>
      <c r="R103" s="39" t="n"/>
      <c r="S103" s="39" t="n"/>
      <c r="T103" s="39" t="n"/>
      <c r="U103" s="39" t="n"/>
      <c r="V103" s="39" t="n"/>
      <c r="W103" s="39" t="n"/>
      <c r="X103" s="39" t="n"/>
      <c r="Y103" s="39" t="n"/>
      <c r="Z103" s="39" t="n"/>
      <c r="AA103" s="39" t="n"/>
      <c r="AB103" s="39" t="n"/>
      <c r="AC103" s="39" t="n">
        <v>1</v>
      </c>
      <c r="AD103" s="16" t="inlineStr">
        <is>
          <t>không có</t>
        </is>
      </c>
      <c r="AE103" s="16" t="n"/>
      <c r="AF103" s="16" t="inlineStr">
        <is>
          <t>Giao diện cùng mẫu với tchd.bizzi.vn (SPA React) nhưng không nạp Turnstile; chỉ 1 ô mã tra cứu</t>
        </is>
      </c>
      <c r="AG103" s="16" t="inlineStr">
        <is>
          <t>https://tracuuhoadon.sonphat.vn/</t>
        </is>
      </c>
      <c r="AH103" s="1" t="n"/>
      <c r="AI103" s="1" t="n"/>
      <c r="AJ103">
        <f>IFERROR(IF(INDEX(WBS2!$I$2:$I$25,MATCH($C103,WBS2!$F$2:$F$25,0))="","",INDEX(WBS2!$I$2:$I$25,MATCH($C103,WBS2!$F$2:$F$25,0))),"")</f>
        <v/>
      </c>
      <c r="AK103">
        <f>IFERROR(IF(INDEX(WBS2!$I$27:$I$162,MATCH($C103,WBS2!$F$27:$F$162,0))="","",INDEX(WBS2!$I$27:$I$162,MATCH($C103,WBS2!$F$27:$F$162,0))),"")</f>
        <v/>
      </c>
      <c r="AL103" s="102">
        <f>IFERROR(IF(OR($AK103="Chưa hoàn thành",$AK103="Sẵn sàng"),INDEX(WBS2!$H$27:$H$162,MATCH($C103,WBS2!$F$27:$F$162,0)),""),"")</f>
        <v/>
      </c>
      <c r="AM103">
        <f>IFERROR(IF(INDEX(WBS2!$J$27:$J$162,MATCH($C103,WBS2!$F$27:$F$162,0))="","",INDEX(WBS2!$J$27:$J$162,MATCH($C103,WBS2!$F$27:$F$162,0))),"")</f>
        <v/>
      </c>
      <c r="AN103">
        <f>IFERROR(IF(INDEX(WBS2!$I$163:$I$298,MATCH($C103,WBS2!$F$163:$F$298,0))="","",INDEX(WBS2!$I$163:$I$298,MATCH($C103,WBS2!$F$163:$F$298,0))),"")</f>
        <v/>
      </c>
      <c r="AO103" s="102">
        <f>IFERROR(IF(OR($AN103="Chưa hoàn thành",$AN103="Sẵn sàng"),INDEX(WBS2!$H$163:$H$298,MATCH($C103,WBS2!$F$163:$F$298,0)),""),"")</f>
        <v/>
      </c>
      <c r="AP103">
        <f>IFERROR(IF(INDEX(WBS2!$J$163:$J$298,MATCH($C103,WBS2!$F$163:$F$298,0))="","",INDEX(WBS2!$J$163:$J$298,MATCH($C103,WBS2!$F$163:$F$298,0))),"")</f>
        <v/>
      </c>
    </row>
    <row r="104" hidden="1" ht="14.25" customHeight="1">
      <c r="A104" s="13" t="n">
        <v>103</v>
      </c>
      <c r="B104" s="70" t="inlineStr">
        <is>
          <t>Công ty Cổ phần công nghệ KIOTVIET</t>
        </is>
      </c>
      <c r="C104" s="14" t="inlineStr">
        <is>
          <t>0104359717</t>
        </is>
      </c>
      <c r="D104" s="70" t="inlineStr">
        <is>
          <t>Tầng 6-7, số 1B Yết Kiêu, phường Trần Hưng Đạo, quận Hoàn Kiếm, Tp Hà Nội</t>
        </is>
      </c>
      <c r="E104" s="18" t="inlineStr">
        <is>
          <t xml:space="preserve">https://hoadondientu.kiotviet.vn    </t>
        </is>
      </c>
      <c r="F104" s="20" t="inlineStr">
        <is>
          <t>Không có captcha</t>
        </is>
      </c>
      <c r="G104" s="23" t="inlineStr">
        <is>
          <t>https://tracuuhoadon.kiotviet.vn/</t>
        </is>
      </c>
      <c r="H104" s="35">
        <f>IF(N104&lt;&gt;"OK","",IF(IF(O104="✓","Mã tra cứu|","")&amp;IF(P104="✓","MST người bán|","")&amp;IF(Q104="✓","MST người mua|","")&amp;IF(R104="✓","Mẫu số / Ký hiệu|","")&amp;IF(S104="✓","Số HĐ|","")&amp;IF(T104="✓","Ngày lập|","")&amp;IF(U104="✓","Tổng tiền|","")&amp;IF(V104="✓","Mã CQT|","")&amp;IF(W104="✓","Upload XML|","")&amp;IF(X104="✓","Captcha ảnh|","")&amp;IF(Y104="✓","Captcha dạng tích|","")&amp;IF(Z104="✓","Captcha khác (slider/hình)|","")&amp;IF(AA104="✓","Đăng nhập|","")&amp;IF(AB104="✓","Email/SĐT/OTP|","")="","(không có tham số)",SUBSTITUTE(LEFT(IF(O104="✓","Mã tra cứu|","")&amp;IF(P104="✓","MST người bán|","")&amp;IF(Q104="✓","MST người mua|","")&amp;IF(R104="✓","Mẫu số / Ký hiệu|","")&amp;IF(S104="✓","Số HĐ|","")&amp;IF(T104="✓","Ngày lập|","")&amp;IF(U104="✓","Tổng tiền|","")&amp;IF(V104="✓","Mã CQT|","")&amp;IF(W104="✓","Upload XML|","")&amp;IF(X104="✓","Captcha ảnh|","")&amp;IF(Y104="✓","Captcha dạng tích|","")&amp;IF(Z104="✓","Captcha khác (slider/hình)|","")&amp;IF(AA104="✓","Đăng nhập|","")&amp;IF(AB104="✓","Email/SĐT/OTP|",""),LEN(IF(O104="✓","Mã tra cứu|","")&amp;IF(P104="✓","MST người bán|","")&amp;IF(Q104="✓","MST người mua|","")&amp;IF(R104="✓","Mẫu số / Ký hiệu|","")&amp;IF(S104="✓","Số HĐ|","")&amp;IF(T104="✓","Ngày lập|","")&amp;IF(U104="✓","Tổng tiền|","")&amp;IF(V104="✓","Mã CQT|","")&amp;IF(W104="✓","Upload XML|","")&amp;IF(X104="✓","Captcha ảnh|","")&amp;IF(Y104="✓","Captcha dạng tích|","")&amp;IF(Z104="✓","Captcha khác (slider/hình)|","")&amp;IF(AA104="✓","Đăng nhập|","")&amp;IF(AB104="✓","Email/SĐT/OTP|",""))-1),"|"," + ")))</f>
        <v/>
      </c>
      <c r="I104" s="17" t="n"/>
      <c r="J104" s="17" t="n"/>
      <c r="K104" s="17" t="n"/>
      <c r="L104" s="17" t="n"/>
      <c r="M104" s="37" t="n"/>
      <c r="N104" s="38" t="inlineStr">
        <is>
          <t>OK</t>
        </is>
      </c>
      <c r="O104" s="39" t="inlineStr">
        <is>
          <t>✓</t>
        </is>
      </c>
      <c r="P104" s="39" t="n"/>
      <c r="Q104" s="39" t="n"/>
      <c r="R104" s="39" t="n"/>
      <c r="S104" s="39" t="n"/>
      <c r="T104" s="39" t="n"/>
      <c r="U104" s="39" t="n"/>
      <c r="V104" s="39" t="n"/>
      <c r="W104" s="39" t="n"/>
      <c r="X104" s="39" t="n"/>
      <c r="Y104" s="39" t="n"/>
      <c r="Z104" s="39" t="n"/>
      <c r="AA104" s="39" t="n"/>
      <c r="AB104" s="39" t="n"/>
      <c r="AC104" s="39" t="n">
        <v>1</v>
      </c>
      <c r="AD104" s="16" t="inlineStr">
        <is>
          <t>không có</t>
        </is>
      </c>
      <c r="AE104" s="16" t="n"/>
      <c r="AF104" s="16" t="inlineStr">
        <is>
          <t>SPA (einvoice-lookup-web); chỉ 1 ô 'Nhập mã tra cứu' + nút Tìm kiếm</t>
        </is>
      </c>
      <c r="AG104" s="16" t="inlineStr">
        <is>
          <t>https://tracuuhoadon.kiotviet.vn/</t>
        </is>
      </c>
      <c r="AH104" s="1" t="n"/>
      <c r="AI104" s="1" t="n"/>
      <c r="AJ104">
        <f>IFERROR(IF(INDEX(WBS2!$I$2:$I$25,MATCH($C104,WBS2!$F$2:$F$25,0))="","",INDEX(WBS2!$I$2:$I$25,MATCH($C104,WBS2!$F$2:$F$25,0))),"")</f>
        <v/>
      </c>
      <c r="AK104">
        <f>IFERROR(IF(INDEX(WBS2!$I$27:$I$162,MATCH($C104,WBS2!$F$27:$F$162,0))="","",INDEX(WBS2!$I$27:$I$162,MATCH($C104,WBS2!$F$27:$F$162,0))),"")</f>
        <v/>
      </c>
      <c r="AL104" s="102">
        <f>IFERROR(IF(OR($AK104="Chưa hoàn thành",$AK104="Sẵn sàng"),INDEX(WBS2!$H$27:$H$162,MATCH($C104,WBS2!$F$27:$F$162,0)),""),"")</f>
        <v/>
      </c>
      <c r="AM104">
        <f>IFERROR(IF(INDEX(WBS2!$J$27:$J$162,MATCH($C104,WBS2!$F$27:$F$162,0))="","",INDEX(WBS2!$J$27:$J$162,MATCH($C104,WBS2!$F$27:$F$162,0))),"")</f>
        <v/>
      </c>
      <c r="AN104">
        <f>IFERROR(IF(INDEX(WBS2!$I$163:$I$298,MATCH($C104,WBS2!$F$163:$F$298,0))="","",INDEX(WBS2!$I$163:$I$298,MATCH($C104,WBS2!$F$163:$F$298,0))),"")</f>
        <v/>
      </c>
      <c r="AO104" s="102">
        <f>IFERROR(IF(OR($AN104="Chưa hoàn thành",$AN104="Sẵn sàng"),INDEX(WBS2!$H$163:$H$298,MATCH($C104,WBS2!$F$163:$F$298,0)),""),"")</f>
        <v/>
      </c>
      <c r="AP104">
        <f>IFERROR(IF(INDEX(WBS2!$J$163:$J$298,MATCH($C104,WBS2!$F$163:$F$298,0))="","",INDEX(WBS2!$J$163:$J$298,MATCH($C104,WBS2!$F$163:$F$298,0))),"")</f>
        <v/>
      </c>
    </row>
    <row r="105" hidden="1" ht="14.25" customHeight="1">
      <c r="A105" s="13" t="n">
        <v>104</v>
      </c>
      <c r="B105" s="70" t="inlineStr">
        <is>
          <t>Công ty Cổ phần công nghệ HARAVAN</t>
        </is>
      </c>
      <c r="C105" s="14" t="inlineStr">
        <is>
          <t>0312662961</t>
        </is>
      </c>
      <c r="D105" s="70" t="inlineStr">
        <is>
          <t>Tầng 6, 182 Lê Đại Hành, phường 15, quận 11, Tp Hồ Chí Minh</t>
        </is>
      </c>
      <c r="E105" s="18" t="inlineStr">
        <is>
          <t xml:space="preserve">https://haravan.com/pages/giai-phap-xuat-hoa-don-dien-tu  </t>
        </is>
      </c>
      <c r="F105" s="20" t="inlineStr">
        <is>
          <t>Không có captcha</t>
        </is>
      </c>
      <c r="G105" s="23" t="inlineStr">
        <is>
          <t>https://e-invoices.haravan.app/</t>
        </is>
      </c>
      <c r="H105" s="35">
        <f>IF(N105&lt;&gt;"OK","",IF(IF(O105="✓","Mã tra cứu|","")&amp;IF(P105="✓","MST người bán|","")&amp;IF(Q105="✓","MST người mua|","")&amp;IF(R105="✓","Mẫu số / Ký hiệu|","")&amp;IF(S105="✓","Số HĐ|","")&amp;IF(T105="✓","Ngày lập|","")&amp;IF(U105="✓","Tổng tiền|","")&amp;IF(V105="✓","Mã CQT|","")&amp;IF(W105="✓","Upload XML|","")&amp;IF(X105="✓","Captcha ảnh|","")&amp;IF(Y105="✓","Captcha dạng tích|","")&amp;IF(Z105="✓","Captcha khác (slider/hình)|","")&amp;IF(AA105="✓","Đăng nhập|","")&amp;IF(AB105="✓","Email/SĐT/OTP|","")="","(không có tham số)",SUBSTITUTE(LEFT(IF(O105="✓","Mã tra cứu|","")&amp;IF(P105="✓","MST người bán|","")&amp;IF(Q105="✓","MST người mua|","")&amp;IF(R105="✓","Mẫu số / Ký hiệu|","")&amp;IF(S105="✓","Số HĐ|","")&amp;IF(T105="✓","Ngày lập|","")&amp;IF(U105="✓","Tổng tiền|","")&amp;IF(V105="✓","Mã CQT|","")&amp;IF(W105="✓","Upload XML|","")&amp;IF(X105="✓","Captcha ảnh|","")&amp;IF(Y105="✓","Captcha dạng tích|","")&amp;IF(Z105="✓","Captcha khác (slider/hình)|","")&amp;IF(AA105="✓","Đăng nhập|","")&amp;IF(AB105="✓","Email/SĐT/OTP|",""),LEN(IF(O105="✓","Mã tra cứu|","")&amp;IF(P105="✓","MST người bán|","")&amp;IF(Q105="✓","MST người mua|","")&amp;IF(R105="✓","Mẫu số / Ký hiệu|","")&amp;IF(S105="✓","Số HĐ|","")&amp;IF(T105="✓","Ngày lập|","")&amp;IF(U105="✓","Tổng tiền|","")&amp;IF(V105="✓","Mã CQT|","")&amp;IF(W105="✓","Upload XML|","")&amp;IF(X105="✓","Captcha ảnh|","")&amp;IF(Y105="✓","Captcha dạng tích|","")&amp;IF(Z105="✓","Captcha khác (slider/hình)|","")&amp;IF(AA105="✓","Đăng nhập|","")&amp;IF(AB105="✓","Email/SĐT/OTP|",""))-1),"|"," + ")))</f>
        <v/>
      </c>
      <c r="I105" s="17" t="n"/>
      <c r="J105" s="17" t="n"/>
      <c r="K105" s="17" t="n"/>
      <c r="L105" s="17" t="n"/>
      <c r="M105" s="37" t="n"/>
      <c r="N105" s="38" t="inlineStr">
        <is>
          <t>OK</t>
        </is>
      </c>
      <c r="O105" s="39" t="inlineStr">
        <is>
          <t>✓</t>
        </is>
      </c>
      <c r="P105" s="39" t="inlineStr">
        <is>
          <t>✓</t>
        </is>
      </c>
      <c r="Q105" s="39" t="n"/>
      <c r="R105" s="39" t="n"/>
      <c r="S105" s="39" t="n"/>
      <c r="T105" s="39" t="n"/>
      <c r="U105" s="39" t="n"/>
      <c r="V105" s="39" t="n"/>
      <c r="W105" s="39" t="n"/>
      <c r="X105" s="39" t="n"/>
      <c r="Y105" s="39" t="n"/>
      <c r="Z105" s="39" t="n"/>
      <c r="AA105" s="39" t="n"/>
      <c r="AB105" s="39" t="n"/>
      <c r="AC105" s="39" t="n">
        <v>2</v>
      </c>
      <c r="AD105" s="16" t="inlineStr">
        <is>
          <t>reCAPTCHA v3 ẩn (api.js?render=&lt;sitekey&gt;, size=invisible)</t>
        </is>
      </c>
      <c r="AE105" s="16" t="inlineStr">
        <is>
          <t>Tab 'Tìm kiếm chứng từ' / 'phiếu xuất kho' / 'biên lai': cùng MST bên bán + Mã nhận HĐ; menu 'Danh sách hóa đơn'/'Đăng nhập' cho tài khoản</t>
        </is>
      </c>
      <c r="AF105" s="16" t="inlineStr">
        <is>
          <t>Form: MST bên bán (*) + Mã nhận HĐ (*); reCAPTCHA v3 chạy ngầm, không có ô tích</t>
        </is>
      </c>
      <c r="AG105" s="16" t="inlineStr">
        <is>
          <t>https://e-invoices.haravan.app/</t>
        </is>
      </c>
      <c r="AH105" s="1" t="n"/>
      <c r="AI105" s="1" t="n"/>
      <c r="AJ105">
        <f>IFERROR(IF(INDEX(WBS2!$I$2:$I$25,MATCH($C105,WBS2!$F$2:$F$25,0))="","",INDEX(WBS2!$I$2:$I$25,MATCH($C105,WBS2!$F$2:$F$25,0))),"")</f>
        <v/>
      </c>
      <c r="AK105">
        <f>IFERROR(IF(INDEX(WBS2!$I$27:$I$162,MATCH($C105,WBS2!$F$27:$F$162,0))="","",INDEX(WBS2!$I$27:$I$162,MATCH($C105,WBS2!$F$27:$F$162,0))),"")</f>
        <v/>
      </c>
      <c r="AL105" s="102">
        <f>IFERROR(IF(OR($AK105="Chưa hoàn thành",$AK105="Sẵn sàng"),INDEX(WBS2!$H$27:$H$162,MATCH($C105,WBS2!$F$27:$F$162,0)),""),"")</f>
        <v/>
      </c>
      <c r="AM105">
        <f>IFERROR(IF(INDEX(WBS2!$J$27:$J$162,MATCH($C105,WBS2!$F$27:$F$162,0))="","",INDEX(WBS2!$J$27:$J$162,MATCH($C105,WBS2!$F$27:$F$162,0))),"")</f>
        <v/>
      </c>
      <c r="AN105">
        <f>IFERROR(IF(INDEX(WBS2!$I$163:$I$298,MATCH($C105,WBS2!$F$163:$F$298,0))="","",INDEX(WBS2!$I$163:$I$298,MATCH($C105,WBS2!$F$163:$F$298,0))),"")</f>
        <v/>
      </c>
      <c r="AO105" s="102">
        <f>IFERROR(IF(OR($AN105="Chưa hoàn thành",$AN105="Sẵn sàng"),INDEX(WBS2!$H$163:$H$298,MATCH($C105,WBS2!$F$163:$F$298,0)),""),"")</f>
        <v/>
      </c>
      <c r="AP105">
        <f>IFERROR(IF(INDEX(WBS2!$J$163:$J$298,MATCH($C105,WBS2!$F$163:$F$298,0))="","",INDEX(WBS2!$J$163:$J$298,MATCH($C105,WBS2!$F$163:$F$298,0))),"")</f>
        <v/>
      </c>
    </row>
    <row r="106" hidden="1" ht="14.25" customHeight="1">
      <c r="A106" s="13" t="n">
        <v>105</v>
      </c>
      <c r="B106" s="70" t="inlineStr">
        <is>
          <t>Công ty Cổ phần IPOS.VN</t>
        </is>
      </c>
      <c r="C106" s="14" t="inlineStr">
        <is>
          <t>0104789847</t>
        </is>
      </c>
      <c r="D106" s="70" t="inlineStr">
        <is>
          <t>Tầng 11 tòa nhà VP Hòa Bình, 106 Hoàng Quốc Việt, phường Nghĩa Đô, quận Cầu Giấy, Tp Hà Nội</t>
        </is>
      </c>
      <c r="E106" s="18" t="inlineStr">
        <is>
          <t>https://ipos.vn/</t>
        </is>
      </c>
      <c r="F106" s="20" t="inlineStr">
        <is>
          <t>Không có captcha</t>
        </is>
      </c>
      <c r="G106" s="23" t="inlineStr">
        <is>
          <t>https://tracuuhoadon.ipos.vn/</t>
        </is>
      </c>
      <c r="H106" s="35">
        <f>IF(N106&lt;&gt;"OK","",IF(IF(O106="✓","Mã tra cứu|","")&amp;IF(P106="✓","MST người bán|","")&amp;IF(Q106="✓","MST người mua|","")&amp;IF(R106="✓","Mẫu số / Ký hiệu|","")&amp;IF(S106="✓","Số HĐ|","")&amp;IF(T106="✓","Ngày lập|","")&amp;IF(U106="✓","Tổng tiền|","")&amp;IF(V106="✓","Mã CQT|","")&amp;IF(W106="✓","Upload XML|","")&amp;IF(X106="✓","Captcha ảnh|","")&amp;IF(Y106="✓","Captcha dạng tích|","")&amp;IF(Z106="✓","Captcha khác (slider/hình)|","")&amp;IF(AA106="✓","Đăng nhập|","")&amp;IF(AB106="✓","Email/SĐT/OTP|","")="","(không có tham số)",SUBSTITUTE(LEFT(IF(O106="✓","Mã tra cứu|","")&amp;IF(P106="✓","MST người bán|","")&amp;IF(Q106="✓","MST người mua|","")&amp;IF(R106="✓","Mẫu số / Ký hiệu|","")&amp;IF(S106="✓","Số HĐ|","")&amp;IF(T106="✓","Ngày lập|","")&amp;IF(U106="✓","Tổng tiền|","")&amp;IF(V106="✓","Mã CQT|","")&amp;IF(W106="✓","Upload XML|","")&amp;IF(X106="✓","Captcha ảnh|","")&amp;IF(Y106="✓","Captcha dạng tích|","")&amp;IF(Z106="✓","Captcha khác (slider/hình)|","")&amp;IF(AA106="✓","Đăng nhập|","")&amp;IF(AB106="✓","Email/SĐT/OTP|",""),LEN(IF(O106="✓","Mã tra cứu|","")&amp;IF(P106="✓","MST người bán|","")&amp;IF(Q106="✓","MST người mua|","")&amp;IF(R106="✓","Mẫu số / Ký hiệu|","")&amp;IF(S106="✓","Số HĐ|","")&amp;IF(T106="✓","Ngày lập|","")&amp;IF(U106="✓","Tổng tiền|","")&amp;IF(V106="✓","Mã CQT|","")&amp;IF(W106="✓","Upload XML|","")&amp;IF(X106="✓","Captcha ảnh|","")&amp;IF(Y106="✓","Captcha dạng tích|","")&amp;IF(Z106="✓","Captcha khác (slider/hình)|","")&amp;IF(AA106="✓","Đăng nhập|","")&amp;IF(AB106="✓","Email/SĐT/OTP|",""))-1),"|"," + ")))</f>
        <v/>
      </c>
      <c r="I106" s="17" t="n"/>
      <c r="J106" s="17" t="n"/>
      <c r="K106" s="17" t="n"/>
      <c r="L106" s="17" t="n"/>
      <c r="M106" s="37" t="n"/>
      <c r="N106" s="38" t="inlineStr">
        <is>
          <t>OK</t>
        </is>
      </c>
      <c r="O106" s="39" t="inlineStr">
        <is>
          <t>✓</t>
        </is>
      </c>
      <c r="P106" s="39" t="n"/>
      <c r="Q106" s="39" t="n"/>
      <c r="R106" s="39" t="n"/>
      <c r="S106" s="39" t="n"/>
      <c r="T106" s="39" t="n"/>
      <c r="U106" s="39" t="n"/>
      <c r="V106" s="39" t="n"/>
      <c r="W106" s="39" t="n"/>
      <c r="X106" s="39" t="n"/>
      <c r="Y106" s="39" t="n"/>
      <c r="Z106" s="39" t="n"/>
      <c r="AA106" s="39" t="n"/>
      <c r="AB106" s="39" t="n"/>
      <c r="AC106" s="39" t="n">
        <v>1</v>
      </c>
      <c r="AD106" s="16" t="inlineStr">
        <is>
          <t>reCAPTCHA v3 ẩn (api.js?render=&lt;sitekey&gt;, size=invisible)</t>
        </is>
      </c>
      <c r="AE106" s="16" t="inlineStr">
        <is>
          <t>Tab 'Tìm kiếm chứng từ' / 'Tìm kiếm phiếu xuất kho'; menu 'Danh sách hóa đơn'/'Đăng nhập' cho tài khoản</t>
        </is>
      </c>
      <c r="AF106" s="16" t="inlineStr">
        <is>
          <t>Cùng mẫu với Haravan nhưng chỉ có ô Mã nhận HĐ (*) (không có MST)</t>
        </is>
      </c>
      <c r="AG106" s="16" t="inlineStr">
        <is>
          <t>https://tracuuhoadon.ipos.vn/</t>
        </is>
      </c>
      <c r="AH106" s="1" t="n"/>
      <c r="AI106" s="1" t="n"/>
      <c r="AJ106">
        <f>IFERROR(IF(INDEX(WBS2!$I$2:$I$25,MATCH($C106,WBS2!$F$2:$F$25,0))="","",INDEX(WBS2!$I$2:$I$25,MATCH($C106,WBS2!$F$2:$F$25,0))),"")</f>
        <v/>
      </c>
      <c r="AK106">
        <f>IFERROR(IF(INDEX(WBS2!$I$27:$I$162,MATCH($C106,WBS2!$F$27:$F$162,0))="","",INDEX(WBS2!$I$27:$I$162,MATCH($C106,WBS2!$F$27:$F$162,0))),"")</f>
        <v/>
      </c>
      <c r="AL106" s="102">
        <f>IFERROR(IF(OR($AK106="Chưa hoàn thành",$AK106="Sẵn sàng"),INDEX(WBS2!$H$27:$H$162,MATCH($C106,WBS2!$F$27:$F$162,0)),""),"")</f>
        <v/>
      </c>
      <c r="AM106">
        <f>IFERROR(IF(INDEX(WBS2!$J$27:$J$162,MATCH($C106,WBS2!$F$27:$F$162,0))="","",INDEX(WBS2!$J$27:$J$162,MATCH($C106,WBS2!$F$27:$F$162,0))),"")</f>
        <v/>
      </c>
      <c r="AN106">
        <f>IFERROR(IF(INDEX(WBS2!$I$163:$I$298,MATCH($C106,WBS2!$F$163:$F$298,0))="","",INDEX(WBS2!$I$163:$I$298,MATCH($C106,WBS2!$F$163:$F$298,0))),"")</f>
        <v/>
      </c>
      <c r="AO106" s="102">
        <f>IFERROR(IF(OR($AN106="Chưa hoàn thành",$AN106="Sẵn sàng"),INDEX(WBS2!$H$163:$H$298,MATCH($C106,WBS2!$F$163:$F$298,0)),""),"")</f>
        <v/>
      </c>
      <c r="AP106">
        <f>IFERROR(IF(INDEX(WBS2!$J$163:$J$298,MATCH($C106,WBS2!$F$163:$F$298,0))="","",INDEX(WBS2!$J$163:$J$298,MATCH($C106,WBS2!$F$163:$F$298,0))),"")</f>
        <v/>
      </c>
    </row>
    <row r="107" hidden="1" ht="14.25" customHeight="1">
      <c r="A107" s="13" t="n">
        <v>106</v>
      </c>
      <c r="B107" s="70" t="inlineStr">
        <is>
          <t>Công ty Cổ phần Dịch vụ Chữ ký số INTRUST</t>
        </is>
      </c>
      <c r="C107" s="14" t="inlineStr">
        <is>
          <t>0110333410</t>
        </is>
      </c>
      <c r="D107" s="13" t="inlineStr">
        <is>
          <t>Lô V7.6 tầng 7, trung tâm thương mại A-B Imperia Garden, số 203 Nguyễn Huy Tưởng, phường Thanh Xuân Trung, quận Thanh Xuân, Tp Hà Nội.</t>
        </is>
      </c>
      <c r="E107" s="18" t="inlineStr">
        <is>
          <t>https://intrustdss.vn/san-pham/chi-tiet/4</t>
        </is>
      </c>
      <c r="F107" s="20" t="inlineStr">
        <is>
          <t>Không có captcha</t>
        </is>
      </c>
      <c r="G107" s="23" t="inlineStr">
        <is>
          <t>https://lookupeinvoice.intrustdss.vn/</t>
        </is>
      </c>
      <c r="H107" s="35">
        <f>IF(N107&lt;&gt;"OK","",IF(IF(O107="✓","Mã tra cứu|","")&amp;IF(P107="✓","MST người bán|","")&amp;IF(Q107="✓","MST người mua|","")&amp;IF(R107="✓","Mẫu số / Ký hiệu|","")&amp;IF(S107="✓","Số HĐ|","")&amp;IF(T107="✓","Ngày lập|","")&amp;IF(U107="✓","Tổng tiền|","")&amp;IF(V107="✓","Mã CQT|","")&amp;IF(W107="✓","Upload XML|","")&amp;IF(X107="✓","Captcha ảnh|","")&amp;IF(Y107="✓","Captcha dạng tích|","")&amp;IF(Z107="✓","Captcha khác (slider/hình)|","")&amp;IF(AA107="✓","Đăng nhập|","")&amp;IF(AB107="✓","Email/SĐT/OTP|","")="","(không có tham số)",SUBSTITUTE(LEFT(IF(O107="✓","Mã tra cứu|","")&amp;IF(P107="✓","MST người bán|","")&amp;IF(Q107="✓","MST người mua|","")&amp;IF(R107="✓","Mẫu số / Ký hiệu|","")&amp;IF(S107="✓","Số HĐ|","")&amp;IF(T107="✓","Ngày lập|","")&amp;IF(U107="✓","Tổng tiền|","")&amp;IF(V107="✓","Mã CQT|","")&amp;IF(W107="✓","Upload XML|","")&amp;IF(X107="✓","Captcha ảnh|","")&amp;IF(Y107="✓","Captcha dạng tích|","")&amp;IF(Z107="✓","Captcha khác (slider/hình)|","")&amp;IF(AA107="✓","Đăng nhập|","")&amp;IF(AB107="✓","Email/SĐT/OTP|",""),LEN(IF(O107="✓","Mã tra cứu|","")&amp;IF(P107="✓","MST người bán|","")&amp;IF(Q107="✓","MST người mua|","")&amp;IF(R107="✓","Mẫu số / Ký hiệu|","")&amp;IF(S107="✓","Số HĐ|","")&amp;IF(T107="✓","Ngày lập|","")&amp;IF(U107="✓","Tổng tiền|","")&amp;IF(V107="✓","Mã CQT|","")&amp;IF(W107="✓","Upload XML|","")&amp;IF(X107="✓","Captcha ảnh|","")&amp;IF(Y107="✓","Captcha dạng tích|","")&amp;IF(Z107="✓","Captcha khác (slider/hình)|","")&amp;IF(AA107="✓","Đăng nhập|","")&amp;IF(AB107="✓","Email/SĐT/OTP|",""))-1),"|"," + ")))</f>
        <v/>
      </c>
      <c r="I107" s="17" t="n"/>
      <c r="J107" s="17" t="n"/>
      <c r="K107" s="17" t="n"/>
      <c r="L107" s="17" t="n"/>
      <c r="M107" s="37" t="n"/>
      <c r="N107" s="38" t="inlineStr">
        <is>
          <t>OK</t>
        </is>
      </c>
      <c r="O107" s="39" t="inlineStr">
        <is>
          <t>✓</t>
        </is>
      </c>
      <c r="P107" s="39" t="n"/>
      <c r="Q107" s="39" t="n"/>
      <c r="R107" s="39" t="n"/>
      <c r="S107" s="39" t="n"/>
      <c r="T107" s="39" t="n"/>
      <c r="U107" s="39" t="n"/>
      <c r="V107" s="39" t="n"/>
      <c r="W107" s="39" t="n"/>
      <c r="X107" s="39" t="n"/>
      <c r="Y107" s="39" t="n"/>
      <c r="Z107" s="39" t="n"/>
      <c r="AA107" s="39" t="n"/>
      <c r="AB107" s="39" t="n"/>
      <c r="AC107" s="39" t="n">
        <v>1</v>
      </c>
      <c r="AD107" s="16" t="inlineStr">
        <is>
          <t>không có (trang nạp angular-recaptcha + captchaService nhưng form tra cứu không hiển thị captcha)</t>
        </is>
      </c>
      <c r="AE107" s="16" t="inlineStr">
        <is>
          <t>Nút 'Đăng nhập' cho tài khoản</t>
        </is>
      </c>
      <c r="AF107" s="16" t="inlineStr">
        <is>
          <t>AngularJS; 1 ô 'Nhập mã tra cứu (*)'</t>
        </is>
      </c>
      <c r="AG107" s="16" t="inlineStr">
        <is>
          <t>https://lookupeinvoice.intrustdss.vn/</t>
        </is>
      </c>
      <c r="AH107" s="1" t="n"/>
      <c r="AI107" s="1" t="n"/>
      <c r="AJ107">
        <f>IFERROR(IF(INDEX(WBS2!$I$2:$I$25,MATCH($C107,WBS2!$F$2:$F$25,0))="","",INDEX(WBS2!$I$2:$I$25,MATCH($C107,WBS2!$F$2:$F$25,0))),"")</f>
        <v/>
      </c>
      <c r="AK107">
        <f>IFERROR(IF(INDEX(WBS2!$I$27:$I$162,MATCH($C107,WBS2!$F$27:$F$162,0))="","",INDEX(WBS2!$I$27:$I$162,MATCH($C107,WBS2!$F$27:$F$162,0))),"")</f>
        <v/>
      </c>
      <c r="AL107" s="102">
        <f>IFERROR(IF(OR($AK107="Chưa hoàn thành",$AK107="Sẵn sàng"),INDEX(WBS2!$H$27:$H$162,MATCH($C107,WBS2!$F$27:$F$162,0)),""),"")</f>
        <v/>
      </c>
      <c r="AM107">
        <f>IFERROR(IF(INDEX(WBS2!$J$27:$J$162,MATCH($C107,WBS2!$F$27:$F$162,0))="","",INDEX(WBS2!$J$27:$J$162,MATCH($C107,WBS2!$F$27:$F$162,0))),"")</f>
        <v/>
      </c>
      <c r="AN107">
        <f>IFERROR(IF(INDEX(WBS2!$I$163:$I$298,MATCH($C107,WBS2!$F$163:$F$298,0))="","",INDEX(WBS2!$I$163:$I$298,MATCH($C107,WBS2!$F$163:$F$298,0))),"")</f>
        <v/>
      </c>
      <c r="AO107" s="102">
        <f>IFERROR(IF(OR($AN107="Chưa hoàn thành",$AN107="Sẵn sàng"),INDEX(WBS2!$H$163:$H$298,MATCH($C107,WBS2!$F$163:$F$298,0)),""),"")</f>
        <v/>
      </c>
      <c r="AP107">
        <f>IFERROR(IF(INDEX(WBS2!$J$163:$J$298,MATCH($C107,WBS2!$F$163:$F$298,0))="","",INDEX(WBS2!$J$163:$J$298,MATCH($C107,WBS2!$F$163:$F$298,0))),"")</f>
        <v/>
      </c>
    </row>
    <row r="108" hidden="1" ht="14.25" customHeight="1">
      <c r="A108" s="13" t="n">
        <v>107</v>
      </c>
      <c r="B108" s="70" t="inlineStr">
        <is>
          <t>Công ty Cổ phần SCHOOL TECH</t>
        </is>
      </c>
      <c r="C108" s="14" t="inlineStr">
        <is>
          <t>0317509886</t>
        </is>
      </c>
      <c r="D108" s="70" t="inlineStr">
        <is>
          <t>49 Bàn Cờ, phường 3, quận 3, Tp Hồ Chí Minh</t>
        </is>
      </c>
      <c r="E108" s="18" t="inlineStr">
        <is>
          <t xml:space="preserve">https://yoyoin.yoyoschool.vn  </t>
        </is>
      </c>
      <c r="F108" s="20" t="inlineStr">
        <is>
          <t>Không có captcha</t>
        </is>
      </c>
      <c r="G108" s="23" t="inlineStr">
        <is>
          <t>https://lookupeinvoice.intrustdss.vn/</t>
        </is>
      </c>
      <c r="H108" s="35">
        <f>IF(N108&lt;&gt;"OK","",IF(IF(O108="✓","Mã tra cứu|","")&amp;IF(P108="✓","MST người bán|","")&amp;IF(Q108="✓","MST người mua|","")&amp;IF(R108="✓","Mẫu số / Ký hiệu|","")&amp;IF(S108="✓","Số HĐ|","")&amp;IF(T108="✓","Ngày lập|","")&amp;IF(U108="✓","Tổng tiền|","")&amp;IF(V108="✓","Mã CQT|","")&amp;IF(W108="✓","Upload XML|","")&amp;IF(X108="✓","Captcha ảnh|","")&amp;IF(Y108="✓","Captcha dạng tích|","")&amp;IF(Z108="✓","Captcha khác (slider/hình)|","")&amp;IF(AA108="✓","Đăng nhập|","")&amp;IF(AB108="✓","Email/SĐT/OTP|","")="","(không có tham số)",SUBSTITUTE(LEFT(IF(O108="✓","Mã tra cứu|","")&amp;IF(P108="✓","MST người bán|","")&amp;IF(Q108="✓","MST người mua|","")&amp;IF(R108="✓","Mẫu số / Ký hiệu|","")&amp;IF(S108="✓","Số HĐ|","")&amp;IF(T108="✓","Ngày lập|","")&amp;IF(U108="✓","Tổng tiền|","")&amp;IF(V108="✓","Mã CQT|","")&amp;IF(W108="✓","Upload XML|","")&amp;IF(X108="✓","Captcha ảnh|","")&amp;IF(Y108="✓","Captcha dạng tích|","")&amp;IF(Z108="✓","Captcha khác (slider/hình)|","")&amp;IF(AA108="✓","Đăng nhập|","")&amp;IF(AB108="✓","Email/SĐT/OTP|",""),LEN(IF(O108="✓","Mã tra cứu|","")&amp;IF(P108="✓","MST người bán|","")&amp;IF(Q108="✓","MST người mua|","")&amp;IF(R108="✓","Mẫu số / Ký hiệu|","")&amp;IF(S108="✓","Số HĐ|","")&amp;IF(T108="✓","Ngày lập|","")&amp;IF(U108="✓","Tổng tiền|","")&amp;IF(V108="✓","Mã CQT|","")&amp;IF(W108="✓","Upload XML|","")&amp;IF(X108="✓","Captcha ảnh|","")&amp;IF(Y108="✓","Captcha dạng tích|","")&amp;IF(Z108="✓","Captcha khác (slider/hình)|","")&amp;IF(AA108="✓","Đăng nhập|","")&amp;IF(AB108="✓","Email/SĐT/OTP|",""))-1),"|"," + ")))</f>
        <v/>
      </c>
      <c r="I108" s="17" t="n"/>
      <c r="J108" s="17" t="n"/>
      <c r="K108" s="17" t="n"/>
      <c r="L108" s="17" t="n"/>
      <c r="M108" s="37" t="n"/>
      <c r="N108" s="38" t="inlineStr">
        <is>
          <t>OK</t>
        </is>
      </c>
      <c r="O108" s="39" t="inlineStr">
        <is>
          <t>✓</t>
        </is>
      </c>
      <c r="P108" s="39" t="n"/>
      <c r="Q108" s="39" t="n"/>
      <c r="R108" s="39" t="n"/>
      <c r="S108" s="39" t="n"/>
      <c r="T108" s="39" t="n"/>
      <c r="U108" s="39" t="n"/>
      <c r="V108" s="39" t="n"/>
      <c r="W108" s="39" t="n"/>
      <c r="X108" s="39" t="n"/>
      <c r="Y108" s="39" t="n"/>
      <c r="Z108" s="39" t="n"/>
      <c r="AA108" s="39" t="n"/>
      <c r="AB108" s="39" t="n"/>
      <c r="AC108" s="39" t="n">
        <v>1</v>
      </c>
      <c r="AD108" s="16" t="inlineStr">
        <is>
          <t>không có (trang nạp angular-recaptcha + captchaService nhưng form tra cứu không hiển thị captcha)</t>
        </is>
      </c>
      <c r="AE108" s="16" t="inlineStr">
        <is>
          <t>Nút 'Đăng nhập' cho tài khoản</t>
        </is>
      </c>
      <c r="AF108" s="16" t="inlineStr">
        <is>
          <t>Trùng cổng INTRUST (dòng 107); AngularJS, 1 ô mã tra cứu</t>
        </is>
      </c>
      <c r="AG108" s="16" t="inlineStr">
        <is>
          <t>https://lookupeinvoice.intrustdss.vn/</t>
        </is>
      </c>
      <c r="AH108" s="1" t="n"/>
      <c r="AI108" s="1" t="n"/>
      <c r="AJ108">
        <f>IFERROR(IF(INDEX(WBS2!$I$2:$I$25,MATCH($C108,WBS2!$F$2:$F$25,0))="","",INDEX(WBS2!$I$2:$I$25,MATCH($C108,WBS2!$F$2:$F$25,0))),"")</f>
        <v/>
      </c>
      <c r="AK108">
        <f>IFERROR(IF(INDEX(WBS2!$I$27:$I$162,MATCH($C108,WBS2!$F$27:$F$162,0))="","",INDEX(WBS2!$I$27:$I$162,MATCH($C108,WBS2!$F$27:$F$162,0))),"")</f>
        <v/>
      </c>
      <c r="AL108" s="102">
        <f>IFERROR(IF(OR($AK108="Chưa hoàn thành",$AK108="Sẵn sàng"),INDEX(WBS2!$H$27:$H$162,MATCH($C108,WBS2!$F$27:$F$162,0)),""),"")</f>
        <v/>
      </c>
      <c r="AM108">
        <f>IFERROR(IF(INDEX(WBS2!$J$27:$J$162,MATCH($C108,WBS2!$F$27:$F$162,0))="","",INDEX(WBS2!$J$27:$J$162,MATCH($C108,WBS2!$F$27:$F$162,0))),"")</f>
        <v/>
      </c>
      <c r="AN108">
        <f>IFERROR(IF(INDEX(WBS2!$I$163:$I$298,MATCH($C108,WBS2!$F$163:$F$298,0))="","",INDEX(WBS2!$I$163:$I$298,MATCH($C108,WBS2!$F$163:$F$298,0))),"")</f>
        <v/>
      </c>
      <c r="AO108" s="102">
        <f>IFERROR(IF(OR($AN108="Chưa hoàn thành",$AN108="Sẵn sàng"),INDEX(WBS2!$H$163:$H$298,MATCH($C108,WBS2!$F$163:$F$298,0)),""),"")</f>
        <v/>
      </c>
      <c r="AP108">
        <f>IFERROR(IF(INDEX(WBS2!$J$163:$J$298,MATCH($C108,WBS2!$F$163:$F$298,0))="","",INDEX(WBS2!$J$163:$J$298,MATCH($C108,WBS2!$F$163:$F$298,0))),"")</f>
        <v/>
      </c>
    </row>
    <row r="109" hidden="1" ht="14.25" customHeight="1">
      <c r="A109" s="13" t="n">
        <v>108</v>
      </c>
      <c r="B109" s="71" t="inlineStr">
        <is>
          <t>Công ty Cổ phần Công nghệ Sapo</t>
        </is>
      </c>
      <c r="C109" s="14" t="inlineStr">
        <is>
          <t>0103243195</t>
        </is>
      </c>
      <c r="D109" s="13" t="inlineStr">
        <is>
          <t>Tầng 6, tòa nhà Ladeco, số 266 Đội Cấn, phường Liễu Giai, quận Ba Đình, Tp Hà Nội</t>
        </is>
      </c>
      <c r="E109" s="18" t="inlineStr">
        <is>
          <t>https://www.sapo.vn/blog/sapo-invoice</t>
        </is>
      </c>
      <c r="F109" s="20" t="inlineStr">
        <is>
          <t>Không có captcha</t>
        </is>
      </c>
      <c r="G109" s="23" t="inlineStr">
        <is>
          <t>https://www.sapo.vn/tra-cuu-sapo-invoice.html</t>
        </is>
      </c>
      <c r="H109" s="35">
        <f>IF(N109&lt;&gt;"OK","",IF(IF(O109="✓","Mã tra cứu|","")&amp;IF(P109="✓","MST người bán|","")&amp;IF(Q109="✓","MST người mua|","")&amp;IF(R109="✓","Mẫu số / Ký hiệu|","")&amp;IF(S109="✓","Số HĐ|","")&amp;IF(T109="✓","Ngày lập|","")&amp;IF(U109="✓","Tổng tiền|","")&amp;IF(V109="✓","Mã CQT|","")&amp;IF(W109="✓","Upload XML|","")&amp;IF(X109="✓","Captcha ảnh|","")&amp;IF(Y109="✓","Captcha dạng tích|","")&amp;IF(Z109="✓","Captcha khác (slider/hình)|","")&amp;IF(AA109="✓","Đăng nhập|","")&amp;IF(AB109="✓","Email/SĐT/OTP|","")="","(không có tham số)",SUBSTITUTE(LEFT(IF(O109="✓","Mã tra cứu|","")&amp;IF(P109="✓","MST người bán|","")&amp;IF(Q109="✓","MST người mua|","")&amp;IF(R109="✓","Mẫu số / Ký hiệu|","")&amp;IF(S109="✓","Số HĐ|","")&amp;IF(T109="✓","Ngày lập|","")&amp;IF(U109="✓","Tổng tiền|","")&amp;IF(V109="✓","Mã CQT|","")&amp;IF(W109="✓","Upload XML|","")&amp;IF(X109="✓","Captcha ảnh|","")&amp;IF(Y109="✓","Captcha dạng tích|","")&amp;IF(Z109="✓","Captcha khác (slider/hình)|","")&amp;IF(AA109="✓","Đăng nhập|","")&amp;IF(AB109="✓","Email/SĐT/OTP|",""),LEN(IF(O109="✓","Mã tra cứu|","")&amp;IF(P109="✓","MST người bán|","")&amp;IF(Q109="✓","MST người mua|","")&amp;IF(R109="✓","Mẫu số / Ký hiệu|","")&amp;IF(S109="✓","Số HĐ|","")&amp;IF(T109="✓","Ngày lập|","")&amp;IF(U109="✓","Tổng tiền|","")&amp;IF(V109="✓","Mã CQT|","")&amp;IF(W109="✓","Upload XML|","")&amp;IF(X109="✓","Captcha ảnh|","")&amp;IF(Y109="✓","Captcha dạng tích|","")&amp;IF(Z109="✓","Captcha khác (slider/hình)|","")&amp;IF(AA109="✓","Đăng nhập|","")&amp;IF(AB109="✓","Email/SĐT/OTP|",""))-1),"|"," + ")))</f>
        <v/>
      </c>
      <c r="I109" s="17" t="n"/>
      <c r="J109" s="17" t="n"/>
      <c r="K109" s="17" t="n"/>
      <c r="L109" s="17" t="n"/>
      <c r="M109" s="37" t="n"/>
      <c r="N109" s="38" t="inlineStr">
        <is>
          <t>OK</t>
        </is>
      </c>
      <c r="O109" s="39" t="inlineStr">
        <is>
          <t>✓</t>
        </is>
      </c>
      <c r="P109" s="39" t="n"/>
      <c r="Q109" s="39" t="n"/>
      <c r="R109" s="39" t="n"/>
      <c r="S109" s="39" t="n"/>
      <c r="T109" s="39" t="n"/>
      <c r="U109" s="39" t="n"/>
      <c r="V109" s="39" t="n"/>
      <c r="W109" s="39" t="n"/>
      <c r="X109" s="39" t="n"/>
      <c r="Y109" s="39" t="n"/>
      <c r="Z109" s="39" t="n"/>
      <c r="AA109" s="39" t="n"/>
      <c r="AB109" s="39" t="n"/>
      <c r="AC109" s="39" t="n">
        <v>1</v>
      </c>
      <c r="AD109" s="16" t="inlineStr">
        <is>
          <t>không có</t>
        </is>
      </c>
      <c r="AE109" s="16" t="inlineStr">
        <is>
          <t>Tab 'Theo file .xml': upload XML (≤2MB); mục 'Chứng từ điện tử': mã tra cứu chứng từ hoặc file XML</t>
        </is>
      </c>
      <c r="AF109" s="16" t="inlineStr">
        <is>
          <t>Tab mặc định 'Theo mã tra cứu': 1 ô mã tra cứu hóa đơn</t>
        </is>
      </c>
      <c r="AG109" s="16" t="inlineStr">
        <is>
          <t>https://www.sapo.vn/tra-cuu-sapo-invoice.html</t>
        </is>
      </c>
      <c r="AH109" s="1" t="n"/>
      <c r="AI109" s="1" t="n"/>
      <c r="AJ109">
        <f>IFERROR(IF(INDEX(WBS2!$I$2:$I$25,MATCH($C109,WBS2!$F$2:$F$25,0))="","",INDEX(WBS2!$I$2:$I$25,MATCH($C109,WBS2!$F$2:$F$25,0))),"")</f>
        <v/>
      </c>
      <c r="AK109">
        <f>IFERROR(IF(INDEX(WBS2!$I$27:$I$162,MATCH($C109,WBS2!$F$27:$F$162,0))="","",INDEX(WBS2!$I$27:$I$162,MATCH($C109,WBS2!$F$27:$F$162,0))),"")</f>
        <v/>
      </c>
      <c r="AL109" s="102">
        <f>IFERROR(IF(OR($AK109="Chưa hoàn thành",$AK109="Sẵn sàng"),INDEX(WBS2!$H$27:$H$162,MATCH($C109,WBS2!$F$27:$F$162,0)),""),"")</f>
        <v/>
      </c>
      <c r="AM109">
        <f>IFERROR(IF(INDEX(WBS2!$J$27:$J$162,MATCH($C109,WBS2!$F$27:$F$162,0))="","",INDEX(WBS2!$J$27:$J$162,MATCH($C109,WBS2!$F$27:$F$162,0))),"")</f>
        <v/>
      </c>
      <c r="AN109">
        <f>IFERROR(IF(INDEX(WBS2!$I$163:$I$298,MATCH($C109,WBS2!$F$163:$F$298,0))="","",INDEX(WBS2!$I$163:$I$298,MATCH($C109,WBS2!$F$163:$F$298,0))),"")</f>
        <v/>
      </c>
      <c r="AO109" s="102">
        <f>IFERROR(IF(OR($AN109="Chưa hoàn thành",$AN109="Sẵn sàng"),INDEX(WBS2!$H$163:$H$298,MATCH($C109,WBS2!$F$163:$F$298,0)),""),"")</f>
        <v/>
      </c>
      <c r="AP109">
        <f>IFERROR(IF(INDEX(WBS2!$J$163:$J$298,MATCH($C109,WBS2!$F$163:$F$298,0))="","",INDEX(WBS2!$J$163:$J$298,MATCH($C109,WBS2!$F$163:$F$298,0))),"")</f>
        <v/>
      </c>
    </row>
    <row r="110" hidden="1" ht="14.25" customHeight="1">
      <c r="A110" s="13" t="n">
        <v>109</v>
      </c>
      <c r="B110" s="13" t="inlineStr">
        <is>
          <t>Công ty TNHH Pancake Việt Nam</t>
        </is>
      </c>
      <c r="C110" s="14" t="inlineStr">
        <is>
          <t>0109039397</t>
        </is>
      </c>
      <c r="D110" s="13" t="inlineStr">
        <is>
          <t>Tầng 12A, tòa A3 Ecolife Capitol, số 58 Tố Hữu, phường Trung Văn, quận Nam Từ Liêm, Tp Hà Nội</t>
        </is>
      </c>
      <c r="E110" s="18" t="inlineStr">
        <is>
          <t xml:space="preserve">https://pos.pancake.vn/e-invoice </t>
        </is>
      </c>
      <c r="F110" s="20" t="inlineStr">
        <is>
          <t>Không có captcha</t>
        </is>
      </c>
      <c r="G110" s="23" t="inlineStr">
        <is>
          <t>https://tracuu.pancake.vn/</t>
        </is>
      </c>
      <c r="H110" s="35">
        <f>IF(N110&lt;&gt;"OK","",IF(IF(O110="✓","Mã tra cứu|","")&amp;IF(P110="✓","MST người bán|","")&amp;IF(Q110="✓","MST người mua|","")&amp;IF(R110="✓","Mẫu số / Ký hiệu|","")&amp;IF(S110="✓","Số HĐ|","")&amp;IF(T110="✓","Ngày lập|","")&amp;IF(U110="✓","Tổng tiền|","")&amp;IF(V110="✓","Mã CQT|","")&amp;IF(W110="✓","Upload XML|","")&amp;IF(X110="✓","Captcha ảnh|","")&amp;IF(Y110="✓","Captcha dạng tích|","")&amp;IF(Z110="✓","Captcha khác (slider/hình)|","")&amp;IF(AA110="✓","Đăng nhập|","")&amp;IF(AB110="✓","Email/SĐT/OTP|","")="","(không có tham số)",SUBSTITUTE(LEFT(IF(O110="✓","Mã tra cứu|","")&amp;IF(P110="✓","MST người bán|","")&amp;IF(Q110="✓","MST người mua|","")&amp;IF(R110="✓","Mẫu số / Ký hiệu|","")&amp;IF(S110="✓","Số HĐ|","")&amp;IF(T110="✓","Ngày lập|","")&amp;IF(U110="✓","Tổng tiền|","")&amp;IF(V110="✓","Mã CQT|","")&amp;IF(W110="✓","Upload XML|","")&amp;IF(X110="✓","Captcha ảnh|","")&amp;IF(Y110="✓","Captcha dạng tích|","")&amp;IF(Z110="✓","Captcha khác (slider/hình)|","")&amp;IF(AA110="✓","Đăng nhập|","")&amp;IF(AB110="✓","Email/SĐT/OTP|",""),LEN(IF(O110="✓","Mã tra cứu|","")&amp;IF(P110="✓","MST người bán|","")&amp;IF(Q110="✓","MST người mua|","")&amp;IF(R110="✓","Mẫu số / Ký hiệu|","")&amp;IF(S110="✓","Số HĐ|","")&amp;IF(T110="✓","Ngày lập|","")&amp;IF(U110="✓","Tổng tiền|","")&amp;IF(V110="✓","Mã CQT|","")&amp;IF(W110="✓","Upload XML|","")&amp;IF(X110="✓","Captcha ảnh|","")&amp;IF(Y110="✓","Captcha dạng tích|","")&amp;IF(Z110="✓","Captcha khác (slider/hình)|","")&amp;IF(AA110="✓","Đăng nhập|","")&amp;IF(AB110="✓","Email/SĐT/OTP|",""))-1),"|"," + ")))</f>
        <v/>
      </c>
      <c r="I110" s="17" t="n"/>
      <c r="J110" s="17" t="n"/>
      <c r="K110" s="17" t="n"/>
      <c r="L110" s="17" t="n"/>
      <c r="M110" s="37" t="n"/>
      <c r="N110" s="38" t="inlineStr">
        <is>
          <t>OK</t>
        </is>
      </c>
      <c r="O110" s="39" t="inlineStr">
        <is>
          <t>✓</t>
        </is>
      </c>
      <c r="P110" s="39" t="n"/>
      <c r="Q110" s="39" t="n"/>
      <c r="R110" s="39" t="n"/>
      <c r="S110" s="39" t="n"/>
      <c r="T110" s="39" t="n"/>
      <c r="U110" s="39" t="n"/>
      <c r="V110" s="39" t="n"/>
      <c r="W110" s="39" t="n"/>
      <c r="X110" s="39" t="n"/>
      <c r="Y110" s="39" t="n"/>
      <c r="Z110" s="39" t="n"/>
      <c r="AA110" s="39" t="n"/>
      <c r="AB110" s="39" t="n"/>
      <c r="AC110" s="39" t="n">
        <v>1</v>
      </c>
      <c r="AD110" s="16" t="inlineStr">
        <is>
          <t>reCAPTCHA v3 ẩn (api.js?render=&lt;sitekey&gt;, size=invisible)</t>
        </is>
      </c>
      <c r="AE110" s="16" t="inlineStr">
        <is>
          <t>Tab 'Tìm kiếm chứng từ' / 'Tìm kiếm phiếu xuất kho'; menu 'Danh sách hóa đơn'/'Đăng nhập' cho tài khoản</t>
        </is>
      </c>
      <c r="AF110" s="16" t="inlineStr">
        <is>
          <t>Cùng mẫu với Haravan/iPOS; chỉ ô Mã nhận HĐ (*)</t>
        </is>
      </c>
      <c r="AG110" s="16" t="inlineStr">
        <is>
          <t>https://tracuu.pancake.vn/</t>
        </is>
      </c>
      <c r="AH110" s="1" t="n"/>
      <c r="AI110" s="1" t="n"/>
      <c r="AJ110">
        <f>IFERROR(IF(INDEX(WBS2!$I$2:$I$25,MATCH($C110,WBS2!$F$2:$F$25,0))="","",INDEX(WBS2!$I$2:$I$25,MATCH($C110,WBS2!$F$2:$F$25,0))),"")</f>
        <v/>
      </c>
      <c r="AK110">
        <f>IFERROR(IF(INDEX(WBS2!$I$27:$I$162,MATCH($C110,WBS2!$F$27:$F$162,0))="","",INDEX(WBS2!$I$27:$I$162,MATCH($C110,WBS2!$F$27:$F$162,0))),"")</f>
        <v/>
      </c>
      <c r="AL110" s="102">
        <f>IFERROR(IF(OR($AK110="Chưa hoàn thành",$AK110="Sẵn sàng"),INDEX(WBS2!$H$27:$H$162,MATCH($C110,WBS2!$F$27:$F$162,0)),""),"")</f>
        <v/>
      </c>
      <c r="AM110">
        <f>IFERROR(IF(INDEX(WBS2!$J$27:$J$162,MATCH($C110,WBS2!$F$27:$F$162,0))="","",INDEX(WBS2!$J$27:$J$162,MATCH($C110,WBS2!$F$27:$F$162,0))),"")</f>
        <v/>
      </c>
      <c r="AN110">
        <f>IFERROR(IF(INDEX(WBS2!$I$163:$I$298,MATCH($C110,WBS2!$F$163:$F$298,0))="","",INDEX(WBS2!$I$163:$I$298,MATCH($C110,WBS2!$F$163:$F$298,0))),"")</f>
        <v/>
      </c>
      <c r="AO110" s="102">
        <f>IFERROR(IF(OR($AN110="Chưa hoàn thành",$AN110="Sẵn sàng"),INDEX(WBS2!$H$163:$H$298,MATCH($C110,WBS2!$F$163:$F$298,0)),""),"")</f>
        <v/>
      </c>
      <c r="AP110">
        <f>IFERROR(IF(INDEX(WBS2!$J$163:$J$298,MATCH($C110,WBS2!$F$163:$F$298,0))="","",INDEX(WBS2!$J$163:$J$298,MATCH($C110,WBS2!$F$163:$F$298,0))),"")</f>
        <v/>
      </c>
    </row>
    <row r="111" ht="14.25" customHeight="1">
      <c r="A111" s="13" t="n">
        <v>110</v>
      </c>
      <c r="B111" s="28" t="inlineStr">
        <is>
          <t>Công ty Cổ phần Technology Convergence Corporation</t>
        </is>
      </c>
      <c r="C111" s="14" t="inlineStr">
        <is>
          <t>0109045760</t>
        </is>
      </c>
      <c r="D111" s="13" t="inlineStr">
        <is>
          <t>Tầng 2, khu trung tâm thương mại Hàng Da, số 1 phố Hàng Da, phường Cửa Đông, quận Hoàn Kiếm, Tp Hà Nội</t>
        </is>
      </c>
      <c r="E111" s="83" t="inlineStr">
        <is>
          <t xml:space="preserve">https://netacom.vn/neta-einvoice.html   </t>
        </is>
      </c>
      <c r="F111" s="20" t="inlineStr">
        <is>
          <t>có captcha</t>
        </is>
      </c>
      <c r="G111" s="63" t="inlineStr">
        <is>
          <t>https://0109045760hd.easyinvoice.vn/Search/Index</t>
        </is>
      </c>
      <c r="H111" s="35">
        <f>IF(N111&lt;&gt;"OK","",IF(IF(O111="✓","Mã tra cứu|","")&amp;IF(P111="✓","MST người bán|","")&amp;IF(Q111="✓","MST người mua|","")&amp;IF(R111="✓","Mẫu số / Ký hiệu|","")&amp;IF(S111="✓","Số HĐ|","")&amp;IF(T111="✓","Ngày lập|","")&amp;IF(U111="✓","Tổng tiền|","")&amp;IF(V111="✓","Mã CQT|","")&amp;IF(W111="✓","Upload XML|","")&amp;IF(X111="✓","Captcha ảnh|","")&amp;IF(Y111="✓","Captcha dạng tích|","")&amp;IF(Z111="✓","Captcha khác (slider/hình)|","")&amp;IF(AA111="✓","Đăng nhập|","")&amp;IF(AB111="✓","Email/SĐT/OTP|","")="","(không có tham số)",SUBSTITUTE(LEFT(IF(O111="✓","Mã tra cứu|","")&amp;IF(P111="✓","MST người bán|","")&amp;IF(Q111="✓","MST người mua|","")&amp;IF(R111="✓","Mẫu số / Ký hiệu|","")&amp;IF(S111="✓","Số HĐ|","")&amp;IF(T111="✓","Ngày lập|","")&amp;IF(U111="✓","Tổng tiền|","")&amp;IF(V111="✓","Mã CQT|","")&amp;IF(W111="✓","Upload XML|","")&amp;IF(X111="✓","Captcha ảnh|","")&amp;IF(Y111="✓","Captcha dạng tích|","")&amp;IF(Z111="✓","Captcha khác (slider/hình)|","")&amp;IF(AA111="✓","Đăng nhập|","")&amp;IF(AB111="✓","Email/SĐT/OTP|",""),LEN(IF(O111="✓","Mã tra cứu|","")&amp;IF(P111="✓","MST người bán|","")&amp;IF(Q111="✓","MST người mua|","")&amp;IF(R111="✓","Mẫu số / Ký hiệu|","")&amp;IF(S111="✓","Số HĐ|","")&amp;IF(T111="✓","Ngày lập|","")&amp;IF(U111="✓","Tổng tiền|","")&amp;IF(V111="✓","Mã CQT|","")&amp;IF(W111="✓","Upload XML|","")&amp;IF(X111="✓","Captcha ảnh|","")&amp;IF(Y111="✓","Captcha dạng tích|","")&amp;IF(Z111="✓","Captcha khác (slider/hình)|","")&amp;IF(AA111="✓","Đăng nhập|","")&amp;IF(AB111="✓","Email/SĐT/OTP|",""))-1),"|"," + ")))</f>
        <v/>
      </c>
      <c r="I111" s="20" t="inlineStr">
        <is>
          <t>Xong</t>
        </is>
      </c>
      <c r="J111" s="17" t="n"/>
      <c r="K111" s="60" t="n">
        <v>0.96</v>
      </c>
      <c r="L111" s="20" t="inlineStr">
        <is>
          <t>g_150x34</t>
        </is>
      </c>
      <c r="M111" s="37" t="n"/>
      <c r="N111" s="38" t="inlineStr">
        <is>
          <t>OK</t>
        </is>
      </c>
      <c r="O111" s="39" t="inlineStr">
        <is>
          <t>✓</t>
        </is>
      </c>
      <c r="P111" s="39" t="n"/>
      <c r="Q111" s="39" t="n"/>
      <c r="R111" s="39" t="n"/>
      <c r="S111" s="39" t="n"/>
      <c r="T111" s="39" t="n"/>
      <c r="U111" s="39" t="n"/>
      <c r="V111" s="39" t="n"/>
      <c r="W111" s="39" t="n"/>
      <c r="X111" s="39" t="inlineStr">
        <is>
          <t>✓</t>
        </is>
      </c>
      <c r="Y111" s="39" t="n"/>
      <c r="Z111" s="39" t="n"/>
      <c r="AA111" s="39" t="n"/>
      <c r="AB111" s="39" t="n"/>
      <c r="AC111" s="39" t="n">
        <v>2</v>
      </c>
      <c r="AD111" s="16" t="inlineStr">
        <is>
          <t>ảnh 150x34 (/Captcha/Show) — nhóm g_150x34</t>
        </is>
      </c>
      <c r="AE111" s="16" t="inlineStr">
        <is>
          <t>'Kiểm tra hóa đơn' (/Invoice/CheckInvoice): upload XML + captcha ảnh; 'Danh sách hóa đơn'/'Đăng nhập': tài khoản</t>
        </is>
      </c>
      <c r="AF111" s="16" t="inlineStr">
        <is>
          <t>Cổng EasyInvoice (Softdreams) riêng của khách 0109045760; form Mã tra cứu (Fkey) + Mã xác thực</t>
        </is>
      </c>
      <c r="AG111" s="16" t="inlineStr">
        <is>
          <t>https://0109045760hd.easyinvoice.vn/Search/Index</t>
        </is>
      </c>
      <c r="AH111" s="1" t="n"/>
      <c r="AI111" s="1" t="n"/>
      <c r="AJ111">
        <f>IFERROR(IF(INDEX(WBS2!$I$2:$I$25,MATCH($C111,WBS2!$F$2:$F$25,0))="","",INDEX(WBS2!$I$2:$I$25,MATCH($C111,WBS2!$F$2:$F$25,0))),"")</f>
        <v/>
      </c>
      <c r="AK111">
        <f>IFERROR(IF(INDEX(WBS2!$I$27:$I$162,MATCH($C111,WBS2!$F$27:$F$162,0))="","",INDEX(WBS2!$I$27:$I$162,MATCH($C111,WBS2!$F$27:$F$162,0))),"")</f>
        <v/>
      </c>
      <c r="AL111" s="102">
        <f>IFERROR(IF(OR($AK111="Chưa hoàn thành",$AK111="Sẵn sàng"),INDEX(WBS2!$H$27:$H$162,MATCH($C111,WBS2!$F$27:$F$162,0)),""),"")</f>
        <v/>
      </c>
      <c r="AM111">
        <f>IFERROR(IF(INDEX(WBS2!$J$27:$J$162,MATCH($C111,WBS2!$F$27:$F$162,0))="","",INDEX(WBS2!$J$27:$J$162,MATCH($C111,WBS2!$F$27:$F$162,0))),"")</f>
        <v/>
      </c>
      <c r="AN111">
        <f>IFERROR(IF(INDEX(WBS2!$I$163:$I$298,MATCH($C111,WBS2!$F$163:$F$298,0))="","",INDEX(WBS2!$I$163:$I$298,MATCH($C111,WBS2!$F$163:$F$298,0))),"")</f>
        <v/>
      </c>
      <c r="AO111" s="102">
        <f>IFERROR(IF(OR($AN111="Chưa hoàn thành",$AN111="Sẵn sàng"),INDEX(WBS2!$H$163:$H$298,MATCH($C111,WBS2!$F$163:$F$298,0)),""),"")</f>
        <v/>
      </c>
      <c r="AP111">
        <f>IFERROR(IF(INDEX(WBS2!$J$163:$J$298,MATCH($C111,WBS2!$F$163:$F$298,0))="","",INDEX(WBS2!$J$163:$J$298,MATCH($C111,WBS2!$F$163:$F$298,0))),"")</f>
        <v/>
      </c>
    </row>
    <row r="112" hidden="1" ht="14.25" customHeight="1">
      <c r="A112" s="13" t="n">
        <v>111</v>
      </c>
      <c r="B112" s="28" t="inlineStr">
        <is>
          <t>Công ty Cổ phần Giải pháp số IGAS</t>
        </is>
      </c>
      <c r="C112" s="14" t="inlineStr">
        <is>
          <t>0111090707</t>
        </is>
      </c>
      <c r="D112" s="13" t="inlineStr">
        <is>
          <t xml:space="preserve">Lô A3-14 đường Hà Phong 3, khu đô thị Hà Phong, xã Mê Linh, Tp Hà Nội </t>
        </is>
      </c>
      <c r="E112" s="83" t="inlineStr">
        <is>
          <t xml:space="preserve">https://hoadon.igas.vn     </t>
        </is>
      </c>
      <c r="F112" s="20" t="inlineStr">
        <is>
          <t>không có thông tin</t>
        </is>
      </c>
      <c r="G112" s="66" t="inlineStr">
        <is>
          <t>https://tracuu.igas.vn/</t>
        </is>
      </c>
      <c r="H112" s="35">
        <f>IF(N112&lt;&gt;"OK","",IF(IF(O112="✓","Mã tra cứu|","")&amp;IF(P112="✓","MST người bán|","")&amp;IF(Q112="✓","MST người mua|","")&amp;IF(R112="✓","Mẫu số / Ký hiệu|","")&amp;IF(S112="✓","Số HĐ|","")&amp;IF(T112="✓","Ngày lập|","")&amp;IF(U112="✓","Tổng tiền|","")&amp;IF(V112="✓","Mã CQT|","")&amp;IF(W112="✓","Upload XML|","")&amp;IF(X112="✓","Captcha ảnh|","")&amp;IF(Y112="✓","Captcha dạng tích|","")&amp;IF(Z112="✓","Captcha khác (slider/hình)|","")&amp;IF(AA112="✓","Đăng nhập|","")&amp;IF(AB112="✓","Email/SĐT/OTP|","")="","(không có tham số)",SUBSTITUTE(LEFT(IF(O112="✓","Mã tra cứu|","")&amp;IF(P112="✓","MST người bán|","")&amp;IF(Q112="✓","MST người mua|","")&amp;IF(R112="✓","Mẫu số / Ký hiệu|","")&amp;IF(S112="✓","Số HĐ|","")&amp;IF(T112="✓","Ngày lập|","")&amp;IF(U112="✓","Tổng tiền|","")&amp;IF(V112="✓","Mã CQT|","")&amp;IF(W112="✓","Upload XML|","")&amp;IF(X112="✓","Captcha ảnh|","")&amp;IF(Y112="✓","Captcha dạng tích|","")&amp;IF(Z112="✓","Captcha khác (slider/hình)|","")&amp;IF(AA112="✓","Đăng nhập|","")&amp;IF(AB112="✓","Email/SĐT/OTP|",""),LEN(IF(O112="✓","Mã tra cứu|","")&amp;IF(P112="✓","MST người bán|","")&amp;IF(Q112="✓","MST người mua|","")&amp;IF(R112="✓","Mẫu số / Ký hiệu|","")&amp;IF(S112="✓","Số HĐ|","")&amp;IF(T112="✓","Ngày lập|","")&amp;IF(U112="✓","Tổng tiền|","")&amp;IF(V112="✓","Mã CQT|","")&amp;IF(W112="✓","Upload XML|","")&amp;IF(X112="✓","Captcha ảnh|","")&amp;IF(Y112="✓","Captcha dạng tích|","")&amp;IF(Z112="✓","Captcha khác (slider/hình)|","")&amp;IF(AA112="✓","Đăng nhập|","")&amp;IF(AB112="✓","Email/SĐT/OTP|",""))-1),"|"," + ")))</f>
        <v/>
      </c>
      <c r="I112" s="17" t="n"/>
      <c r="J112" s="17" t="n"/>
      <c r="K112" s="17" t="n"/>
      <c r="L112" s="17" t="n"/>
      <c r="M112" s="37" t="n"/>
      <c r="N112" s="38" t="inlineStr">
        <is>
          <t>OK</t>
        </is>
      </c>
      <c r="O112" s="39" t="inlineStr">
        <is>
          <t>✓</t>
        </is>
      </c>
      <c r="P112" s="39" t="n"/>
      <c r="Q112" s="39" t="n"/>
      <c r="R112" s="39" t="n"/>
      <c r="S112" s="39" t="n"/>
      <c r="T112" s="39" t="n"/>
      <c r="U112" s="39" t="n"/>
      <c r="V112" s="39" t="n"/>
      <c r="W112" s="39" t="n"/>
      <c r="X112" s="39" t="n"/>
      <c r="Y112" s="39" t="n"/>
      <c r="Z112" s="39" t="n"/>
      <c r="AA112" s="39" t="n"/>
      <c r="AB112" s="39" t="n"/>
      <c r="AC112" s="39" t="n">
        <v>1</v>
      </c>
      <c r="AD112" s="16" t="inlineStr">
        <is>
          <t>không có</t>
        </is>
      </c>
      <c r="AE112" s="16" t="n"/>
      <c r="AF112" s="16" t="inlineStr">
        <is>
          <t>Giao diện cùng mẫu với tchd.bizzi.vn (SPA React) nhưng không nạp Turnstile; chỉ 1 ô mã tra cứu</t>
        </is>
      </c>
      <c r="AG112" s="16" t="inlineStr">
        <is>
          <t>https://tracuu.igas.vn/</t>
        </is>
      </c>
      <c r="AH112" s="1" t="n"/>
      <c r="AI112" s="1" t="n"/>
      <c r="AJ112">
        <f>IFERROR(IF(INDEX(WBS2!$I$2:$I$25,MATCH($C112,WBS2!$F$2:$F$25,0))="","",INDEX(WBS2!$I$2:$I$25,MATCH($C112,WBS2!$F$2:$F$25,0))),"")</f>
        <v/>
      </c>
      <c r="AK112">
        <f>IFERROR(IF(INDEX(WBS2!$I$27:$I$162,MATCH($C112,WBS2!$F$27:$F$162,0))="","",INDEX(WBS2!$I$27:$I$162,MATCH($C112,WBS2!$F$27:$F$162,0))),"")</f>
        <v/>
      </c>
      <c r="AL112" s="102">
        <f>IFERROR(IF(OR($AK112="Chưa hoàn thành",$AK112="Sẵn sàng"),INDEX(WBS2!$H$27:$H$162,MATCH($C112,WBS2!$F$27:$F$162,0)),""),"")</f>
        <v/>
      </c>
      <c r="AM112">
        <f>IFERROR(IF(INDEX(WBS2!$J$27:$J$162,MATCH($C112,WBS2!$F$27:$F$162,0))="","",INDEX(WBS2!$J$27:$J$162,MATCH($C112,WBS2!$F$27:$F$162,0))),"")</f>
        <v/>
      </c>
      <c r="AN112">
        <f>IFERROR(IF(INDEX(WBS2!$I$163:$I$298,MATCH($C112,WBS2!$F$163:$F$298,0))="","",INDEX(WBS2!$I$163:$I$298,MATCH($C112,WBS2!$F$163:$F$298,0))),"")</f>
        <v/>
      </c>
      <c r="AO112" s="102">
        <f>IFERROR(IF(OR($AN112="Chưa hoàn thành",$AN112="Sẵn sàng"),INDEX(WBS2!$H$163:$H$298,MATCH($C112,WBS2!$F$163:$F$298,0)),""),"")</f>
        <v/>
      </c>
      <c r="AP112">
        <f>IFERROR(IF(INDEX(WBS2!$J$163:$J$298,MATCH($C112,WBS2!$F$163:$F$298,0))="","",INDEX(WBS2!$J$163:$J$298,MATCH($C112,WBS2!$F$163:$F$298,0))),"")</f>
        <v/>
      </c>
    </row>
    <row r="113" hidden="1" ht="14.25" customHeight="1">
      <c r="A113" s="13" t="n">
        <v>112</v>
      </c>
      <c r="B113" s="71" t="inlineStr">
        <is>
          <t>Công ty TNHH OG Technologies</t>
        </is>
      </c>
      <c r="C113" s="14" t="inlineStr">
        <is>
          <t>0109996406</t>
        </is>
      </c>
      <c r="D113" s="70" t="inlineStr">
        <is>
          <t>Tầng 46, tòa nhà Bitexco Financial Tower, 02 Hải Triều, phường Sài Gòn, Tp Hồ Chí Minh</t>
        </is>
      </c>
      <c r="E113" s="83" t="inlineStr">
        <is>
          <t xml:space="preserve">https://invoi.vn    </t>
        </is>
      </c>
      <c r="F113" s="20" t="inlineStr">
        <is>
          <t>không có thông tin</t>
        </is>
      </c>
      <c r="G113" s="20" t="n"/>
      <c r="H113" s="35">
        <f>IF(N113&lt;&gt;"OK","",IF(IF(O113="✓","Mã tra cứu|","")&amp;IF(P113="✓","MST người bán|","")&amp;IF(Q113="✓","MST người mua|","")&amp;IF(R113="✓","Mẫu số / Ký hiệu|","")&amp;IF(S113="✓","Số HĐ|","")&amp;IF(T113="✓","Ngày lập|","")&amp;IF(U113="✓","Tổng tiền|","")&amp;IF(V113="✓","Mã CQT|","")&amp;IF(W113="✓","Upload XML|","")&amp;IF(X113="✓","Captcha ảnh|","")&amp;IF(Y113="✓","Captcha dạng tích|","")&amp;IF(Z113="✓","Captcha khác (slider/hình)|","")&amp;IF(AA113="✓","Đăng nhập|","")&amp;IF(AB113="✓","Email/SĐT/OTP|","")="","(không có tham số)",SUBSTITUTE(LEFT(IF(O113="✓","Mã tra cứu|","")&amp;IF(P113="✓","MST người bán|","")&amp;IF(Q113="✓","MST người mua|","")&amp;IF(R113="✓","Mẫu số / Ký hiệu|","")&amp;IF(S113="✓","Số HĐ|","")&amp;IF(T113="✓","Ngày lập|","")&amp;IF(U113="✓","Tổng tiền|","")&amp;IF(V113="✓","Mã CQT|","")&amp;IF(W113="✓","Upload XML|","")&amp;IF(X113="✓","Captcha ảnh|","")&amp;IF(Y113="✓","Captcha dạng tích|","")&amp;IF(Z113="✓","Captcha khác (slider/hình)|","")&amp;IF(AA113="✓","Đăng nhập|","")&amp;IF(AB113="✓","Email/SĐT/OTP|",""),LEN(IF(O113="✓","Mã tra cứu|","")&amp;IF(P113="✓","MST người bán|","")&amp;IF(Q113="✓","MST người mua|","")&amp;IF(R113="✓","Mẫu số / Ký hiệu|","")&amp;IF(S113="✓","Số HĐ|","")&amp;IF(T113="✓","Ngày lập|","")&amp;IF(U113="✓","Tổng tiền|","")&amp;IF(V113="✓","Mã CQT|","")&amp;IF(W113="✓","Upload XML|","")&amp;IF(X113="✓","Captcha ảnh|","")&amp;IF(Y113="✓","Captcha dạng tích|","")&amp;IF(Z113="✓","Captcha khác (slider/hình)|","")&amp;IF(AA113="✓","Đăng nhập|","")&amp;IF(AB113="✓","Email/SĐT/OTP|",""))-1),"|"," + ")))</f>
        <v/>
      </c>
      <c r="I113" s="17" t="n"/>
      <c r="J113" s="17" t="n"/>
      <c r="K113" s="17" t="n"/>
      <c r="L113" s="17" t="n"/>
      <c r="M113" s="37" t="n"/>
      <c r="N113" s="38" t="n"/>
      <c r="O113" s="37" t="n"/>
      <c r="P113" s="37" t="n"/>
      <c r="Q113" s="37" t="n"/>
      <c r="R113" s="37" t="n"/>
      <c r="S113" s="37" t="n"/>
      <c r="T113" s="37" t="n"/>
      <c r="U113" s="37" t="n"/>
      <c r="V113" s="37" t="n"/>
      <c r="W113" s="37" t="n"/>
      <c r="X113" s="37" t="n"/>
      <c r="Y113" s="37" t="n"/>
      <c r="Z113" s="37" t="n"/>
      <c r="AA113" s="37" t="n"/>
      <c r="AB113" s="37" t="n"/>
      <c r="AC113" s="37" t="n"/>
      <c r="AD113" s="37" t="n"/>
      <c r="AE113" s="37" t="n"/>
      <c r="AF113" s="37" t="n"/>
      <c r="AG113" s="37" t="n"/>
      <c r="AH113" s="1" t="n"/>
      <c r="AI113" s="1" t="n"/>
      <c r="AJ113">
        <f>IFERROR(IF(INDEX(WBS2!$I$2:$I$25,MATCH($C113,WBS2!$F$2:$F$25,0))="","",INDEX(WBS2!$I$2:$I$25,MATCH($C113,WBS2!$F$2:$F$25,0))),"")</f>
        <v/>
      </c>
      <c r="AK113">
        <f>IFERROR(IF(INDEX(WBS2!$I$27:$I$162,MATCH($C113,WBS2!$F$27:$F$162,0))="","",INDEX(WBS2!$I$27:$I$162,MATCH($C113,WBS2!$F$27:$F$162,0))),"")</f>
        <v/>
      </c>
      <c r="AL113" s="102">
        <f>IFERROR(IF(OR($AK113="Chưa hoàn thành",$AK113="Sẵn sàng"),INDEX(WBS2!$H$27:$H$162,MATCH($C113,WBS2!$F$27:$F$162,0)),""),"")</f>
        <v/>
      </c>
      <c r="AM113">
        <f>IFERROR(IF(INDEX(WBS2!$J$27:$J$162,MATCH($C113,WBS2!$F$27:$F$162,0))="","",INDEX(WBS2!$J$27:$J$162,MATCH($C113,WBS2!$F$27:$F$162,0))),"")</f>
        <v/>
      </c>
      <c r="AN113">
        <f>IFERROR(IF(INDEX(WBS2!$I$163:$I$298,MATCH($C113,WBS2!$F$163:$F$298,0))="","",INDEX(WBS2!$I$163:$I$298,MATCH($C113,WBS2!$F$163:$F$298,0))),"")</f>
        <v/>
      </c>
      <c r="AO113" s="102">
        <f>IFERROR(IF(OR($AN113="Chưa hoàn thành",$AN113="Sẵn sàng"),INDEX(WBS2!$H$163:$H$298,MATCH($C113,WBS2!$F$163:$F$298,0)),""),"")</f>
        <v/>
      </c>
      <c r="AP113">
        <f>IFERROR(IF(INDEX(WBS2!$J$163:$J$298,MATCH($C113,WBS2!$F$163:$F$298,0))="","",INDEX(WBS2!$J$163:$J$298,MATCH($C113,WBS2!$F$163:$F$298,0))),"")</f>
        <v/>
      </c>
    </row>
    <row r="114" hidden="1" ht="14.25" customHeight="1">
      <c r="A114" s="13" t="n">
        <v>113</v>
      </c>
      <c r="B114" s="71" t="inlineStr">
        <is>
          <t>Công ty Cổ phần giải pháp doanh nghiệp TTC</t>
        </is>
      </c>
      <c r="C114" s="14" t="inlineStr">
        <is>
          <t>0318511655</t>
        </is>
      </c>
      <c r="D114" s="70" t="inlineStr">
        <is>
          <t>279-281 Cộng Hòa, phường Tân Bình, Tp Hồ Chí Minh</t>
        </is>
      </c>
      <c r="E114" s="83" t="inlineStr">
        <is>
          <t xml:space="preserve">https://ttc.t-hoadon.vn   </t>
        </is>
      </c>
      <c r="F114" s="20" t="inlineStr">
        <is>
          <t>Không có captcha</t>
        </is>
      </c>
      <c r="G114" s="66" t="inlineStr">
        <is>
          <t>https://tracuu.t-hoadon.vn/</t>
        </is>
      </c>
      <c r="H114" s="35">
        <f>IF(N114&lt;&gt;"OK","",IF(IF(O114="✓","Mã tra cứu|","")&amp;IF(P114="✓","MST người bán|","")&amp;IF(Q114="✓","MST người mua|","")&amp;IF(R114="✓","Mẫu số / Ký hiệu|","")&amp;IF(S114="✓","Số HĐ|","")&amp;IF(T114="✓","Ngày lập|","")&amp;IF(U114="✓","Tổng tiền|","")&amp;IF(V114="✓","Mã CQT|","")&amp;IF(W114="✓","Upload XML|","")&amp;IF(X114="✓","Captcha ảnh|","")&amp;IF(Y114="✓","Captcha dạng tích|","")&amp;IF(Z114="✓","Captcha khác (slider/hình)|","")&amp;IF(AA114="✓","Đăng nhập|","")&amp;IF(AB114="✓","Email/SĐT/OTP|","")="","(không có tham số)",SUBSTITUTE(LEFT(IF(O114="✓","Mã tra cứu|","")&amp;IF(P114="✓","MST người bán|","")&amp;IF(Q114="✓","MST người mua|","")&amp;IF(R114="✓","Mẫu số / Ký hiệu|","")&amp;IF(S114="✓","Số HĐ|","")&amp;IF(T114="✓","Ngày lập|","")&amp;IF(U114="✓","Tổng tiền|","")&amp;IF(V114="✓","Mã CQT|","")&amp;IF(W114="✓","Upload XML|","")&amp;IF(X114="✓","Captcha ảnh|","")&amp;IF(Y114="✓","Captcha dạng tích|","")&amp;IF(Z114="✓","Captcha khác (slider/hình)|","")&amp;IF(AA114="✓","Đăng nhập|","")&amp;IF(AB114="✓","Email/SĐT/OTP|",""),LEN(IF(O114="✓","Mã tra cứu|","")&amp;IF(P114="✓","MST người bán|","")&amp;IF(Q114="✓","MST người mua|","")&amp;IF(R114="✓","Mẫu số / Ký hiệu|","")&amp;IF(S114="✓","Số HĐ|","")&amp;IF(T114="✓","Ngày lập|","")&amp;IF(U114="✓","Tổng tiền|","")&amp;IF(V114="✓","Mã CQT|","")&amp;IF(W114="✓","Upload XML|","")&amp;IF(X114="✓","Captcha ảnh|","")&amp;IF(Y114="✓","Captcha dạng tích|","")&amp;IF(Z114="✓","Captcha khác (slider/hình)|","")&amp;IF(AA114="✓","Đăng nhập|","")&amp;IF(AB114="✓","Email/SĐT/OTP|",""))-1),"|"," + ")))</f>
        <v/>
      </c>
      <c r="I114" s="17" t="n"/>
      <c r="J114" s="17" t="n"/>
      <c r="K114" s="17" t="n"/>
      <c r="L114" s="17" t="n"/>
      <c r="M114" s="37" t="n"/>
      <c r="N114" s="38" t="inlineStr">
        <is>
          <t>OK</t>
        </is>
      </c>
      <c r="O114" s="39" t="inlineStr">
        <is>
          <t>✓</t>
        </is>
      </c>
      <c r="P114" s="39" t="n"/>
      <c r="Q114" s="39" t="n"/>
      <c r="R114" s="39" t="n"/>
      <c r="S114" s="39" t="n"/>
      <c r="T114" s="39" t="n"/>
      <c r="U114" s="39" t="n"/>
      <c r="V114" s="39" t="n"/>
      <c r="W114" s="39" t="n"/>
      <c r="X114" s="39" t="n"/>
      <c r="Y114" s="39" t="n"/>
      <c r="Z114" s="39" t="n"/>
      <c r="AA114" s="39" t="n"/>
      <c r="AB114" s="39" t="n"/>
      <c r="AC114" s="39" t="n">
        <v>1</v>
      </c>
      <c r="AD114" s="16" t="inlineStr">
        <is>
          <t>không có</t>
        </is>
      </c>
      <c r="AE114" s="16" t="n"/>
      <c r="AF114" s="16" t="inlineStr">
        <is>
          <t>Giao diện cùng mẫu với tchd.bizzi.vn (SPA React) nhưng không nạp Turnstile; chỉ 1 ô mã tra cứu</t>
        </is>
      </c>
      <c r="AG114" s="16" t="inlineStr">
        <is>
          <t>https://tracuu.t-hoadon.vn/#/</t>
        </is>
      </c>
      <c r="AH114" s="1" t="n"/>
      <c r="AI114" s="1" t="n"/>
      <c r="AJ114">
        <f>IFERROR(IF(INDEX(WBS2!$I$2:$I$25,MATCH($C114,WBS2!$F$2:$F$25,0))="","",INDEX(WBS2!$I$2:$I$25,MATCH($C114,WBS2!$F$2:$F$25,0))),"")</f>
        <v/>
      </c>
      <c r="AK114">
        <f>IFERROR(IF(INDEX(WBS2!$I$27:$I$162,MATCH($C114,WBS2!$F$27:$F$162,0))="","",INDEX(WBS2!$I$27:$I$162,MATCH($C114,WBS2!$F$27:$F$162,0))),"")</f>
        <v/>
      </c>
      <c r="AL114" s="102">
        <f>IFERROR(IF(OR($AK114="Chưa hoàn thành",$AK114="Sẵn sàng"),INDEX(WBS2!$H$27:$H$162,MATCH($C114,WBS2!$F$27:$F$162,0)),""),"")</f>
        <v/>
      </c>
      <c r="AM114">
        <f>IFERROR(IF(INDEX(WBS2!$J$27:$J$162,MATCH($C114,WBS2!$F$27:$F$162,0))="","",INDEX(WBS2!$J$27:$J$162,MATCH($C114,WBS2!$F$27:$F$162,0))),"")</f>
        <v/>
      </c>
      <c r="AN114">
        <f>IFERROR(IF(INDEX(WBS2!$I$163:$I$298,MATCH($C114,WBS2!$F$163:$F$298,0))="","",INDEX(WBS2!$I$163:$I$298,MATCH($C114,WBS2!$F$163:$F$298,0))),"")</f>
        <v/>
      </c>
      <c r="AO114" s="102">
        <f>IFERROR(IF(OR($AN114="Chưa hoàn thành",$AN114="Sẵn sàng"),INDEX(WBS2!$H$163:$H$298,MATCH($C114,WBS2!$F$163:$F$298,0)),""),"")</f>
        <v/>
      </c>
      <c r="AP114">
        <f>IFERROR(IF(INDEX(WBS2!$J$163:$J$298,MATCH($C114,WBS2!$F$163:$F$298,0))="","",INDEX(WBS2!$J$163:$J$298,MATCH($C114,WBS2!$F$163:$F$298,0))),"")</f>
        <v/>
      </c>
    </row>
    <row r="115" hidden="1" ht="14.25" customHeight="1">
      <c r="A115" s="13" t="n">
        <v>114</v>
      </c>
      <c r="B115" s="71" t="inlineStr">
        <is>
          <t>Công ty Cổ phần phần mềm IAM Việt Nam</t>
        </is>
      </c>
      <c r="C115" s="14" t="inlineStr">
        <is>
          <t>0109193102</t>
        </is>
      </c>
      <c r="D115" s="13" t="inlineStr">
        <is>
          <t>Số 5, xóm Sông Cầu, thôn Thiên Đông, xã Tam Hưng, Tp Hà Nội</t>
        </is>
      </c>
      <c r="E115" s="83" t="inlineStr">
        <is>
          <t>https://invoice.iamsoftware.com.vn</t>
        </is>
      </c>
      <c r="F115" s="20" t="inlineStr">
        <is>
          <t>Không có captcha</t>
        </is>
      </c>
      <c r="G115" s="66" t="inlineStr">
        <is>
          <t>https://tracuu.iamsoftware.com.vn/</t>
        </is>
      </c>
      <c r="H115" s="35">
        <f>IF(N115&lt;&gt;"OK","",IF(IF(O115="✓","Mã tra cứu|","")&amp;IF(P115="✓","MST người bán|","")&amp;IF(Q115="✓","MST người mua|","")&amp;IF(R115="✓","Mẫu số / Ký hiệu|","")&amp;IF(S115="✓","Số HĐ|","")&amp;IF(T115="✓","Ngày lập|","")&amp;IF(U115="✓","Tổng tiền|","")&amp;IF(V115="✓","Mã CQT|","")&amp;IF(W115="✓","Upload XML|","")&amp;IF(X115="✓","Captcha ảnh|","")&amp;IF(Y115="✓","Captcha dạng tích|","")&amp;IF(Z115="✓","Captcha khác (slider/hình)|","")&amp;IF(AA115="✓","Đăng nhập|","")&amp;IF(AB115="✓","Email/SĐT/OTP|","")="","(không có tham số)",SUBSTITUTE(LEFT(IF(O115="✓","Mã tra cứu|","")&amp;IF(P115="✓","MST người bán|","")&amp;IF(Q115="✓","MST người mua|","")&amp;IF(R115="✓","Mẫu số / Ký hiệu|","")&amp;IF(S115="✓","Số HĐ|","")&amp;IF(T115="✓","Ngày lập|","")&amp;IF(U115="✓","Tổng tiền|","")&amp;IF(V115="✓","Mã CQT|","")&amp;IF(W115="✓","Upload XML|","")&amp;IF(X115="✓","Captcha ảnh|","")&amp;IF(Y115="✓","Captcha dạng tích|","")&amp;IF(Z115="✓","Captcha khác (slider/hình)|","")&amp;IF(AA115="✓","Đăng nhập|","")&amp;IF(AB115="✓","Email/SĐT/OTP|",""),LEN(IF(O115="✓","Mã tra cứu|","")&amp;IF(P115="✓","MST người bán|","")&amp;IF(Q115="✓","MST người mua|","")&amp;IF(R115="✓","Mẫu số / Ký hiệu|","")&amp;IF(S115="✓","Số HĐ|","")&amp;IF(T115="✓","Ngày lập|","")&amp;IF(U115="✓","Tổng tiền|","")&amp;IF(V115="✓","Mã CQT|","")&amp;IF(W115="✓","Upload XML|","")&amp;IF(X115="✓","Captcha ảnh|","")&amp;IF(Y115="✓","Captcha dạng tích|","")&amp;IF(Z115="✓","Captcha khác (slider/hình)|","")&amp;IF(AA115="✓","Đăng nhập|","")&amp;IF(AB115="✓","Email/SĐT/OTP|",""))-1),"|"," + ")))</f>
        <v/>
      </c>
      <c r="I115" s="17" t="n"/>
      <c r="J115" s="17" t="n"/>
      <c r="K115" s="17" t="n"/>
      <c r="L115" s="17" t="n"/>
      <c r="M115" s="37" t="n"/>
      <c r="N115" s="38" t="inlineStr">
        <is>
          <t>OK</t>
        </is>
      </c>
      <c r="O115" s="39" t="inlineStr">
        <is>
          <t>✓</t>
        </is>
      </c>
      <c r="P115" s="39" t="n"/>
      <c r="Q115" s="39" t="n"/>
      <c r="R115" s="39" t="n"/>
      <c r="S115" s="39" t="n"/>
      <c r="T115" s="39" t="n"/>
      <c r="U115" s="39" t="n"/>
      <c r="V115" s="39" t="n"/>
      <c r="W115" s="39" t="n"/>
      <c r="X115" s="39" t="n"/>
      <c r="Y115" s="39" t="n"/>
      <c r="Z115" s="39" t="n"/>
      <c r="AA115" s="39" t="n"/>
      <c r="AB115" s="39" t="n"/>
      <c r="AC115" s="39" t="n">
        <v>1</v>
      </c>
      <c r="AD115" s="16" t="inlineStr">
        <is>
          <t>không có</t>
        </is>
      </c>
      <c r="AE115" s="16" t="n"/>
      <c r="AF115" s="16" t="inlineStr">
        <is>
          <t>SPA (mẫu giống Bizzi), tra cứu HĐ + chứng từ TNCN bằng 1 ô mã tra cứu</t>
        </is>
      </c>
      <c r="AG115" s="16" t="inlineStr">
        <is>
          <t>https://tracuu.iamsoftware.com.vn/#/</t>
        </is>
      </c>
      <c r="AH115" s="1" t="n"/>
      <c r="AI115" s="1" t="n"/>
      <c r="AJ115">
        <f>IFERROR(IF(INDEX(WBS2!$I$2:$I$25,MATCH($C115,WBS2!$F$2:$F$25,0))="","",INDEX(WBS2!$I$2:$I$25,MATCH($C115,WBS2!$F$2:$F$25,0))),"")</f>
        <v/>
      </c>
      <c r="AK115">
        <f>IFERROR(IF(INDEX(WBS2!$I$27:$I$162,MATCH($C115,WBS2!$F$27:$F$162,0))="","",INDEX(WBS2!$I$27:$I$162,MATCH($C115,WBS2!$F$27:$F$162,0))),"")</f>
        <v/>
      </c>
      <c r="AL115" s="102">
        <f>IFERROR(IF(OR($AK115="Chưa hoàn thành",$AK115="Sẵn sàng"),INDEX(WBS2!$H$27:$H$162,MATCH($C115,WBS2!$F$27:$F$162,0)),""),"")</f>
        <v/>
      </c>
      <c r="AM115">
        <f>IFERROR(IF(INDEX(WBS2!$J$27:$J$162,MATCH($C115,WBS2!$F$27:$F$162,0))="","",INDEX(WBS2!$J$27:$J$162,MATCH($C115,WBS2!$F$27:$F$162,0))),"")</f>
        <v/>
      </c>
      <c r="AN115">
        <f>IFERROR(IF(INDEX(WBS2!$I$163:$I$298,MATCH($C115,WBS2!$F$163:$F$298,0))="","",INDEX(WBS2!$I$163:$I$298,MATCH($C115,WBS2!$F$163:$F$298,0))),"")</f>
        <v/>
      </c>
      <c r="AO115" s="102">
        <f>IFERROR(IF(OR($AN115="Chưa hoàn thành",$AN115="Sẵn sàng"),INDEX(WBS2!$H$163:$H$298,MATCH($C115,WBS2!$F$163:$F$298,0)),""),"")</f>
        <v/>
      </c>
      <c r="AP115">
        <f>IFERROR(IF(INDEX(WBS2!$J$163:$J$298,MATCH($C115,WBS2!$F$163:$F$298,0))="","",INDEX(WBS2!$J$163:$J$298,MATCH($C115,WBS2!$F$163:$F$298,0))),"")</f>
        <v/>
      </c>
    </row>
    <row r="116" hidden="1" ht="14.25" customHeight="1">
      <c r="A116" s="13" t="n">
        <v>115</v>
      </c>
      <c r="B116" s="71" t="inlineStr">
        <is>
          <t>Công ty Cổ phần Công nghệ thông minh SFIN</t>
        </is>
      </c>
      <c r="C116" s="14" t="inlineStr">
        <is>
          <t>0109959309</t>
        </is>
      </c>
      <c r="D116" s="13" t="inlineStr">
        <is>
          <t>Số 89B, ngõ 255 Lĩnh Nam, phường Vĩnh Hưng, Tp Hà Nội</t>
        </is>
      </c>
      <c r="E116" s="83" t="inlineStr">
        <is>
          <t>https://sfin.vn/</t>
        </is>
      </c>
      <c r="F116" s="20" t="inlineStr">
        <is>
          <t>không có thông tin</t>
        </is>
      </c>
      <c r="G116" s="20" t="n"/>
      <c r="H116" s="35">
        <f>IF(N116&lt;&gt;"OK","",IF(IF(O116="✓","Mã tra cứu|","")&amp;IF(P116="✓","MST người bán|","")&amp;IF(Q116="✓","MST người mua|","")&amp;IF(R116="✓","Mẫu số / Ký hiệu|","")&amp;IF(S116="✓","Số HĐ|","")&amp;IF(T116="✓","Ngày lập|","")&amp;IF(U116="✓","Tổng tiền|","")&amp;IF(V116="✓","Mã CQT|","")&amp;IF(W116="✓","Upload XML|","")&amp;IF(X116="✓","Captcha ảnh|","")&amp;IF(Y116="✓","Captcha dạng tích|","")&amp;IF(Z116="✓","Captcha khác (slider/hình)|","")&amp;IF(AA116="✓","Đăng nhập|","")&amp;IF(AB116="✓","Email/SĐT/OTP|","")="","(không có tham số)",SUBSTITUTE(LEFT(IF(O116="✓","Mã tra cứu|","")&amp;IF(P116="✓","MST người bán|","")&amp;IF(Q116="✓","MST người mua|","")&amp;IF(R116="✓","Mẫu số / Ký hiệu|","")&amp;IF(S116="✓","Số HĐ|","")&amp;IF(T116="✓","Ngày lập|","")&amp;IF(U116="✓","Tổng tiền|","")&amp;IF(V116="✓","Mã CQT|","")&amp;IF(W116="✓","Upload XML|","")&amp;IF(X116="✓","Captcha ảnh|","")&amp;IF(Y116="✓","Captcha dạng tích|","")&amp;IF(Z116="✓","Captcha khác (slider/hình)|","")&amp;IF(AA116="✓","Đăng nhập|","")&amp;IF(AB116="✓","Email/SĐT/OTP|",""),LEN(IF(O116="✓","Mã tra cứu|","")&amp;IF(P116="✓","MST người bán|","")&amp;IF(Q116="✓","MST người mua|","")&amp;IF(R116="✓","Mẫu số / Ký hiệu|","")&amp;IF(S116="✓","Số HĐ|","")&amp;IF(T116="✓","Ngày lập|","")&amp;IF(U116="✓","Tổng tiền|","")&amp;IF(V116="✓","Mã CQT|","")&amp;IF(W116="✓","Upload XML|","")&amp;IF(X116="✓","Captcha ảnh|","")&amp;IF(Y116="✓","Captcha dạng tích|","")&amp;IF(Z116="✓","Captcha khác (slider/hình)|","")&amp;IF(AA116="✓","Đăng nhập|","")&amp;IF(AB116="✓","Email/SĐT/OTP|",""))-1),"|"," + ")))</f>
        <v/>
      </c>
      <c r="I116" s="17" t="n"/>
      <c r="J116" s="17" t="n"/>
      <c r="K116" s="17" t="n"/>
      <c r="L116" s="17" t="n"/>
      <c r="M116" s="37" t="n"/>
      <c r="N116" s="38" t="n"/>
      <c r="O116" s="37" t="n"/>
      <c r="P116" s="37" t="n"/>
      <c r="Q116" s="37" t="n"/>
      <c r="R116" s="37" t="n"/>
      <c r="S116" s="37" t="n"/>
      <c r="T116" s="37" t="n"/>
      <c r="U116" s="37" t="n"/>
      <c r="V116" s="37" t="n"/>
      <c r="W116" s="37" t="n"/>
      <c r="X116" s="37" t="n"/>
      <c r="Y116" s="37" t="n"/>
      <c r="Z116" s="37" t="n"/>
      <c r="AA116" s="37" t="n"/>
      <c r="AB116" s="37" t="n"/>
      <c r="AC116" s="37" t="n"/>
      <c r="AD116" s="37" t="n"/>
      <c r="AE116" s="37" t="n"/>
      <c r="AF116" s="37" t="n"/>
      <c r="AG116" s="37" t="n"/>
      <c r="AH116" s="1" t="n"/>
      <c r="AI116" s="1" t="n"/>
      <c r="AJ116">
        <f>IFERROR(IF(INDEX(WBS2!$I$2:$I$25,MATCH($C116,WBS2!$F$2:$F$25,0))="","",INDEX(WBS2!$I$2:$I$25,MATCH($C116,WBS2!$F$2:$F$25,0))),"")</f>
        <v/>
      </c>
      <c r="AK116">
        <f>IFERROR(IF(INDEX(WBS2!$I$27:$I$162,MATCH($C116,WBS2!$F$27:$F$162,0))="","",INDEX(WBS2!$I$27:$I$162,MATCH($C116,WBS2!$F$27:$F$162,0))),"")</f>
        <v/>
      </c>
      <c r="AL116" s="102">
        <f>IFERROR(IF(OR($AK116="Chưa hoàn thành",$AK116="Sẵn sàng"),INDEX(WBS2!$H$27:$H$162,MATCH($C116,WBS2!$F$27:$F$162,0)),""),"")</f>
        <v/>
      </c>
      <c r="AM116">
        <f>IFERROR(IF(INDEX(WBS2!$J$27:$J$162,MATCH($C116,WBS2!$F$27:$F$162,0))="","",INDEX(WBS2!$J$27:$J$162,MATCH($C116,WBS2!$F$27:$F$162,0))),"")</f>
        <v/>
      </c>
      <c r="AN116">
        <f>IFERROR(IF(INDEX(WBS2!$I$163:$I$298,MATCH($C116,WBS2!$F$163:$F$298,0))="","",INDEX(WBS2!$I$163:$I$298,MATCH($C116,WBS2!$F$163:$F$298,0))),"")</f>
        <v/>
      </c>
      <c r="AO116" s="102">
        <f>IFERROR(IF(OR($AN116="Chưa hoàn thành",$AN116="Sẵn sàng"),INDEX(WBS2!$H$163:$H$298,MATCH($C116,WBS2!$F$163:$F$298,0)),""),"")</f>
        <v/>
      </c>
      <c r="AP116">
        <f>IFERROR(IF(INDEX(WBS2!$J$163:$J$298,MATCH($C116,WBS2!$F$163:$F$298,0))="","",INDEX(WBS2!$J$163:$J$298,MATCH($C116,WBS2!$F$163:$F$298,0))),"")</f>
        <v/>
      </c>
    </row>
    <row r="117" hidden="1" ht="14.25" customHeight="1">
      <c r="A117" s="13" t="n">
        <v>116</v>
      </c>
      <c r="B117" s="28" t="inlineStr">
        <is>
          <t>Công ty TNHH Truyền hình cáp SaigonTourist</t>
        </is>
      </c>
      <c r="C117" s="14" t="inlineStr">
        <is>
          <t>0301463315</t>
        </is>
      </c>
      <c r="D117" s="13" t="inlineStr">
        <is>
          <t>31-33 Đinh Công Tráng, phường Tân Định, Tp Hồ Chí Minh</t>
        </is>
      </c>
      <c r="E117" s="84" t="inlineStr">
        <is>
          <t>https://smartinvoice.vn</t>
        </is>
      </c>
      <c r="F117" s="20" t="inlineStr">
        <is>
          <t>Không có captcha</t>
        </is>
      </c>
      <c r="G117" s="66" t="inlineStr">
        <is>
          <t>https://tracuu-hddt.sctv.vn/</t>
        </is>
      </c>
      <c r="H117" s="35">
        <f>IF(N117&lt;&gt;"OK","",IF(IF(O117="✓","Mã tra cứu|","")&amp;IF(P117="✓","MST người bán|","")&amp;IF(Q117="✓","MST người mua|","")&amp;IF(R117="✓","Mẫu số / Ký hiệu|","")&amp;IF(S117="✓","Số HĐ|","")&amp;IF(T117="✓","Ngày lập|","")&amp;IF(U117="✓","Tổng tiền|","")&amp;IF(V117="✓","Mã CQT|","")&amp;IF(W117="✓","Upload XML|","")&amp;IF(X117="✓","Captcha ảnh|","")&amp;IF(Y117="✓","Captcha dạng tích|","")&amp;IF(Z117="✓","Captcha khác (slider/hình)|","")&amp;IF(AA117="✓","Đăng nhập|","")&amp;IF(AB117="✓","Email/SĐT/OTP|","")="","(không có tham số)",SUBSTITUTE(LEFT(IF(O117="✓","Mã tra cứu|","")&amp;IF(P117="✓","MST người bán|","")&amp;IF(Q117="✓","MST người mua|","")&amp;IF(R117="✓","Mẫu số / Ký hiệu|","")&amp;IF(S117="✓","Số HĐ|","")&amp;IF(T117="✓","Ngày lập|","")&amp;IF(U117="✓","Tổng tiền|","")&amp;IF(V117="✓","Mã CQT|","")&amp;IF(W117="✓","Upload XML|","")&amp;IF(X117="✓","Captcha ảnh|","")&amp;IF(Y117="✓","Captcha dạng tích|","")&amp;IF(Z117="✓","Captcha khác (slider/hình)|","")&amp;IF(AA117="✓","Đăng nhập|","")&amp;IF(AB117="✓","Email/SĐT/OTP|",""),LEN(IF(O117="✓","Mã tra cứu|","")&amp;IF(P117="✓","MST người bán|","")&amp;IF(Q117="✓","MST người mua|","")&amp;IF(R117="✓","Mẫu số / Ký hiệu|","")&amp;IF(S117="✓","Số HĐ|","")&amp;IF(T117="✓","Ngày lập|","")&amp;IF(U117="✓","Tổng tiền|","")&amp;IF(V117="✓","Mã CQT|","")&amp;IF(W117="✓","Upload XML|","")&amp;IF(X117="✓","Captcha ảnh|","")&amp;IF(Y117="✓","Captcha dạng tích|","")&amp;IF(Z117="✓","Captcha khác (slider/hình)|","")&amp;IF(AA117="✓","Đăng nhập|","")&amp;IF(AB117="✓","Email/SĐT/OTP|",""))-1),"|"," + ")))</f>
        <v/>
      </c>
      <c r="I117" s="17" t="n"/>
      <c r="J117" s="17" t="n"/>
      <c r="K117" s="17" t="n"/>
      <c r="L117" s="17" t="n"/>
      <c r="M117" s="37" t="n"/>
      <c r="N117" s="38" t="inlineStr">
        <is>
          <t>OK</t>
        </is>
      </c>
      <c r="O117" s="39" t="inlineStr">
        <is>
          <t>✓</t>
        </is>
      </c>
      <c r="P117" s="39" t="n"/>
      <c r="Q117" s="39" t="n"/>
      <c r="R117" s="39" t="n"/>
      <c r="S117" s="39" t="n"/>
      <c r="T117" s="39" t="n"/>
      <c r="U117" s="39" t="n"/>
      <c r="V117" s="39" t="n"/>
      <c r="W117" s="39" t="n"/>
      <c r="X117" s="39" t="n"/>
      <c r="Y117" s="39" t="n"/>
      <c r="Z117" s="39" t="n"/>
      <c r="AA117" s="39" t="n"/>
      <c r="AB117" s="39" t="n"/>
      <c r="AC117" s="39" t="n">
        <v>1</v>
      </c>
      <c r="AD117" s="16" t="inlineStr">
        <is>
          <t>không có</t>
        </is>
      </c>
      <c r="AE117" s="16" t="inlineStr">
        <is>
          <t>'Tra cứu Doanh nghiệp' (/dang-nhap): đăng nhập MST + mật khẩu</t>
        </is>
      </c>
      <c r="AF117" s="16" t="inlineStr">
        <is>
          <t>Form: 'MÃ TRA CỨU HÓA ĐƠN(*)' (name=sobaomat)</t>
        </is>
      </c>
      <c r="AG117" s="16" t="inlineStr">
        <is>
          <t>https://tracuu-hddt.sctv.vn/</t>
        </is>
      </c>
      <c r="AH117" s="1" t="n"/>
      <c r="AI117" s="1" t="n"/>
      <c r="AJ117">
        <f>IFERROR(IF(INDEX(WBS2!$I$2:$I$25,MATCH($C117,WBS2!$F$2:$F$25,0))="","",INDEX(WBS2!$I$2:$I$25,MATCH($C117,WBS2!$F$2:$F$25,0))),"")</f>
        <v/>
      </c>
      <c r="AK117">
        <f>IFERROR(IF(INDEX(WBS2!$I$27:$I$162,MATCH($C117,WBS2!$F$27:$F$162,0))="","",INDEX(WBS2!$I$27:$I$162,MATCH($C117,WBS2!$F$27:$F$162,0))),"")</f>
        <v/>
      </c>
      <c r="AL117" s="102">
        <f>IFERROR(IF(OR($AK117="Chưa hoàn thành",$AK117="Sẵn sàng"),INDEX(WBS2!$H$27:$H$162,MATCH($C117,WBS2!$F$27:$F$162,0)),""),"")</f>
        <v/>
      </c>
      <c r="AM117">
        <f>IFERROR(IF(INDEX(WBS2!$J$27:$J$162,MATCH($C117,WBS2!$F$27:$F$162,0))="","",INDEX(WBS2!$J$27:$J$162,MATCH($C117,WBS2!$F$27:$F$162,0))),"")</f>
        <v/>
      </c>
      <c r="AN117">
        <f>IFERROR(IF(INDEX(WBS2!$I$163:$I$298,MATCH($C117,WBS2!$F$163:$F$298,0))="","",INDEX(WBS2!$I$163:$I$298,MATCH($C117,WBS2!$F$163:$F$298,0))),"")</f>
        <v/>
      </c>
      <c r="AO117" s="102">
        <f>IFERROR(IF(OR($AN117="Chưa hoàn thành",$AN117="Sẵn sàng"),INDEX(WBS2!$H$163:$H$298,MATCH($C117,WBS2!$F$163:$F$298,0)),""),"")</f>
        <v/>
      </c>
      <c r="AP117">
        <f>IFERROR(IF(INDEX(WBS2!$J$163:$J$298,MATCH($C117,WBS2!$F$163:$F$298,0))="","",INDEX(WBS2!$J$163:$J$298,MATCH($C117,WBS2!$F$163:$F$298,0))),"")</f>
        <v/>
      </c>
    </row>
    <row r="118" hidden="1" ht="14.25" customHeight="1">
      <c r="A118" s="13" t="n">
        <v>117</v>
      </c>
      <c r="B118" s="28" t="inlineStr">
        <is>
          <t>Công ty Cổ phần Dịch vụ Di động Trực tuyến</t>
        </is>
      </c>
      <c r="C118" s="14" t="inlineStr">
        <is>
          <t>0305289153</t>
        </is>
      </c>
      <c r="D118" s="13" t="inlineStr">
        <is>
          <t>Tầng 6, tòa nhà Phú Mỹ Hưng, số 8 đường Hoàng Văn Thái, phường Tân Mỹ, Tp Hồ Chí Minh</t>
        </is>
      </c>
      <c r="E118" s="83" t="inlineStr">
        <is>
          <t>https://mmhoadon.vn</t>
        </is>
      </c>
      <c r="F118" s="20" t="inlineStr">
        <is>
          <t>Không có captcha</t>
        </is>
      </c>
      <c r="G118" s="66" t="inlineStr">
        <is>
          <t>https://tracuu.mmhoadon.vn/</t>
        </is>
      </c>
      <c r="H118" s="35">
        <f>IF(N118&lt;&gt;"OK","",IF(IF(O118="✓","Mã tra cứu|","")&amp;IF(P118="✓","MST người bán|","")&amp;IF(Q118="✓","MST người mua|","")&amp;IF(R118="✓","Mẫu số / Ký hiệu|","")&amp;IF(S118="✓","Số HĐ|","")&amp;IF(T118="✓","Ngày lập|","")&amp;IF(U118="✓","Tổng tiền|","")&amp;IF(V118="✓","Mã CQT|","")&amp;IF(W118="✓","Upload XML|","")&amp;IF(X118="✓","Captcha ảnh|","")&amp;IF(Y118="✓","Captcha dạng tích|","")&amp;IF(Z118="✓","Captcha khác (slider/hình)|","")&amp;IF(AA118="✓","Đăng nhập|","")&amp;IF(AB118="✓","Email/SĐT/OTP|","")="","(không có tham số)",SUBSTITUTE(LEFT(IF(O118="✓","Mã tra cứu|","")&amp;IF(P118="✓","MST người bán|","")&amp;IF(Q118="✓","MST người mua|","")&amp;IF(R118="✓","Mẫu số / Ký hiệu|","")&amp;IF(S118="✓","Số HĐ|","")&amp;IF(T118="✓","Ngày lập|","")&amp;IF(U118="✓","Tổng tiền|","")&amp;IF(V118="✓","Mã CQT|","")&amp;IF(W118="✓","Upload XML|","")&amp;IF(X118="✓","Captcha ảnh|","")&amp;IF(Y118="✓","Captcha dạng tích|","")&amp;IF(Z118="✓","Captcha khác (slider/hình)|","")&amp;IF(AA118="✓","Đăng nhập|","")&amp;IF(AB118="✓","Email/SĐT/OTP|",""),LEN(IF(O118="✓","Mã tra cứu|","")&amp;IF(P118="✓","MST người bán|","")&amp;IF(Q118="✓","MST người mua|","")&amp;IF(R118="✓","Mẫu số / Ký hiệu|","")&amp;IF(S118="✓","Số HĐ|","")&amp;IF(T118="✓","Ngày lập|","")&amp;IF(U118="✓","Tổng tiền|","")&amp;IF(V118="✓","Mã CQT|","")&amp;IF(W118="✓","Upload XML|","")&amp;IF(X118="✓","Captcha ảnh|","")&amp;IF(Y118="✓","Captcha dạng tích|","")&amp;IF(Z118="✓","Captcha khác (slider/hình)|","")&amp;IF(AA118="✓","Đăng nhập|","")&amp;IF(AB118="✓","Email/SĐT/OTP|",""))-1),"|"," + ")))</f>
        <v/>
      </c>
      <c r="I118" s="17" t="n"/>
      <c r="J118" s="17" t="n"/>
      <c r="K118" s="17" t="n"/>
      <c r="L118" s="17" t="n"/>
      <c r="M118" s="37" t="n"/>
      <c r="N118" s="38" t="inlineStr">
        <is>
          <t>OK</t>
        </is>
      </c>
      <c r="O118" s="39" t="inlineStr">
        <is>
          <t>✓</t>
        </is>
      </c>
      <c r="P118" s="39" t="n"/>
      <c r="Q118" s="39" t="n"/>
      <c r="R118" s="39" t="n"/>
      <c r="S118" s="39" t="n"/>
      <c r="T118" s="39" t="n"/>
      <c r="U118" s="39" t="n"/>
      <c r="V118" s="39" t="n"/>
      <c r="W118" s="39" t="n"/>
      <c r="X118" s="39" t="n"/>
      <c r="Y118" s="39" t="n"/>
      <c r="Z118" s="39" t="n"/>
      <c r="AA118" s="39" t="n"/>
      <c r="AB118" s="39" t="n"/>
      <c r="AC118" s="39" t="n">
        <v>1</v>
      </c>
      <c r="AD118" s="16" t="inlineStr">
        <is>
          <t>không có</t>
        </is>
      </c>
      <c r="AE118" s="16" t="inlineStr">
        <is>
          <t>Tab 'Tra cứu theo tài khoản' và 'Tra cứu theo File' đang bị disable ('Tính năng sắp ra mắt')</t>
        </is>
      </c>
      <c r="AF118" s="16" t="inlineStr">
        <is>
          <t>MoMo E-Invoice, SPA; tab 'Tra cứu một hóa đơn': 1 ô mã tra cứu</t>
        </is>
      </c>
      <c r="AG118" s="16" t="inlineStr">
        <is>
          <t>https://tracuu.mmhoadon.vn/</t>
        </is>
      </c>
      <c r="AH118" s="1" t="n"/>
      <c r="AI118" s="1" t="n"/>
      <c r="AJ118">
        <f>IFERROR(IF(INDEX(WBS2!$I$2:$I$25,MATCH($C118,WBS2!$F$2:$F$25,0))="","",INDEX(WBS2!$I$2:$I$25,MATCH($C118,WBS2!$F$2:$F$25,0))),"")</f>
        <v/>
      </c>
      <c r="AK118">
        <f>IFERROR(IF(INDEX(WBS2!$I$27:$I$162,MATCH($C118,WBS2!$F$27:$F$162,0))="","",INDEX(WBS2!$I$27:$I$162,MATCH($C118,WBS2!$F$27:$F$162,0))),"")</f>
        <v/>
      </c>
      <c r="AL118" s="102">
        <f>IFERROR(IF(OR($AK118="Chưa hoàn thành",$AK118="Sẵn sàng"),INDEX(WBS2!$H$27:$H$162,MATCH($C118,WBS2!$F$27:$F$162,0)),""),"")</f>
        <v/>
      </c>
      <c r="AM118">
        <f>IFERROR(IF(INDEX(WBS2!$J$27:$J$162,MATCH($C118,WBS2!$F$27:$F$162,0))="","",INDEX(WBS2!$J$27:$J$162,MATCH($C118,WBS2!$F$27:$F$162,0))),"")</f>
        <v/>
      </c>
      <c r="AN118">
        <f>IFERROR(IF(INDEX(WBS2!$I$163:$I$298,MATCH($C118,WBS2!$F$163:$F$298,0))="","",INDEX(WBS2!$I$163:$I$298,MATCH($C118,WBS2!$F$163:$F$298,0))),"")</f>
        <v/>
      </c>
      <c r="AO118" s="102">
        <f>IFERROR(IF(OR($AN118="Chưa hoàn thành",$AN118="Sẵn sàng"),INDEX(WBS2!$H$163:$H$298,MATCH($C118,WBS2!$F$163:$F$298,0)),""),"")</f>
        <v/>
      </c>
      <c r="AP118">
        <f>IFERROR(IF(INDEX(WBS2!$J$163:$J$298,MATCH($C118,WBS2!$F$163:$F$298,0))="","",INDEX(WBS2!$J$163:$J$298,MATCH($C118,WBS2!$F$163:$F$298,0))),"")</f>
        <v/>
      </c>
    </row>
    <row r="119" hidden="1" ht="14.25" customHeight="1">
      <c r="A119" s="13" t="n">
        <v>118</v>
      </c>
      <c r="B119" s="28" t="inlineStr">
        <is>
          <t>Công ty Cổ phần Công nghệ Go Việt Nam</t>
        </is>
      </c>
      <c r="C119" s="14" t="inlineStr">
        <is>
          <t>0111245245</t>
        </is>
      </c>
      <c r="D119" s="13" t="inlineStr">
        <is>
          <t>Số 28 ngõ 8 Cầu Đơ 4, phường Hà Đông, Tp Hà Nội</t>
        </is>
      </c>
      <c r="E119" s="83" t="inlineStr">
        <is>
          <t>https://gohoadon.vn</t>
        </is>
      </c>
      <c r="F119" s="20" t="inlineStr">
        <is>
          <t>Không có captcha</t>
        </is>
      </c>
      <c r="G119" s="23" t="inlineStr">
        <is>
          <t>https://tracuu.gohoadon.vn/</t>
        </is>
      </c>
      <c r="H119" s="35">
        <f>IF(N119&lt;&gt;"OK","",IF(IF(O119="✓","Mã tra cứu|","")&amp;IF(P119="✓","MST người bán|","")&amp;IF(Q119="✓","MST người mua|","")&amp;IF(R119="✓","Mẫu số / Ký hiệu|","")&amp;IF(S119="✓","Số HĐ|","")&amp;IF(T119="✓","Ngày lập|","")&amp;IF(U119="✓","Tổng tiền|","")&amp;IF(V119="✓","Mã CQT|","")&amp;IF(W119="✓","Upload XML|","")&amp;IF(X119="✓","Captcha ảnh|","")&amp;IF(Y119="✓","Captcha dạng tích|","")&amp;IF(Z119="✓","Captcha khác (slider/hình)|","")&amp;IF(AA119="✓","Đăng nhập|","")&amp;IF(AB119="✓","Email/SĐT/OTP|","")="","(không có tham số)",SUBSTITUTE(LEFT(IF(O119="✓","Mã tra cứu|","")&amp;IF(P119="✓","MST người bán|","")&amp;IF(Q119="✓","MST người mua|","")&amp;IF(R119="✓","Mẫu số / Ký hiệu|","")&amp;IF(S119="✓","Số HĐ|","")&amp;IF(T119="✓","Ngày lập|","")&amp;IF(U119="✓","Tổng tiền|","")&amp;IF(V119="✓","Mã CQT|","")&amp;IF(W119="✓","Upload XML|","")&amp;IF(X119="✓","Captcha ảnh|","")&amp;IF(Y119="✓","Captcha dạng tích|","")&amp;IF(Z119="✓","Captcha khác (slider/hình)|","")&amp;IF(AA119="✓","Đăng nhập|","")&amp;IF(AB119="✓","Email/SĐT/OTP|",""),LEN(IF(O119="✓","Mã tra cứu|","")&amp;IF(P119="✓","MST người bán|","")&amp;IF(Q119="✓","MST người mua|","")&amp;IF(R119="✓","Mẫu số / Ký hiệu|","")&amp;IF(S119="✓","Số HĐ|","")&amp;IF(T119="✓","Ngày lập|","")&amp;IF(U119="✓","Tổng tiền|","")&amp;IF(V119="✓","Mã CQT|","")&amp;IF(W119="✓","Upload XML|","")&amp;IF(X119="✓","Captcha ảnh|","")&amp;IF(Y119="✓","Captcha dạng tích|","")&amp;IF(Z119="✓","Captcha khác (slider/hình)|","")&amp;IF(AA119="✓","Đăng nhập|","")&amp;IF(AB119="✓","Email/SĐT/OTP|",""))-1),"|"," + ")))</f>
        <v/>
      </c>
      <c r="I119" s="17" t="n"/>
      <c r="J119" s="17" t="n"/>
      <c r="K119" s="17" t="n"/>
      <c r="L119" s="17" t="n"/>
      <c r="M119" s="37" t="n"/>
      <c r="N119" s="38" t="inlineStr">
        <is>
          <t>OK</t>
        </is>
      </c>
      <c r="O119" s="39" t="inlineStr">
        <is>
          <t>✓</t>
        </is>
      </c>
      <c r="P119" s="39" t="n"/>
      <c r="Q119" s="39" t="n"/>
      <c r="R119" s="39" t="n"/>
      <c r="S119" s="39" t="n"/>
      <c r="T119" s="39" t="n"/>
      <c r="U119" s="39" t="n"/>
      <c r="V119" s="39" t="n"/>
      <c r="W119" s="39" t="n"/>
      <c r="X119" s="39" t="n"/>
      <c r="Y119" s="39" t="n"/>
      <c r="Z119" s="39" t="n"/>
      <c r="AA119" s="39" t="n"/>
      <c r="AB119" s="39" t="n"/>
      <c r="AC119" s="39" t="n">
        <v>1</v>
      </c>
      <c r="AD119" s="16" t="inlineStr">
        <is>
          <t>không có</t>
        </is>
      </c>
      <c r="AE119" s="16" t="n"/>
      <c r="AF119" s="16" t="inlineStr">
        <is>
          <t>SPA React, chỉ 1 ô 'Nhập mã tra cứu'. Bundle có khai báo recaptchaSiteKeyV2 trong config nhưng không thấy dùng, trang không nạp reCAPTCHA. Cùng giao diện với SUN Invoice (row 133).</t>
        </is>
      </c>
      <c r="AG119" s="16" t="inlineStr">
        <is>
          <t>https://tracuu.gohoadon.vn/</t>
        </is>
      </c>
      <c r="AH119" s="1" t="n"/>
      <c r="AI119" s="1" t="n"/>
      <c r="AJ119">
        <f>IFERROR(IF(INDEX(WBS2!$I$2:$I$25,MATCH($C119,WBS2!$F$2:$F$25,0))="","",INDEX(WBS2!$I$2:$I$25,MATCH($C119,WBS2!$F$2:$F$25,0))),"")</f>
        <v/>
      </c>
      <c r="AK119">
        <f>IFERROR(IF(INDEX(WBS2!$I$27:$I$162,MATCH($C119,WBS2!$F$27:$F$162,0))="","",INDEX(WBS2!$I$27:$I$162,MATCH($C119,WBS2!$F$27:$F$162,0))),"")</f>
        <v/>
      </c>
      <c r="AL119" s="102">
        <f>IFERROR(IF(OR($AK119="Chưa hoàn thành",$AK119="Sẵn sàng"),INDEX(WBS2!$H$27:$H$162,MATCH($C119,WBS2!$F$27:$F$162,0)),""),"")</f>
        <v/>
      </c>
      <c r="AM119">
        <f>IFERROR(IF(INDEX(WBS2!$J$27:$J$162,MATCH($C119,WBS2!$F$27:$F$162,0))="","",INDEX(WBS2!$J$27:$J$162,MATCH($C119,WBS2!$F$27:$F$162,0))),"")</f>
        <v/>
      </c>
      <c r="AN119">
        <f>IFERROR(IF(INDEX(WBS2!$I$163:$I$298,MATCH($C119,WBS2!$F$163:$F$298,0))="","",INDEX(WBS2!$I$163:$I$298,MATCH($C119,WBS2!$F$163:$F$298,0))),"")</f>
        <v/>
      </c>
      <c r="AO119" s="102">
        <f>IFERROR(IF(OR($AN119="Chưa hoàn thành",$AN119="Sẵn sàng"),INDEX(WBS2!$H$163:$H$298,MATCH($C119,WBS2!$F$163:$F$298,0)),""),"")</f>
        <v/>
      </c>
      <c r="AP119">
        <f>IFERROR(IF(INDEX(WBS2!$J$163:$J$298,MATCH($C119,WBS2!$F$163:$F$298,0))="","",INDEX(WBS2!$J$163:$J$298,MATCH($C119,WBS2!$F$163:$F$298,0))),"")</f>
        <v/>
      </c>
    </row>
    <row r="120" hidden="1" ht="14.25" customHeight="1">
      <c r="A120" s="13" t="n">
        <v>119</v>
      </c>
      <c r="B120" s="28" t="inlineStr">
        <is>
          <t>Công ty TNHH Công nghệ và Dịch vụ thuế TAXNET</t>
        </is>
      </c>
      <c r="C120" s="14" t="inlineStr">
        <is>
          <t>0110784036</t>
        </is>
      </c>
      <c r="D120" s="13" t="inlineStr">
        <is>
          <t>Phòng 203, tầng 2 số 21-23 Nguyễn Công Hoan, phường Giảng Võ, Tp Hà Nội</t>
        </is>
      </c>
      <c r="E120" s="83" t="inlineStr">
        <is>
          <t>https://taxnet.vn</t>
        </is>
      </c>
      <c r="F120" s="20" t="inlineStr">
        <is>
          <t>Không có captcha</t>
        </is>
      </c>
      <c r="G120" s="66" t="inlineStr">
        <is>
          <t>https://tracuuhoadon.taxnet.vn/</t>
        </is>
      </c>
      <c r="H120" s="35">
        <f>IF(N120&lt;&gt;"OK","",IF(IF(O120="✓","Mã tra cứu|","")&amp;IF(P120="✓","MST người bán|","")&amp;IF(Q120="✓","MST người mua|","")&amp;IF(R120="✓","Mẫu số / Ký hiệu|","")&amp;IF(S120="✓","Số HĐ|","")&amp;IF(T120="✓","Ngày lập|","")&amp;IF(U120="✓","Tổng tiền|","")&amp;IF(V120="✓","Mã CQT|","")&amp;IF(W120="✓","Upload XML|","")&amp;IF(X120="✓","Captcha ảnh|","")&amp;IF(Y120="✓","Captcha dạng tích|","")&amp;IF(Z120="✓","Captcha khác (slider/hình)|","")&amp;IF(AA120="✓","Đăng nhập|","")&amp;IF(AB120="✓","Email/SĐT/OTP|","")="","(không có tham số)",SUBSTITUTE(LEFT(IF(O120="✓","Mã tra cứu|","")&amp;IF(P120="✓","MST người bán|","")&amp;IF(Q120="✓","MST người mua|","")&amp;IF(R120="✓","Mẫu số / Ký hiệu|","")&amp;IF(S120="✓","Số HĐ|","")&amp;IF(T120="✓","Ngày lập|","")&amp;IF(U120="✓","Tổng tiền|","")&amp;IF(V120="✓","Mã CQT|","")&amp;IF(W120="✓","Upload XML|","")&amp;IF(X120="✓","Captcha ảnh|","")&amp;IF(Y120="✓","Captcha dạng tích|","")&amp;IF(Z120="✓","Captcha khác (slider/hình)|","")&amp;IF(AA120="✓","Đăng nhập|","")&amp;IF(AB120="✓","Email/SĐT/OTP|",""),LEN(IF(O120="✓","Mã tra cứu|","")&amp;IF(P120="✓","MST người bán|","")&amp;IF(Q120="✓","MST người mua|","")&amp;IF(R120="✓","Mẫu số / Ký hiệu|","")&amp;IF(S120="✓","Số HĐ|","")&amp;IF(T120="✓","Ngày lập|","")&amp;IF(U120="✓","Tổng tiền|","")&amp;IF(V120="✓","Mã CQT|","")&amp;IF(W120="✓","Upload XML|","")&amp;IF(X120="✓","Captcha ảnh|","")&amp;IF(Y120="✓","Captcha dạng tích|","")&amp;IF(Z120="✓","Captcha khác (slider/hình)|","")&amp;IF(AA120="✓","Đăng nhập|","")&amp;IF(AB120="✓","Email/SĐT/OTP|",""))-1),"|"," + ")))</f>
        <v/>
      </c>
      <c r="I120" s="17" t="n"/>
      <c r="J120" s="17" t="n"/>
      <c r="K120" s="17" t="n"/>
      <c r="L120" s="17" t="n"/>
      <c r="M120" s="37" t="n"/>
      <c r="N120" s="38" t="inlineStr">
        <is>
          <t>OK</t>
        </is>
      </c>
      <c r="O120" s="39" t="inlineStr">
        <is>
          <t>✓</t>
        </is>
      </c>
      <c r="P120" s="39" t="n"/>
      <c r="Q120" s="39" t="n"/>
      <c r="R120" s="39" t="n"/>
      <c r="S120" s="39" t="n"/>
      <c r="T120" s="39" t="n"/>
      <c r="U120" s="39" t="n"/>
      <c r="V120" s="39" t="n"/>
      <c r="W120" s="39" t="n"/>
      <c r="X120" s="39" t="n"/>
      <c r="Y120" s="39" t="n"/>
      <c r="Z120" s="39" t="n"/>
      <c r="AA120" s="39" t="n"/>
      <c r="AB120" s="39" t="n"/>
      <c r="AC120" s="39" t="n">
        <v>1</v>
      </c>
      <c r="AD120" s="16" t="inlineStr">
        <is>
          <t>reCAPTCHA v3 ẩn (api.js?render=&lt;key&gt;, grecaptcha.execute, iframe size=invisible)</t>
        </is>
      </c>
      <c r="AE120" s="16" t="inlineStr">
        <is>
          <t>Tab 'Tìm kiếm chứng từ' và 'Tìm kiếm phiếu xuất kho': cùng ô 'Mã nhận HĐ' (loại chứng từ khác, không phải cách tra HĐ khác)</t>
        </is>
      </c>
      <c r="AF120" s="16" t="inlineStr">
        <is>
          <t>Ô 'Mã nhận HĐ (*)' + ô số SP/trang. Cùng template với BaDo (row 129).</t>
        </is>
      </c>
      <c r="AG120" s="16" t="inlineStr">
        <is>
          <t>https://tracuuhoadon.taxnet.vn/</t>
        </is>
      </c>
      <c r="AH120" s="1" t="n"/>
      <c r="AI120" s="1" t="n"/>
      <c r="AJ120">
        <f>IFERROR(IF(INDEX(WBS2!$I$2:$I$25,MATCH($C120,WBS2!$F$2:$F$25,0))="","",INDEX(WBS2!$I$2:$I$25,MATCH($C120,WBS2!$F$2:$F$25,0))),"")</f>
        <v/>
      </c>
      <c r="AK120">
        <f>IFERROR(IF(INDEX(WBS2!$I$27:$I$162,MATCH($C120,WBS2!$F$27:$F$162,0))="","",INDEX(WBS2!$I$27:$I$162,MATCH($C120,WBS2!$F$27:$F$162,0))),"")</f>
        <v/>
      </c>
      <c r="AL120" s="102">
        <f>IFERROR(IF(OR($AK120="Chưa hoàn thành",$AK120="Sẵn sàng"),INDEX(WBS2!$H$27:$H$162,MATCH($C120,WBS2!$F$27:$F$162,0)),""),"")</f>
        <v/>
      </c>
      <c r="AM120">
        <f>IFERROR(IF(INDEX(WBS2!$J$27:$J$162,MATCH($C120,WBS2!$F$27:$F$162,0))="","",INDEX(WBS2!$J$27:$J$162,MATCH($C120,WBS2!$F$27:$F$162,0))),"")</f>
        <v/>
      </c>
      <c r="AN120">
        <f>IFERROR(IF(INDEX(WBS2!$I$163:$I$298,MATCH($C120,WBS2!$F$163:$F$298,0))="","",INDEX(WBS2!$I$163:$I$298,MATCH($C120,WBS2!$F$163:$F$298,0))),"")</f>
        <v/>
      </c>
      <c r="AO120" s="102">
        <f>IFERROR(IF(OR($AN120="Chưa hoàn thành",$AN120="Sẵn sàng"),INDEX(WBS2!$H$163:$H$298,MATCH($C120,WBS2!$F$163:$F$298,0)),""),"")</f>
        <v/>
      </c>
      <c r="AP120">
        <f>IFERROR(IF(INDEX(WBS2!$J$163:$J$298,MATCH($C120,WBS2!$F$163:$F$298,0))="","",INDEX(WBS2!$J$163:$J$298,MATCH($C120,WBS2!$F$163:$F$298,0))),"")</f>
        <v/>
      </c>
    </row>
    <row r="121" hidden="1" ht="14.25" customHeight="1">
      <c r="A121" s="13" t="n">
        <v>120</v>
      </c>
      <c r="B121" s="28" t="inlineStr">
        <is>
          <t>Công ty Cổ phần Công nghệ AIBAT</t>
        </is>
      </c>
      <c r="C121" s="14" t="inlineStr">
        <is>
          <t>0110585520</t>
        </is>
      </c>
      <c r="D121" s="13" t="inlineStr">
        <is>
          <t>Số 25 ngõ 24 Hoàng Quốc Việt, phường Nghĩa Đô, Tp Hà Nội</t>
        </is>
      </c>
      <c r="E121" s="83" t="inlineStr">
        <is>
          <t>https://hoadon.aibat.vn</t>
        </is>
      </c>
      <c r="F121" s="20" t="inlineStr">
        <is>
          <t>không có thông tin</t>
        </is>
      </c>
      <c r="G121" s="20" t="n"/>
      <c r="H121" s="35">
        <f>IF(N121&lt;&gt;"OK","",IF(IF(O121="✓","Mã tra cứu|","")&amp;IF(P121="✓","MST người bán|","")&amp;IF(Q121="✓","MST người mua|","")&amp;IF(R121="✓","Mẫu số / Ký hiệu|","")&amp;IF(S121="✓","Số HĐ|","")&amp;IF(T121="✓","Ngày lập|","")&amp;IF(U121="✓","Tổng tiền|","")&amp;IF(V121="✓","Mã CQT|","")&amp;IF(W121="✓","Upload XML|","")&amp;IF(X121="✓","Captcha ảnh|","")&amp;IF(Y121="✓","Captcha dạng tích|","")&amp;IF(Z121="✓","Captcha khác (slider/hình)|","")&amp;IF(AA121="✓","Đăng nhập|","")&amp;IF(AB121="✓","Email/SĐT/OTP|","")="","(không có tham số)",SUBSTITUTE(LEFT(IF(O121="✓","Mã tra cứu|","")&amp;IF(P121="✓","MST người bán|","")&amp;IF(Q121="✓","MST người mua|","")&amp;IF(R121="✓","Mẫu số / Ký hiệu|","")&amp;IF(S121="✓","Số HĐ|","")&amp;IF(T121="✓","Ngày lập|","")&amp;IF(U121="✓","Tổng tiền|","")&amp;IF(V121="✓","Mã CQT|","")&amp;IF(W121="✓","Upload XML|","")&amp;IF(X121="✓","Captcha ảnh|","")&amp;IF(Y121="✓","Captcha dạng tích|","")&amp;IF(Z121="✓","Captcha khác (slider/hình)|","")&amp;IF(AA121="✓","Đăng nhập|","")&amp;IF(AB121="✓","Email/SĐT/OTP|",""),LEN(IF(O121="✓","Mã tra cứu|","")&amp;IF(P121="✓","MST người bán|","")&amp;IF(Q121="✓","MST người mua|","")&amp;IF(R121="✓","Mẫu số / Ký hiệu|","")&amp;IF(S121="✓","Số HĐ|","")&amp;IF(T121="✓","Ngày lập|","")&amp;IF(U121="✓","Tổng tiền|","")&amp;IF(V121="✓","Mã CQT|","")&amp;IF(W121="✓","Upload XML|","")&amp;IF(X121="✓","Captcha ảnh|","")&amp;IF(Y121="✓","Captcha dạng tích|","")&amp;IF(Z121="✓","Captcha khác (slider/hình)|","")&amp;IF(AA121="✓","Đăng nhập|","")&amp;IF(AB121="✓","Email/SĐT/OTP|",""))-1),"|"," + ")))</f>
        <v/>
      </c>
      <c r="I121" s="17" t="n"/>
      <c r="J121" s="17" t="n"/>
      <c r="K121" s="17" t="n"/>
      <c r="L121" s="17" t="n"/>
      <c r="M121" s="37" t="n"/>
      <c r="N121" s="38" t="n"/>
      <c r="O121" s="37" t="n"/>
      <c r="P121" s="37" t="n"/>
      <c r="Q121" s="37" t="n"/>
      <c r="R121" s="37" t="n"/>
      <c r="S121" s="37" t="n"/>
      <c r="T121" s="37" t="n"/>
      <c r="U121" s="37" t="n"/>
      <c r="V121" s="37" t="n"/>
      <c r="W121" s="37" t="n"/>
      <c r="X121" s="37" t="n"/>
      <c r="Y121" s="37" t="n"/>
      <c r="Z121" s="37" t="n"/>
      <c r="AA121" s="37" t="n"/>
      <c r="AB121" s="37" t="n"/>
      <c r="AC121" s="37" t="n"/>
      <c r="AD121" s="37" t="n"/>
      <c r="AE121" s="37" t="n"/>
      <c r="AF121" s="37" t="n"/>
      <c r="AG121" s="37" t="n"/>
      <c r="AH121" s="1" t="n"/>
      <c r="AI121" s="1" t="n"/>
      <c r="AJ121">
        <f>IFERROR(IF(INDEX(WBS2!$I$2:$I$25,MATCH($C121,WBS2!$F$2:$F$25,0))="","",INDEX(WBS2!$I$2:$I$25,MATCH($C121,WBS2!$F$2:$F$25,0))),"")</f>
        <v/>
      </c>
      <c r="AK121">
        <f>IFERROR(IF(INDEX(WBS2!$I$27:$I$162,MATCH($C121,WBS2!$F$27:$F$162,0))="","",INDEX(WBS2!$I$27:$I$162,MATCH($C121,WBS2!$F$27:$F$162,0))),"")</f>
        <v/>
      </c>
      <c r="AL121" s="102">
        <f>IFERROR(IF(OR($AK121="Chưa hoàn thành",$AK121="Sẵn sàng"),INDEX(WBS2!$H$27:$H$162,MATCH($C121,WBS2!$F$27:$F$162,0)),""),"")</f>
        <v/>
      </c>
      <c r="AM121">
        <f>IFERROR(IF(INDEX(WBS2!$J$27:$J$162,MATCH($C121,WBS2!$F$27:$F$162,0))="","",INDEX(WBS2!$J$27:$J$162,MATCH($C121,WBS2!$F$27:$F$162,0))),"")</f>
        <v/>
      </c>
      <c r="AN121">
        <f>IFERROR(IF(INDEX(WBS2!$I$163:$I$298,MATCH($C121,WBS2!$F$163:$F$298,0))="","",INDEX(WBS2!$I$163:$I$298,MATCH($C121,WBS2!$F$163:$F$298,0))),"")</f>
        <v/>
      </c>
      <c r="AO121" s="102">
        <f>IFERROR(IF(OR($AN121="Chưa hoàn thành",$AN121="Sẵn sàng"),INDEX(WBS2!$H$163:$H$298,MATCH($C121,WBS2!$F$163:$F$298,0)),""),"")</f>
        <v/>
      </c>
      <c r="AP121">
        <f>IFERROR(IF(INDEX(WBS2!$J$163:$J$298,MATCH($C121,WBS2!$F$163:$F$298,0))="","",INDEX(WBS2!$J$163:$J$298,MATCH($C121,WBS2!$F$163:$F$298,0))),"")</f>
        <v/>
      </c>
    </row>
    <row r="122" hidden="1" ht="14.25" customHeight="1">
      <c r="A122" s="13" t="n">
        <v>121</v>
      </c>
      <c r="B122" s="28" t="inlineStr">
        <is>
          <t>Công ty Cổ phần Nhanh.VN</t>
        </is>
      </c>
      <c r="C122" s="14" t="inlineStr">
        <is>
          <t>0108824877</t>
        </is>
      </c>
      <c r="D122" s="13" t="inlineStr">
        <is>
          <t>Số 170 đường Đê La Thành, phường Ô Chợ Dừa, Tp Hà Nội</t>
        </is>
      </c>
      <c r="E122" s="83" t="inlineStr">
        <is>
          <t>https://dangky.nhanh.vn/xuat_hoa_don_dien_tu</t>
        </is>
      </c>
      <c r="F122" s="20" t="inlineStr">
        <is>
          <t>không có thông tin</t>
        </is>
      </c>
      <c r="G122" s="20" t="n"/>
      <c r="H122" s="35">
        <f>IF(N122&lt;&gt;"OK","",IF(IF(O122="✓","Mã tra cứu|","")&amp;IF(P122="✓","MST người bán|","")&amp;IF(Q122="✓","MST người mua|","")&amp;IF(R122="✓","Mẫu số / Ký hiệu|","")&amp;IF(S122="✓","Số HĐ|","")&amp;IF(T122="✓","Ngày lập|","")&amp;IF(U122="✓","Tổng tiền|","")&amp;IF(V122="✓","Mã CQT|","")&amp;IF(W122="✓","Upload XML|","")&amp;IF(X122="✓","Captcha ảnh|","")&amp;IF(Y122="✓","Captcha dạng tích|","")&amp;IF(Z122="✓","Captcha khác (slider/hình)|","")&amp;IF(AA122="✓","Đăng nhập|","")&amp;IF(AB122="✓","Email/SĐT/OTP|","")="","(không có tham số)",SUBSTITUTE(LEFT(IF(O122="✓","Mã tra cứu|","")&amp;IF(P122="✓","MST người bán|","")&amp;IF(Q122="✓","MST người mua|","")&amp;IF(R122="✓","Mẫu số / Ký hiệu|","")&amp;IF(S122="✓","Số HĐ|","")&amp;IF(T122="✓","Ngày lập|","")&amp;IF(U122="✓","Tổng tiền|","")&amp;IF(V122="✓","Mã CQT|","")&amp;IF(W122="✓","Upload XML|","")&amp;IF(X122="✓","Captcha ảnh|","")&amp;IF(Y122="✓","Captcha dạng tích|","")&amp;IF(Z122="✓","Captcha khác (slider/hình)|","")&amp;IF(AA122="✓","Đăng nhập|","")&amp;IF(AB122="✓","Email/SĐT/OTP|",""),LEN(IF(O122="✓","Mã tra cứu|","")&amp;IF(P122="✓","MST người bán|","")&amp;IF(Q122="✓","MST người mua|","")&amp;IF(R122="✓","Mẫu số / Ký hiệu|","")&amp;IF(S122="✓","Số HĐ|","")&amp;IF(T122="✓","Ngày lập|","")&amp;IF(U122="✓","Tổng tiền|","")&amp;IF(V122="✓","Mã CQT|","")&amp;IF(W122="✓","Upload XML|","")&amp;IF(X122="✓","Captcha ảnh|","")&amp;IF(Y122="✓","Captcha dạng tích|","")&amp;IF(Z122="✓","Captcha khác (slider/hình)|","")&amp;IF(AA122="✓","Đăng nhập|","")&amp;IF(AB122="✓","Email/SĐT/OTP|",""))-1),"|"," + ")))</f>
        <v/>
      </c>
      <c r="I122" s="17" t="n"/>
      <c r="J122" s="17" t="n"/>
      <c r="K122" s="17" t="n"/>
      <c r="L122" s="17" t="n"/>
      <c r="M122" s="37" t="n"/>
      <c r="N122" s="38" t="n"/>
      <c r="O122" s="37" t="n"/>
      <c r="P122" s="37" t="n"/>
      <c r="Q122" s="37" t="n"/>
      <c r="R122" s="37" t="n"/>
      <c r="S122" s="37" t="n"/>
      <c r="T122" s="37" t="n"/>
      <c r="U122" s="37" t="n"/>
      <c r="V122" s="37" t="n"/>
      <c r="W122" s="37" t="n"/>
      <c r="X122" s="37" t="n"/>
      <c r="Y122" s="37" t="n"/>
      <c r="Z122" s="37" t="n"/>
      <c r="AA122" s="37" t="n"/>
      <c r="AB122" s="37" t="n"/>
      <c r="AC122" s="37" t="n"/>
      <c r="AD122" s="37" t="n"/>
      <c r="AE122" s="37" t="n"/>
      <c r="AF122" s="37" t="n"/>
      <c r="AG122" s="37" t="n"/>
      <c r="AH122" s="1" t="n"/>
      <c r="AI122" s="1" t="n"/>
      <c r="AJ122">
        <f>IFERROR(IF(INDEX(WBS2!$I$2:$I$25,MATCH($C122,WBS2!$F$2:$F$25,0))="","",INDEX(WBS2!$I$2:$I$25,MATCH($C122,WBS2!$F$2:$F$25,0))),"")</f>
        <v/>
      </c>
      <c r="AK122">
        <f>IFERROR(IF(INDEX(WBS2!$I$27:$I$162,MATCH($C122,WBS2!$F$27:$F$162,0))="","",INDEX(WBS2!$I$27:$I$162,MATCH($C122,WBS2!$F$27:$F$162,0))),"")</f>
        <v/>
      </c>
      <c r="AL122" s="102">
        <f>IFERROR(IF(OR($AK122="Chưa hoàn thành",$AK122="Sẵn sàng"),INDEX(WBS2!$H$27:$H$162,MATCH($C122,WBS2!$F$27:$F$162,0)),""),"")</f>
        <v/>
      </c>
      <c r="AM122">
        <f>IFERROR(IF(INDEX(WBS2!$J$27:$J$162,MATCH($C122,WBS2!$F$27:$F$162,0))="","",INDEX(WBS2!$J$27:$J$162,MATCH($C122,WBS2!$F$27:$F$162,0))),"")</f>
        <v/>
      </c>
      <c r="AN122">
        <f>IFERROR(IF(INDEX(WBS2!$I$163:$I$298,MATCH($C122,WBS2!$F$163:$F$298,0))="","",INDEX(WBS2!$I$163:$I$298,MATCH($C122,WBS2!$F$163:$F$298,0))),"")</f>
        <v/>
      </c>
      <c r="AO122" s="102">
        <f>IFERROR(IF(OR($AN122="Chưa hoàn thành",$AN122="Sẵn sàng"),INDEX(WBS2!$H$163:$H$298,MATCH($C122,WBS2!$F$163:$F$298,0)),""),"")</f>
        <v/>
      </c>
      <c r="AP122">
        <f>IFERROR(IF(INDEX(WBS2!$J$163:$J$298,MATCH($C122,WBS2!$F$163:$F$298,0))="","",INDEX(WBS2!$J$163:$J$298,MATCH($C122,WBS2!$F$163:$F$298,0))),"")</f>
        <v/>
      </c>
    </row>
    <row r="123" hidden="1" ht="14.25" customHeight="1">
      <c r="A123" s="13" t="n">
        <v>122</v>
      </c>
      <c r="B123" s="28" t="inlineStr">
        <is>
          <t>Công ty Cổ phần Công nghệ NCCA</t>
        </is>
      </c>
      <c r="C123" s="14" t="inlineStr">
        <is>
          <t>0106166781</t>
        </is>
      </c>
      <c r="D123" s="13" t="inlineStr">
        <is>
          <t>Vị trí 6, biệt thự 12, Khu đô thị Xa La, phường Hà Đông, Tp Hà Nội</t>
        </is>
      </c>
      <c r="E123" s="83" t="inlineStr">
        <is>
          <t>https://nc-ca.com.vn/</t>
        </is>
      </c>
      <c r="F123" s="20" t="inlineStr">
        <is>
          <t>không có thông tin</t>
        </is>
      </c>
      <c r="G123" s="66" t="inlineStr">
        <is>
          <t>https://hddt.hddt-nc.vn/</t>
        </is>
      </c>
      <c r="H123" s="35">
        <f>IF(N123&lt;&gt;"OK","",IF(IF(O123="✓","Mã tra cứu|","")&amp;IF(P123="✓","MST người bán|","")&amp;IF(Q123="✓","MST người mua|","")&amp;IF(R123="✓","Mẫu số / Ký hiệu|","")&amp;IF(S123="✓","Số HĐ|","")&amp;IF(T123="✓","Ngày lập|","")&amp;IF(U123="✓","Tổng tiền|","")&amp;IF(V123="✓","Mã CQT|","")&amp;IF(W123="✓","Upload XML|","")&amp;IF(X123="✓","Captcha ảnh|","")&amp;IF(Y123="✓","Captcha dạng tích|","")&amp;IF(Z123="✓","Captcha khác (slider/hình)|","")&amp;IF(AA123="✓","Đăng nhập|","")&amp;IF(AB123="✓","Email/SĐT/OTP|","")="","(không có tham số)",SUBSTITUTE(LEFT(IF(O123="✓","Mã tra cứu|","")&amp;IF(P123="✓","MST người bán|","")&amp;IF(Q123="✓","MST người mua|","")&amp;IF(R123="✓","Mẫu số / Ký hiệu|","")&amp;IF(S123="✓","Số HĐ|","")&amp;IF(T123="✓","Ngày lập|","")&amp;IF(U123="✓","Tổng tiền|","")&amp;IF(V123="✓","Mã CQT|","")&amp;IF(W123="✓","Upload XML|","")&amp;IF(X123="✓","Captcha ảnh|","")&amp;IF(Y123="✓","Captcha dạng tích|","")&amp;IF(Z123="✓","Captcha khác (slider/hình)|","")&amp;IF(AA123="✓","Đăng nhập|","")&amp;IF(AB123="✓","Email/SĐT/OTP|",""),LEN(IF(O123="✓","Mã tra cứu|","")&amp;IF(P123="✓","MST người bán|","")&amp;IF(Q123="✓","MST người mua|","")&amp;IF(R123="✓","Mẫu số / Ký hiệu|","")&amp;IF(S123="✓","Số HĐ|","")&amp;IF(T123="✓","Ngày lập|","")&amp;IF(U123="✓","Tổng tiền|","")&amp;IF(V123="✓","Mã CQT|","")&amp;IF(W123="✓","Upload XML|","")&amp;IF(X123="✓","Captcha ảnh|","")&amp;IF(Y123="✓","Captcha dạng tích|","")&amp;IF(Z123="✓","Captcha khác (slider/hình)|","")&amp;IF(AA123="✓","Đăng nhập|","")&amp;IF(AB123="✓","Email/SĐT/OTP|",""))-1),"|"," + ")))</f>
        <v/>
      </c>
      <c r="I123" s="17" t="n"/>
      <c r="J123" s="17" t="n"/>
      <c r="K123" s="17" t="n"/>
      <c r="L123" s="17" t="n"/>
      <c r="M123" s="37" t="n"/>
      <c r="N123" s="38" t="inlineStr">
        <is>
          <t>Cần đăng nhập</t>
        </is>
      </c>
      <c r="O123" s="39" t="n"/>
      <c r="P123" s="39" t="n"/>
      <c r="Q123" s="39" t="n"/>
      <c r="R123" s="39" t="n"/>
      <c r="S123" s="39" t="n"/>
      <c r="T123" s="39" t="n"/>
      <c r="U123" s="39" t="n"/>
      <c r="V123" s="39" t="n"/>
      <c r="W123" s="39" t="n"/>
      <c r="X123" s="39" t="n"/>
      <c r="Y123" s="39" t="n"/>
      <c r="Z123" s="39" t="n"/>
      <c r="AA123" s="39" t="inlineStr">
        <is>
          <t>✓</t>
        </is>
      </c>
      <c r="AB123" s="39" t="n"/>
      <c r="AC123" s="39" t="n"/>
      <c r="AD123" s="16" t="inlineStr">
        <is>
          <t>không có (form đăng nhập)</t>
        </is>
      </c>
      <c r="AE123" s="16" t="n"/>
      <c r="AF123" s="16" t="inlineStr">
        <is>
          <t>Link chuyển về #/login của phần mềm quản trị (MST + Tài khoản + Mật khẩu). Bundle SPA không có route tra cứu công khai; trên nc-ca.com.vn menu 'Tra cứu hóa đơn' trỏ '#'. Không tìm thấy form tra cứu cho người mua.</t>
        </is>
      </c>
      <c r="AG123" s="16" t="inlineStr">
        <is>
          <t>https://hddt.hddt-nc.vn/#/login</t>
        </is>
      </c>
      <c r="AH123" s="1" t="n"/>
      <c r="AI123" s="1" t="n"/>
      <c r="AJ123">
        <f>IFERROR(IF(INDEX(WBS2!$I$2:$I$25,MATCH($C123,WBS2!$F$2:$F$25,0))="","",INDEX(WBS2!$I$2:$I$25,MATCH($C123,WBS2!$F$2:$F$25,0))),"")</f>
        <v/>
      </c>
      <c r="AK123">
        <f>IFERROR(IF(INDEX(WBS2!$I$27:$I$162,MATCH($C123,WBS2!$F$27:$F$162,0))="","",INDEX(WBS2!$I$27:$I$162,MATCH($C123,WBS2!$F$27:$F$162,0))),"")</f>
        <v/>
      </c>
      <c r="AL123" s="102">
        <f>IFERROR(IF(OR($AK123="Chưa hoàn thành",$AK123="Sẵn sàng"),INDEX(WBS2!$H$27:$H$162,MATCH($C123,WBS2!$F$27:$F$162,0)),""),"")</f>
        <v/>
      </c>
      <c r="AM123">
        <f>IFERROR(IF(INDEX(WBS2!$J$27:$J$162,MATCH($C123,WBS2!$F$27:$F$162,0))="","",INDEX(WBS2!$J$27:$J$162,MATCH($C123,WBS2!$F$27:$F$162,0))),"")</f>
        <v/>
      </c>
      <c r="AN123">
        <f>IFERROR(IF(INDEX(WBS2!$I$163:$I$298,MATCH($C123,WBS2!$F$163:$F$298,0))="","",INDEX(WBS2!$I$163:$I$298,MATCH($C123,WBS2!$F$163:$F$298,0))),"")</f>
        <v/>
      </c>
      <c r="AO123" s="102">
        <f>IFERROR(IF(OR($AN123="Chưa hoàn thành",$AN123="Sẵn sàng"),INDEX(WBS2!$H$163:$H$298,MATCH($C123,WBS2!$F$163:$F$298,0)),""),"")</f>
        <v/>
      </c>
      <c r="AP123">
        <f>IFERROR(IF(INDEX(WBS2!$J$163:$J$298,MATCH($C123,WBS2!$F$163:$F$298,0))="","",INDEX(WBS2!$J$163:$J$298,MATCH($C123,WBS2!$F$163:$F$298,0))),"")</f>
        <v/>
      </c>
    </row>
    <row r="124" hidden="1" ht="14.25" customHeight="1">
      <c r="A124" s="13" t="n">
        <v>123</v>
      </c>
      <c r="B124" s="28" t="inlineStr">
        <is>
          <t>Công ty Cổ phần Ứng dụng Công nghệ Vũ Hải</t>
        </is>
      </c>
      <c r="C124" s="14" t="inlineStr">
        <is>
          <t>0108190282</t>
        </is>
      </c>
      <c r="D124" s="13" t="inlineStr">
        <is>
          <t>Số 746 đường Minh Khai, phường Vĩnh Tuy, Tp Hà Nội</t>
        </is>
      </c>
      <c r="E124" s="83" t="inlineStr">
        <is>
          <t>https://vuhai.co</t>
        </is>
      </c>
      <c r="F124" s="20" t="inlineStr">
        <is>
          <t>không có thông tin</t>
        </is>
      </c>
      <c r="G124" s="66" t="inlineStr">
        <is>
          <t>https://hoadon.vuhai.co/</t>
        </is>
      </c>
      <c r="H124" s="35">
        <f>IF(N124&lt;&gt;"OK","",IF(IF(O124="✓","Mã tra cứu|","")&amp;IF(P124="✓","MST người bán|","")&amp;IF(Q124="✓","MST người mua|","")&amp;IF(R124="✓","Mẫu số / Ký hiệu|","")&amp;IF(S124="✓","Số HĐ|","")&amp;IF(T124="✓","Ngày lập|","")&amp;IF(U124="✓","Tổng tiền|","")&amp;IF(V124="✓","Mã CQT|","")&amp;IF(W124="✓","Upload XML|","")&amp;IF(X124="✓","Captcha ảnh|","")&amp;IF(Y124="✓","Captcha dạng tích|","")&amp;IF(Z124="✓","Captcha khác (slider/hình)|","")&amp;IF(AA124="✓","Đăng nhập|","")&amp;IF(AB124="✓","Email/SĐT/OTP|","")="","(không có tham số)",SUBSTITUTE(LEFT(IF(O124="✓","Mã tra cứu|","")&amp;IF(P124="✓","MST người bán|","")&amp;IF(Q124="✓","MST người mua|","")&amp;IF(R124="✓","Mẫu số / Ký hiệu|","")&amp;IF(S124="✓","Số HĐ|","")&amp;IF(T124="✓","Ngày lập|","")&amp;IF(U124="✓","Tổng tiền|","")&amp;IF(V124="✓","Mã CQT|","")&amp;IF(W124="✓","Upload XML|","")&amp;IF(X124="✓","Captcha ảnh|","")&amp;IF(Y124="✓","Captcha dạng tích|","")&amp;IF(Z124="✓","Captcha khác (slider/hình)|","")&amp;IF(AA124="✓","Đăng nhập|","")&amp;IF(AB124="✓","Email/SĐT/OTP|",""),LEN(IF(O124="✓","Mã tra cứu|","")&amp;IF(P124="✓","MST người bán|","")&amp;IF(Q124="✓","MST người mua|","")&amp;IF(R124="✓","Mẫu số / Ký hiệu|","")&amp;IF(S124="✓","Số HĐ|","")&amp;IF(T124="✓","Ngày lập|","")&amp;IF(U124="✓","Tổng tiền|","")&amp;IF(V124="✓","Mã CQT|","")&amp;IF(W124="✓","Upload XML|","")&amp;IF(X124="✓","Captcha ảnh|","")&amp;IF(Y124="✓","Captcha dạng tích|","")&amp;IF(Z124="✓","Captcha khác (slider/hình)|","")&amp;IF(AA124="✓","Đăng nhập|","")&amp;IF(AB124="✓","Email/SĐT/OTP|",""))-1),"|"," + ")))</f>
        <v/>
      </c>
      <c r="I124" s="17" t="n"/>
      <c r="J124" s="17" t="n"/>
      <c r="K124" s="17" t="n"/>
      <c r="L124" s="17" t="n"/>
      <c r="M124" s="37" t="n"/>
      <c r="N124" s="38" t="inlineStr">
        <is>
          <t>Site lỗi</t>
        </is>
      </c>
      <c r="O124" s="39" t="n"/>
      <c r="P124" s="39" t="n"/>
      <c r="Q124" s="39" t="n"/>
      <c r="R124" s="39" t="n"/>
      <c r="S124" s="39" t="n"/>
      <c r="T124" s="39" t="n"/>
      <c r="U124" s="39" t="n"/>
      <c r="V124" s="39" t="n"/>
      <c r="W124" s="39" t="n"/>
      <c r="X124" s="39" t="n"/>
      <c r="Y124" s="39" t="n"/>
      <c r="Z124" s="39" t="n"/>
      <c r="AA124" s="39" t="n"/>
      <c r="AB124" s="39" t="n"/>
      <c r="AC124" s="39" t="n"/>
      <c r="AD124" s="16" t="n"/>
      <c r="AE124" s="16" t="n"/>
      <c r="AF124" s="16" t="inlineStr">
        <is>
          <t>https://hoadon.vuhai.co: ERR_CONNECTION_RESET (thử lại 2 lần); http:// trả 404. Web vuhai.co (VAN-Logistic) sống nhưng trang giải pháp HĐĐT không có link tra cứu.</t>
        </is>
      </c>
      <c r="AG124" s="16" t="inlineStr">
        <is>
          <t>https://hoadon.vuhai.co/</t>
        </is>
      </c>
      <c r="AH124" s="1" t="n"/>
      <c r="AI124" s="1" t="n"/>
      <c r="AJ124">
        <f>IFERROR(IF(INDEX(WBS2!$I$2:$I$25,MATCH($C124,WBS2!$F$2:$F$25,0))="","",INDEX(WBS2!$I$2:$I$25,MATCH($C124,WBS2!$F$2:$F$25,0))),"")</f>
        <v/>
      </c>
      <c r="AK124">
        <f>IFERROR(IF(INDEX(WBS2!$I$27:$I$162,MATCH($C124,WBS2!$F$27:$F$162,0))="","",INDEX(WBS2!$I$27:$I$162,MATCH($C124,WBS2!$F$27:$F$162,0))),"")</f>
        <v/>
      </c>
      <c r="AL124" s="102">
        <f>IFERROR(IF(OR($AK124="Chưa hoàn thành",$AK124="Sẵn sàng"),INDEX(WBS2!$H$27:$H$162,MATCH($C124,WBS2!$F$27:$F$162,0)),""),"")</f>
        <v/>
      </c>
      <c r="AM124">
        <f>IFERROR(IF(INDEX(WBS2!$J$27:$J$162,MATCH($C124,WBS2!$F$27:$F$162,0))="","",INDEX(WBS2!$J$27:$J$162,MATCH($C124,WBS2!$F$27:$F$162,0))),"")</f>
        <v/>
      </c>
      <c r="AN124">
        <f>IFERROR(IF(INDEX(WBS2!$I$163:$I$298,MATCH($C124,WBS2!$F$163:$F$298,0))="","",INDEX(WBS2!$I$163:$I$298,MATCH($C124,WBS2!$F$163:$F$298,0))),"")</f>
        <v/>
      </c>
      <c r="AO124" s="102">
        <f>IFERROR(IF(OR($AN124="Chưa hoàn thành",$AN124="Sẵn sàng"),INDEX(WBS2!$H$163:$H$298,MATCH($C124,WBS2!$F$163:$F$298,0)),""),"")</f>
        <v/>
      </c>
      <c r="AP124">
        <f>IFERROR(IF(INDEX(WBS2!$J$163:$J$298,MATCH($C124,WBS2!$F$163:$F$298,0))="","",INDEX(WBS2!$J$163:$J$298,MATCH($C124,WBS2!$F$163:$F$298,0))),"")</f>
        <v/>
      </c>
    </row>
    <row r="125" hidden="1" ht="14.25" customHeight="1">
      <c r="A125" s="13" t="n">
        <v>124</v>
      </c>
      <c r="B125" s="28" t="inlineStr">
        <is>
          <t>Công ty Cổ phần Công nghệ Trường Minh Thịnh</t>
        </is>
      </c>
      <c r="C125" s="14" t="inlineStr">
        <is>
          <t>0311174986</t>
        </is>
      </c>
      <c r="D125" s="13" t="inlineStr">
        <is>
          <t>Đường số 8, Khu 2, Bùi Minh Trực, Phường Bình Đông, Thành phố Hồ Chí Minh</t>
        </is>
      </c>
      <c r="E125" s="83" t="inlineStr">
        <is>
          <t>https://wiinvoice.vn/</t>
        </is>
      </c>
      <c r="F125" s="20" t="inlineStr">
        <is>
          <t>Không có captcha</t>
        </is>
      </c>
      <c r="G125" s="23" t="inlineStr">
        <is>
          <t>https://tracuu.wininvoice.vn/</t>
        </is>
      </c>
      <c r="H125" s="35">
        <f>IF(N125&lt;&gt;"OK","",IF(IF(O125="✓","Mã tra cứu|","")&amp;IF(P125="✓","MST người bán|","")&amp;IF(Q125="✓","MST người mua|","")&amp;IF(R125="✓","Mẫu số / Ký hiệu|","")&amp;IF(S125="✓","Số HĐ|","")&amp;IF(T125="✓","Ngày lập|","")&amp;IF(U125="✓","Tổng tiền|","")&amp;IF(V125="✓","Mã CQT|","")&amp;IF(W125="✓","Upload XML|","")&amp;IF(X125="✓","Captcha ảnh|","")&amp;IF(Y125="✓","Captcha dạng tích|","")&amp;IF(Z125="✓","Captcha khác (slider/hình)|","")&amp;IF(AA125="✓","Đăng nhập|","")&amp;IF(AB125="✓","Email/SĐT/OTP|","")="","(không có tham số)",SUBSTITUTE(LEFT(IF(O125="✓","Mã tra cứu|","")&amp;IF(P125="✓","MST người bán|","")&amp;IF(Q125="✓","MST người mua|","")&amp;IF(R125="✓","Mẫu số / Ký hiệu|","")&amp;IF(S125="✓","Số HĐ|","")&amp;IF(T125="✓","Ngày lập|","")&amp;IF(U125="✓","Tổng tiền|","")&amp;IF(V125="✓","Mã CQT|","")&amp;IF(W125="✓","Upload XML|","")&amp;IF(X125="✓","Captcha ảnh|","")&amp;IF(Y125="✓","Captcha dạng tích|","")&amp;IF(Z125="✓","Captcha khác (slider/hình)|","")&amp;IF(AA125="✓","Đăng nhập|","")&amp;IF(AB125="✓","Email/SĐT/OTP|",""),LEN(IF(O125="✓","Mã tra cứu|","")&amp;IF(P125="✓","MST người bán|","")&amp;IF(Q125="✓","MST người mua|","")&amp;IF(R125="✓","Mẫu số / Ký hiệu|","")&amp;IF(S125="✓","Số HĐ|","")&amp;IF(T125="✓","Ngày lập|","")&amp;IF(U125="✓","Tổng tiền|","")&amp;IF(V125="✓","Mã CQT|","")&amp;IF(W125="✓","Upload XML|","")&amp;IF(X125="✓","Captcha ảnh|","")&amp;IF(Y125="✓","Captcha dạng tích|","")&amp;IF(Z125="✓","Captcha khác (slider/hình)|","")&amp;IF(AA125="✓","Đăng nhập|","")&amp;IF(AB125="✓","Email/SĐT/OTP|",""))-1),"|"," + ")))</f>
        <v/>
      </c>
      <c r="I125" s="17" t="n"/>
      <c r="J125" s="17" t="n"/>
      <c r="K125" s="17" t="n"/>
      <c r="L125" s="17" t="n"/>
      <c r="M125" s="37" t="n"/>
      <c r="N125" s="38" t="inlineStr">
        <is>
          <t>OK</t>
        </is>
      </c>
      <c r="O125" s="39" t="inlineStr">
        <is>
          <t>✓</t>
        </is>
      </c>
      <c r="P125" s="39" t="n"/>
      <c r="Q125" s="39" t="n"/>
      <c r="R125" s="39" t="n"/>
      <c r="S125" s="39" t="n"/>
      <c r="T125" s="39" t="n"/>
      <c r="U125" s="39" t="n"/>
      <c r="V125" s="39" t="n"/>
      <c r="W125" s="39" t="n"/>
      <c r="X125" s="39" t="n"/>
      <c r="Y125" s="39" t="n"/>
      <c r="Z125" s="39" t="n"/>
      <c r="AA125" s="39" t="n"/>
      <c r="AB125" s="39" t="n"/>
      <c r="AC125" s="39" t="n">
        <v>1</v>
      </c>
      <c r="AD125" s="16" t="inlineStr">
        <is>
          <t>không có (trang nạp recaptcha/api.js nhưng không render widget trên form mặc định)</t>
        </is>
      </c>
      <c r="AE125" s="16" t="inlineStr">
        <is>
          <t>'Sử dụng tài khoản tra cứu' (/bill/login: username + password); form ẩn 'Tra cứu hóa đơn hệ thống cũ' (dcv_form, chỉ Mã tra cứu)</t>
        </is>
      </c>
      <c r="AF125" s="16" t="inlineStr">
        <is>
          <t>Form mặc định: 'Mã tra cứu' + 'Mã công ty' (mã công ty của WinInvoice, không phải MST). Lưu ý: web ghi wiinvoice.vn nhưng link là wininvoice.vn.</t>
        </is>
      </c>
      <c r="AG125" s="16" t="inlineStr">
        <is>
          <t>https://tracuu.wininvoice.vn/</t>
        </is>
      </c>
      <c r="AH125" s="1" t="n"/>
      <c r="AI125" s="1" t="n"/>
      <c r="AJ125">
        <f>IFERROR(IF(INDEX(WBS2!$I$2:$I$25,MATCH($C125,WBS2!$F$2:$F$25,0))="","",INDEX(WBS2!$I$2:$I$25,MATCH($C125,WBS2!$F$2:$F$25,0))),"")</f>
        <v/>
      </c>
      <c r="AK125">
        <f>IFERROR(IF(INDEX(WBS2!$I$27:$I$162,MATCH($C125,WBS2!$F$27:$F$162,0))="","",INDEX(WBS2!$I$27:$I$162,MATCH($C125,WBS2!$F$27:$F$162,0))),"")</f>
        <v/>
      </c>
      <c r="AL125" s="102">
        <f>IFERROR(IF(OR($AK125="Chưa hoàn thành",$AK125="Sẵn sàng"),INDEX(WBS2!$H$27:$H$162,MATCH($C125,WBS2!$F$27:$F$162,0)),""),"")</f>
        <v/>
      </c>
      <c r="AM125">
        <f>IFERROR(IF(INDEX(WBS2!$J$27:$J$162,MATCH($C125,WBS2!$F$27:$F$162,0))="","",INDEX(WBS2!$J$27:$J$162,MATCH($C125,WBS2!$F$27:$F$162,0))),"")</f>
        <v/>
      </c>
      <c r="AN125">
        <f>IFERROR(IF(INDEX(WBS2!$I$163:$I$298,MATCH($C125,WBS2!$F$163:$F$298,0))="","",INDEX(WBS2!$I$163:$I$298,MATCH($C125,WBS2!$F$163:$F$298,0))),"")</f>
        <v/>
      </c>
      <c r="AO125" s="102">
        <f>IFERROR(IF(OR($AN125="Chưa hoàn thành",$AN125="Sẵn sàng"),INDEX(WBS2!$H$163:$H$298,MATCH($C125,WBS2!$F$163:$F$298,0)),""),"")</f>
        <v/>
      </c>
      <c r="AP125">
        <f>IFERROR(IF(INDEX(WBS2!$J$163:$J$298,MATCH($C125,WBS2!$F$163:$F$298,0))="","",INDEX(WBS2!$J$163:$J$298,MATCH($C125,WBS2!$F$163:$F$298,0))),"")</f>
        <v/>
      </c>
    </row>
    <row r="126" hidden="1" ht="14.25" customHeight="1">
      <c r="A126" s="13" t="n">
        <v>125</v>
      </c>
      <c r="B126" s="28" t="inlineStr">
        <is>
          <t>Công ty TNHH Casso</t>
        </is>
      </c>
      <c r="C126" s="14" t="inlineStr">
        <is>
          <t>0316794479</t>
        </is>
      </c>
      <c r="D126" s="13" t="inlineStr">
        <is>
          <t>I.102D, nhà A, Khu Công nghệ Phần mềm, Đường Nội bộ Đại học Quốc Gia Thành phố Hồ Chí Minh, Phường Linh Xuân, Thành phố Hồ Chí Minh</t>
        </is>
      </c>
      <c r="E126" s="83" t="inlineStr">
        <is>
          <t>https://xinvoice.vn</t>
        </is>
      </c>
      <c r="F126" s="20" t="inlineStr">
        <is>
          <t>không có thông tin</t>
        </is>
      </c>
      <c r="G126" s="20" t="n"/>
      <c r="H126" s="35">
        <f>IF(N126&lt;&gt;"OK","",IF(IF(O126="✓","Mã tra cứu|","")&amp;IF(P126="✓","MST người bán|","")&amp;IF(Q126="✓","MST người mua|","")&amp;IF(R126="✓","Mẫu số / Ký hiệu|","")&amp;IF(S126="✓","Số HĐ|","")&amp;IF(T126="✓","Ngày lập|","")&amp;IF(U126="✓","Tổng tiền|","")&amp;IF(V126="✓","Mã CQT|","")&amp;IF(W126="✓","Upload XML|","")&amp;IF(X126="✓","Captcha ảnh|","")&amp;IF(Y126="✓","Captcha dạng tích|","")&amp;IF(Z126="✓","Captcha khác (slider/hình)|","")&amp;IF(AA126="✓","Đăng nhập|","")&amp;IF(AB126="✓","Email/SĐT/OTP|","")="","(không có tham số)",SUBSTITUTE(LEFT(IF(O126="✓","Mã tra cứu|","")&amp;IF(P126="✓","MST người bán|","")&amp;IF(Q126="✓","MST người mua|","")&amp;IF(R126="✓","Mẫu số / Ký hiệu|","")&amp;IF(S126="✓","Số HĐ|","")&amp;IF(T126="✓","Ngày lập|","")&amp;IF(U126="✓","Tổng tiền|","")&amp;IF(V126="✓","Mã CQT|","")&amp;IF(W126="✓","Upload XML|","")&amp;IF(X126="✓","Captcha ảnh|","")&amp;IF(Y126="✓","Captcha dạng tích|","")&amp;IF(Z126="✓","Captcha khác (slider/hình)|","")&amp;IF(AA126="✓","Đăng nhập|","")&amp;IF(AB126="✓","Email/SĐT/OTP|",""),LEN(IF(O126="✓","Mã tra cứu|","")&amp;IF(P126="✓","MST người bán|","")&amp;IF(Q126="✓","MST người mua|","")&amp;IF(R126="✓","Mẫu số / Ký hiệu|","")&amp;IF(S126="✓","Số HĐ|","")&amp;IF(T126="✓","Ngày lập|","")&amp;IF(U126="✓","Tổng tiền|","")&amp;IF(V126="✓","Mã CQT|","")&amp;IF(W126="✓","Upload XML|","")&amp;IF(X126="✓","Captcha ảnh|","")&amp;IF(Y126="✓","Captcha dạng tích|","")&amp;IF(Z126="✓","Captcha khác (slider/hình)|","")&amp;IF(AA126="✓","Đăng nhập|","")&amp;IF(AB126="✓","Email/SĐT/OTP|",""))-1),"|"," + ")))</f>
        <v/>
      </c>
      <c r="I126" s="17" t="n"/>
      <c r="J126" s="17" t="n"/>
      <c r="K126" s="17" t="n"/>
      <c r="L126" s="17" t="n"/>
      <c r="M126" s="37" t="n"/>
      <c r="N126" s="38" t="n"/>
      <c r="O126" s="37" t="n"/>
      <c r="P126" s="37" t="n"/>
      <c r="Q126" s="37" t="n"/>
      <c r="R126" s="37" t="n"/>
      <c r="S126" s="37" t="n"/>
      <c r="T126" s="37" t="n"/>
      <c r="U126" s="37" t="n"/>
      <c r="V126" s="37" t="n"/>
      <c r="W126" s="37" t="n"/>
      <c r="X126" s="37" t="n"/>
      <c r="Y126" s="37" t="n"/>
      <c r="Z126" s="37" t="n"/>
      <c r="AA126" s="37" t="n"/>
      <c r="AB126" s="37" t="n"/>
      <c r="AC126" s="37" t="n"/>
      <c r="AD126" s="37" t="n"/>
      <c r="AE126" s="37" t="n"/>
      <c r="AF126" s="37" t="n"/>
      <c r="AG126" s="37" t="n"/>
      <c r="AH126" s="1" t="n"/>
      <c r="AI126" s="1" t="n"/>
      <c r="AJ126">
        <f>IFERROR(IF(INDEX(WBS2!$I$2:$I$25,MATCH($C126,WBS2!$F$2:$F$25,0))="","",INDEX(WBS2!$I$2:$I$25,MATCH($C126,WBS2!$F$2:$F$25,0))),"")</f>
        <v/>
      </c>
      <c r="AK126">
        <f>IFERROR(IF(INDEX(WBS2!$I$27:$I$162,MATCH($C126,WBS2!$F$27:$F$162,0))="","",INDEX(WBS2!$I$27:$I$162,MATCH($C126,WBS2!$F$27:$F$162,0))),"")</f>
        <v/>
      </c>
      <c r="AL126" s="102">
        <f>IFERROR(IF(OR($AK126="Chưa hoàn thành",$AK126="Sẵn sàng"),INDEX(WBS2!$H$27:$H$162,MATCH($C126,WBS2!$F$27:$F$162,0)),""),"")</f>
        <v/>
      </c>
      <c r="AM126">
        <f>IFERROR(IF(INDEX(WBS2!$J$27:$J$162,MATCH($C126,WBS2!$F$27:$F$162,0))="","",INDEX(WBS2!$J$27:$J$162,MATCH($C126,WBS2!$F$27:$F$162,0))),"")</f>
        <v/>
      </c>
      <c r="AN126">
        <f>IFERROR(IF(INDEX(WBS2!$I$163:$I$298,MATCH($C126,WBS2!$F$163:$F$298,0))="","",INDEX(WBS2!$I$163:$I$298,MATCH($C126,WBS2!$F$163:$F$298,0))),"")</f>
        <v/>
      </c>
      <c r="AO126" s="102">
        <f>IFERROR(IF(OR($AN126="Chưa hoàn thành",$AN126="Sẵn sàng"),INDEX(WBS2!$H$163:$H$298,MATCH($C126,WBS2!$F$163:$F$298,0)),""),"")</f>
        <v/>
      </c>
      <c r="AP126">
        <f>IFERROR(IF(INDEX(WBS2!$J$163:$J$298,MATCH($C126,WBS2!$F$163:$F$298,0))="","",INDEX(WBS2!$J$163:$J$298,MATCH($C126,WBS2!$F$163:$F$298,0))),"")</f>
        <v/>
      </c>
    </row>
    <row r="127" hidden="1" ht="14.25" customHeight="1">
      <c r="A127" s="13" t="n">
        <v>126</v>
      </c>
      <c r="B127" s="28" t="inlineStr">
        <is>
          <t>Công ty Cổ phần Dịch vụ EPAY</t>
        </is>
      </c>
      <c r="C127" s="14" t="inlineStr">
        <is>
          <t>0108269133</t>
        </is>
      </c>
      <c r="D127" s="13" t="inlineStr">
        <is>
          <t>Tầng 10 tòa nhà 319 BQP, Số 63, đường Lê Văn Lương, Phường Yên Hòa, Thành phố Hà Nội</t>
        </is>
      </c>
      <c r="E127" s="83" t="inlineStr">
        <is>
          <t>https://www.epayjsc.com</t>
        </is>
      </c>
      <c r="F127" s="20" t="inlineStr">
        <is>
          <t>không có thông tin</t>
        </is>
      </c>
      <c r="G127" s="66" t="inlineStr">
        <is>
          <t>https://tracuuhoadon.epayjsc.com/</t>
        </is>
      </c>
      <c r="H127" s="35">
        <f>IF(N127&lt;&gt;"OK","",IF(IF(O127="✓","Mã tra cứu|","")&amp;IF(P127="✓","MST người bán|","")&amp;IF(Q127="✓","MST người mua|","")&amp;IF(R127="✓","Mẫu số / Ký hiệu|","")&amp;IF(S127="✓","Số HĐ|","")&amp;IF(T127="✓","Ngày lập|","")&amp;IF(U127="✓","Tổng tiền|","")&amp;IF(V127="✓","Mã CQT|","")&amp;IF(W127="✓","Upload XML|","")&amp;IF(X127="✓","Captcha ảnh|","")&amp;IF(Y127="✓","Captcha dạng tích|","")&amp;IF(Z127="✓","Captcha khác (slider/hình)|","")&amp;IF(AA127="✓","Đăng nhập|","")&amp;IF(AB127="✓","Email/SĐT/OTP|","")="","(không có tham số)",SUBSTITUTE(LEFT(IF(O127="✓","Mã tra cứu|","")&amp;IF(P127="✓","MST người bán|","")&amp;IF(Q127="✓","MST người mua|","")&amp;IF(R127="✓","Mẫu số / Ký hiệu|","")&amp;IF(S127="✓","Số HĐ|","")&amp;IF(T127="✓","Ngày lập|","")&amp;IF(U127="✓","Tổng tiền|","")&amp;IF(V127="✓","Mã CQT|","")&amp;IF(W127="✓","Upload XML|","")&amp;IF(X127="✓","Captcha ảnh|","")&amp;IF(Y127="✓","Captcha dạng tích|","")&amp;IF(Z127="✓","Captcha khác (slider/hình)|","")&amp;IF(AA127="✓","Đăng nhập|","")&amp;IF(AB127="✓","Email/SĐT/OTP|",""),LEN(IF(O127="✓","Mã tra cứu|","")&amp;IF(P127="✓","MST người bán|","")&amp;IF(Q127="✓","MST người mua|","")&amp;IF(R127="✓","Mẫu số / Ký hiệu|","")&amp;IF(S127="✓","Số HĐ|","")&amp;IF(T127="✓","Ngày lập|","")&amp;IF(U127="✓","Tổng tiền|","")&amp;IF(V127="✓","Mã CQT|","")&amp;IF(W127="✓","Upload XML|","")&amp;IF(X127="✓","Captcha ảnh|","")&amp;IF(Y127="✓","Captcha dạng tích|","")&amp;IF(Z127="✓","Captcha khác (slider/hình)|","")&amp;IF(AA127="✓","Đăng nhập|","")&amp;IF(AB127="✓","Email/SĐT/OTP|",""))-1),"|"," + ")))</f>
        <v/>
      </c>
      <c r="I127" s="17" t="n"/>
      <c r="J127" s="17" t="n"/>
      <c r="K127" s="17" t="n"/>
      <c r="L127" s="17" t="n"/>
      <c r="M127" s="37" t="n"/>
      <c r="N127" s="38" t="inlineStr">
        <is>
          <t>OK</t>
        </is>
      </c>
      <c r="O127" s="39" t="inlineStr">
        <is>
          <t>✓</t>
        </is>
      </c>
      <c r="P127" s="39" t="inlineStr">
        <is>
          <t>✓</t>
        </is>
      </c>
      <c r="Q127" s="39" t="n"/>
      <c r="R127" s="39" t="n"/>
      <c r="S127" s="39" t="n"/>
      <c r="T127" s="39" t="n"/>
      <c r="U127" s="39" t="n"/>
      <c r="V127" s="39" t="n"/>
      <c r="W127" s="39" t="n"/>
      <c r="X127" s="39" t="n"/>
      <c r="Y127" s="39" t="n"/>
      <c r="Z127" s="39" t="n"/>
      <c r="AA127" s="39" t="n"/>
      <c r="AB127" s="39" t="n"/>
      <c r="AC127" s="39" t="n">
        <v>2</v>
      </c>
      <c r="AD127" s="16" t="inlineStr">
        <is>
          <t>không có</t>
        </is>
      </c>
      <c r="AE127" s="16" t="inlineStr">
        <is>
          <t>Tab 'Biên lai': MST + mã tra cứu; Tab 'Tra cứu theo Biển kiểm soát': MST đơn vị cung cấp + biển số xe + 8 số cuối mã RFID + tháng</t>
        </is>
      </c>
      <c r="AF127" s="16" t="inlineStr">
        <is>
          <t>MST bên bán (hoặc CCCD) + Mã tra cứu (hướng dẫn gọi là 'Số bảo mật'). Cùng template với ATOM 1invoice (row 128).</t>
        </is>
      </c>
      <c r="AG127" s="16" t="inlineStr">
        <is>
          <t>https://tracuuhoadon.epayjsc.com/tra-cuu-hoa-don</t>
        </is>
      </c>
      <c r="AH127" s="1" t="n"/>
      <c r="AI127" s="1" t="n"/>
      <c r="AJ127">
        <f>IFERROR(IF(INDEX(WBS2!$I$2:$I$25,MATCH($C127,WBS2!$F$2:$F$25,0))="","",INDEX(WBS2!$I$2:$I$25,MATCH($C127,WBS2!$F$2:$F$25,0))),"")</f>
        <v/>
      </c>
      <c r="AK127">
        <f>IFERROR(IF(INDEX(WBS2!$I$27:$I$162,MATCH($C127,WBS2!$F$27:$F$162,0))="","",INDEX(WBS2!$I$27:$I$162,MATCH($C127,WBS2!$F$27:$F$162,0))),"")</f>
        <v/>
      </c>
      <c r="AL127" s="102">
        <f>IFERROR(IF(OR($AK127="Chưa hoàn thành",$AK127="Sẵn sàng"),INDEX(WBS2!$H$27:$H$162,MATCH($C127,WBS2!$F$27:$F$162,0)),""),"")</f>
        <v/>
      </c>
      <c r="AM127">
        <f>IFERROR(IF(INDEX(WBS2!$J$27:$J$162,MATCH($C127,WBS2!$F$27:$F$162,0))="","",INDEX(WBS2!$J$27:$J$162,MATCH($C127,WBS2!$F$27:$F$162,0))),"")</f>
        <v/>
      </c>
      <c r="AN127">
        <f>IFERROR(IF(INDEX(WBS2!$I$163:$I$298,MATCH($C127,WBS2!$F$163:$F$298,0))="","",INDEX(WBS2!$I$163:$I$298,MATCH($C127,WBS2!$F$163:$F$298,0))),"")</f>
        <v/>
      </c>
      <c r="AO127" s="102">
        <f>IFERROR(IF(OR($AN127="Chưa hoàn thành",$AN127="Sẵn sàng"),INDEX(WBS2!$H$163:$H$298,MATCH($C127,WBS2!$F$163:$F$298,0)),""),"")</f>
        <v/>
      </c>
      <c r="AP127">
        <f>IFERROR(IF(INDEX(WBS2!$J$163:$J$298,MATCH($C127,WBS2!$F$163:$F$298,0))="","",INDEX(WBS2!$J$163:$J$298,MATCH($C127,WBS2!$F$163:$F$298,0))),"")</f>
        <v/>
      </c>
    </row>
    <row r="128" hidden="1" ht="14.25" customHeight="1">
      <c r="A128" s="13" t="n">
        <v>127</v>
      </c>
      <c r="B128" s="28" t="inlineStr">
        <is>
          <t>Công ty Cổ phần Giải pháp ATOM</t>
        </is>
      </c>
      <c r="C128" s="14" t="inlineStr">
        <is>
          <t>0316887099</t>
        </is>
      </c>
      <c r="D128" s="13" t="inlineStr">
        <is>
          <t>Phòng 802, Lầu 8, Tòa nhà Vietnam Business Center, 57-59 Hồ Tùng Mậu, Phường Sài Gòn, Thành phố Hồ Chí Minh</t>
        </is>
      </c>
      <c r="E128" s="83" t="inlineStr">
        <is>
          <t>https://1invoice.vn</t>
        </is>
      </c>
      <c r="F128" s="20" t="inlineStr">
        <is>
          <t>Không có captcha</t>
        </is>
      </c>
      <c r="G128" s="23" t="inlineStr">
        <is>
          <t>https://tracuuhoadon.1invoice.vn/tra-cuu-hoa-don</t>
        </is>
      </c>
      <c r="H128" s="35">
        <f>IF(N128&lt;&gt;"OK","",IF(IF(O128="✓","Mã tra cứu|","")&amp;IF(P128="✓","MST người bán|","")&amp;IF(Q128="✓","MST người mua|","")&amp;IF(R128="✓","Mẫu số / Ký hiệu|","")&amp;IF(S128="✓","Số HĐ|","")&amp;IF(T128="✓","Ngày lập|","")&amp;IF(U128="✓","Tổng tiền|","")&amp;IF(V128="✓","Mã CQT|","")&amp;IF(W128="✓","Upload XML|","")&amp;IF(X128="✓","Captcha ảnh|","")&amp;IF(Y128="✓","Captcha dạng tích|","")&amp;IF(Z128="✓","Captcha khác (slider/hình)|","")&amp;IF(AA128="✓","Đăng nhập|","")&amp;IF(AB128="✓","Email/SĐT/OTP|","")="","(không có tham số)",SUBSTITUTE(LEFT(IF(O128="✓","Mã tra cứu|","")&amp;IF(P128="✓","MST người bán|","")&amp;IF(Q128="✓","MST người mua|","")&amp;IF(R128="✓","Mẫu số / Ký hiệu|","")&amp;IF(S128="✓","Số HĐ|","")&amp;IF(T128="✓","Ngày lập|","")&amp;IF(U128="✓","Tổng tiền|","")&amp;IF(V128="✓","Mã CQT|","")&amp;IF(W128="✓","Upload XML|","")&amp;IF(X128="✓","Captcha ảnh|","")&amp;IF(Y128="✓","Captcha dạng tích|","")&amp;IF(Z128="✓","Captcha khác (slider/hình)|","")&amp;IF(AA128="✓","Đăng nhập|","")&amp;IF(AB128="✓","Email/SĐT/OTP|",""),LEN(IF(O128="✓","Mã tra cứu|","")&amp;IF(P128="✓","MST người bán|","")&amp;IF(Q128="✓","MST người mua|","")&amp;IF(R128="✓","Mẫu số / Ký hiệu|","")&amp;IF(S128="✓","Số HĐ|","")&amp;IF(T128="✓","Ngày lập|","")&amp;IF(U128="✓","Tổng tiền|","")&amp;IF(V128="✓","Mã CQT|","")&amp;IF(W128="✓","Upload XML|","")&amp;IF(X128="✓","Captcha ảnh|","")&amp;IF(Y128="✓","Captcha dạng tích|","")&amp;IF(Z128="✓","Captcha khác (slider/hình)|","")&amp;IF(AA128="✓","Đăng nhập|","")&amp;IF(AB128="✓","Email/SĐT/OTP|",""))-1),"|"," + ")))</f>
        <v/>
      </c>
      <c r="I128" s="17" t="n"/>
      <c r="J128" s="17" t="n"/>
      <c r="K128" s="17" t="n"/>
      <c r="L128" s="17" t="n"/>
      <c r="M128" s="37" t="n"/>
      <c r="N128" s="38" t="inlineStr">
        <is>
          <t>OK</t>
        </is>
      </c>
      <c r="O128" s="39" t="inlineStr">
        <is>
          <t>✓</t>
        </is>
      </c>
      <c r="P128" s="39" t="inlineStr">
        <is>
          <t>✓</t>
        </is>
      </c>
      <c r="Q128" s="39" t="n"/>
      <c r="R128" s="39" t="n"/>
      <c r="S128" s="39" t="n"/>
      <c r="T128" s="39" t="n"/>
      <c r="U128" s="39" t="n"/>
      <c r="V128" s="39" t="n"/>
      <c r="W128" s="39" t="n"/>
      <c r="X128" s="39" t="n"/>
      <c r="Y128" s="39" t="n"/>
      <c r="Z128" s="39" t="n"/>
      <c r="AA128" s="39" t="n"/>
      <c r="AB128" s="39" t="n"/>
      <c r="AC128" s="39" t="n">
        <v>2</v>
      </c>
      <c r="AD128" s="16" t="inlineStr">
        <is>
          <t>không có</t>
        </is>
      </c>
      <c r="AE128" s="16" t="n"/>
      <c r="AF128" s="16" t="inlineStr">
        <is>
          <t>MST (người bán, hoặc CCCD) + Số bảo mật. Cùng template với EPAY (row 127), chỉ có tab 'Hóa đơn'.</t>
        </is>
      </c>
      <c r="AG128" s="16" t="inlineStr">
        <is>
          <t>https://tracuuhoadon.1invoice.vn/tra-cuu-hoa-don</t>
        </is>
      </c>
      <c r="AH128" s="1" t="n"/>
      <c r="AI128" s="1" t="n"/>
      <c r="AJ128">
        <f>IFERROR(IF(INDEX(WBS2!$I$2:$I$25,MATCH($C128,WBS2!$F$2:$F$25,0))="","",INDEX(WBS2!$I$2:$I$25,MATCH($C128,WBS2!$F$2:$F$25,0))),"")</f>
        <v/>
      </c>
      <c r="AK128">
        <f>IFERROR(IF(INDEX(WBS2!$I$27:$I$162,MATCH($C128,WBS2!$F$27:$F$162,0))="","",INDEX(WBS2!$I$27:$I$162,MATCH($C128,WBS2!$F$27:$F$162,0))),"")</f>
        <v/>
      </c>
      <c r="AL128" s="102">
        <f>IFERROR(IF(OR($AK128="Chưa hoàn thành",$AK128="Sẵn sàng"),INDEX(WBS2!$H$27:$H$162,MATCH($C128,WBS2!$F$27:$F$162,0)),""),"")</f>
        <v/>
      </c>
      <c r="AM128">
        <f>IFERROR(IF(INDEX(WBS2!$J$27:$J$162,MATCH($C128,WBS2!$F$27:$F$162,0))="","",INDEX(WBS2!$J$27:$J$162,MATCH($C128,WBS2!$F$27:$F$162,0))),"")</f>
        <v/>
      </c>
      <c r="AN128">
        <f>IFERROR(IF(INDEX(WBS2!$I$163:$I$298,MATCH($C128,WBS2!$F$163:$F$298,0))="","",INDEX(WBS2!$I$163:$I$298,MATCH($C128,WBS2!$F$163:$F$298,0))),"")</f>
        <v/>
      </c>
      <c r="AO128" s="102">
        <f>IFERROR(IF(OR($AN128="Chưa hoàn thành",$AN128="Sẵn sàng"),INDEX(WBS2!$H$163:$H$298,MATCH($C128,WBS2!$F$163:$F$298,0)),""),"")</f>
        <v/>
      </c>
      <c r="AP128">
        <f>IFERROR(IF(INDEX(WBS2!$J$163:$J$298,MATCH($C128,WBS2!$F$163:$F$298,0))="","",INDEX(WBS2!$J$163:$J$298,MATCH($C128,WBS2!$F$163:$F$298,0))),"")</f>
        <v/>
      </c>
    </row>
    <row r="129" hidden="1" ht="14.25" customHeight="1">
      <c r="A129" s="13" t="n">
        <v>128</v>
      </c>
      <c r="B129" s="28" t="inlineStr">
        <is>
          <t>Công ty TNHH Dịch vụ và Giải pháp Phần mềm Bado</t>
        </is>
      </c>
      <c r="C129" s="14" t="inlineStr">
        <is>
          <t>1602159776</t>
        </is>
      </c>
      <c r="D129" s="13" t="inlineStr">
        <is>
          <t>Tầng số 01 tại 269B Đường Nguyễn Thái Học, Phường Long Xuyên, Tỉnh An Giang</t>
        </is>
      </c>
      <c r="E129" s="83" t="inlineStr">
        <is>
          <t>https://bado.vn/hoa-don-dien-tu</t>
        </is>
      </c>
      <c r="F129" s="20" t="inlineStr">
        <is>
          <t>không có thông tin</t>
        </is>
      </c>
      <c r="G129" s="66" t="inlineStr">
        <is>
          <t>https://tracuu.bado.vn/</t>
        </is>
      </c>
      <c r="H129" s="35">
        <f>IF(N129&lt;&gt;"OK","",IF(IF(O129="✓","Mã tra cứu|","")&amp;IF(P129="✓","MST người bán|","")&amp;IF(Q129="✓","MST người mua|","")&amp;IF(R129="✓","Mẫu số / Ký hiệu|","")&amp;IF(S129="✓","Số HĐ|","")&amp;IF(T129="✓","Ngày lập|","")&amp;IF(U129="✓","Tổng tiền|","")&amp;IF(V129="✓","Mã CQT|","")&amp;IF(W129="✓","Upload XML|","")&amp;IF(X129="✓","Captcha ảnh|","")&amp;IF(Y129="✓","Captcha dạng tích|","")&amp;IF(Z129="✓","Captcha khác (slider/hình)|","")&amp;IF(AA129="✓","Đăng nhập|","")&amp;IF(AB129="✓","Email/SĐT/OTP|","")="","(không có tham số)",SUBSTITUTE(LEFT(IF(O129="✓","Mã tra cứu|","")&amp;IF(P129="✓","MST người bán|","")&amp;IF(Q129="✓","MST người mua|","")&amp;IF(R129="✓","Mẫu số / Ký hiệu|","")&amp;IF(S129="✓","Số HĐ|","")&amp;IF(T129="✓","Ngày lập|","")&amp;IF(U129="✓","Tổng tiền|","")&amp;IF(V129="✓","Mã CQT|","")&amp;IF(W129="✓","Upload XML|","")&amp;IF(X129="✓","Captcha ảnh|","")&amp;IF(Y129="✓","Captcha dạng tích|","")&amp;IF(Z129="✓","Captcha khác (slider/hình)|","")&amp;IF(AA129="✓","Đăng nhập|","")&amp;IF(AB129="✓","Email/SĐT/OTP|",""),LEN(IF(O129="✓","Mã tra cứu|","")&amp;IF(P129="✓","MST người bán|","")&amp;IF(Q129="✓","MST người mua|","")&amp;IF(R129="✓","Mẫu số / Ký hiệu|","")&amp;IF(S129="✓","Số HĐ|","")&amp;IF(T129="✓","Ngày lập|","")&amp;IF(U129="✓","Tổng tiền|","")&amp;IF(V129="✓","Mã CQT|","")&amp;IF(W129="✓","Upload XML|","")&amp;IF(X129="✓","Captcha ảnh|","")&amp;IF(Y129="✓","Captcha dạng tích|","")&amp;IF(Z129="✓","Captcha khác (slider/hình)|","")&amp;IF(AA129="✓","Đăng nhập|","")&amp;IF(AB129="✓","Email/SĐT/OTP|",""))-1),"|"," + ")))</f>
        <v/>
      </c>
      <c r="I129" s="17" t="n"/>
      <c r="J129" s="17" t="n"/>
      <c r="K129" s="17" t="n"/>
      <c r="L129" s="17" t="n"/>
      <c r="M129" s="37" t="n"/>
      <c r="N129" s="38" t="inlineStr">
        <is>
          <t>OK</t>
        </is>
      </c>
      <c r="O129" s="39" t="inlineStr">
        <is>
          <t>✓</t>
        </is>
      </c>
      <c r="P129" s="39" t="n"/>
      <c r="Q129" s="39" t="n"/>
      <c r="R129" s="39" t="n"/>
      <c r="S129" s="39" t="n"/>
      <c r="T129" s="39" t="n"/>
      <c r="U129" s="39" t="n"/>
      <c r="V129" s="39" t="n"/>
      <c r="W129" s="39" t="n"/>
      <c r="X129" s="39" t="n"/>
      <c r="Y129" s="39" t="n"/>
      <c r="Z129" s="39" t="n"/>
      <c r="AA129" s="39" t="n"/>
      <c r="AB129" s="39" t="n"/>
      <c r="AC129" s="39" t="n">
        <v>1</v>
      </c>
      <c r="AD129" s="16" t="inlineStr">
        <is>
          <t>reCAPTCHA v3 ẩn (api.js?render=&lt;key&gt;, grecaptcha.execute, iframe size=invisible)</t>
        </is>
      </c>
      <c r="AE129" s="16" t="inlineStr">
        <is>
          <t>Tab 'Tìm kiếm chứng từ' và 'Tìm kiếm phiếu xuất kho': cùng ô 'Mã nhận HĐ' (loại chứng từ khác)</t>
        </is>
      </c>
      <c r="AF129" s="16" t="inlineStr">
        <is>
          <t>Ô 'Mã nhận HĐ (*)'. Cùng template với TAXNET (row 120).</t>
        </is>
      </c>
      <c r="AG129" s="16" t="inlineStr">
        <is>
          <t>https://tracuu.bado.vn/</t>
        </is>
      </c>
      <c r="AH129" s="1" t="n"/>
      <c r="AI129" s="1" t="n"/>
      <c r="AJ129">
        <f>IFERROR(IF(INDEX(WBS2!$I$2:$I$25,MATCH($C129,WBS2!$F$2:$F$25,0))="","",INDEX(WBS2!$I$2:$I$25,MATCH($C129,WBS2!$F$2:$F$25,0))),"")</f>
        <v/>
      </c>
      <c r="AK129">
        <f>IFERROR(IF(INDEX(WBS2!$I$27:$I$162,MATCH($C129,WBS2!$F$27:$F$162,0))="","",INDEX(WBS2!$I$27:$I$162,MATCH($C129,WBS2!$F$27:$F$162,0))),"")</f>
        <v/>
      </c>
      <c r="AL129" s="102">
        <f>IFERROR(IF(OR($AK129="Chưa hoàn thành",$AK129="Sẵn sàng"),INDEX(WBS2!$H$27:$H$162,MATCH($C129,WBS2!$F$27:$F$162,0)),""),"")</f>
        <v/>
      </c>
      <c r="AM129">
        <f>IFERROR(IF(INDEX(WBS2!$J$27:$J$162,MATCH($C129,WBS2!$F$27:$F$162,0))="","",INDEX(WBS2!$J$27:$J$162,MATCH($C129,WBS2!$F$27:$F$162,0))),"")</f>
        <v/>
      </c>
      <c r="AN129">
        <f>IFERROR(IF(INDEX(WBS2!$I$163:$I$298,MATCH($C129,WBS2!$F$163:$F$298,0))="","",INDEX(WBS2!$I$163:$I$298,MATCH($C129,WBS2!$F$163:$F$298,0))),"")</f>
        <v/>
      </c>
      <c r="AO129" s="102">
        <f>IFERROR(IF(OR($AN129="Chưa hoàn thành",$AN129="Sẵn sàng"),INDEX(WBS2!$H$163:$H$298,MATCH($C129,WBS2!$F$163:$F$298,0)),""),"")</f>
        <v/>
      </c>
      <c r="AP129">
        <f>IFERROR(IF(INDEX(WBS2!$J$163:$J$298,MATCH($C129,WBS2!$F$163:$F$298,0))="","",INDEX(WBS2!$J$163:$J$298,MATCH($C129,WBS2!$F$163:$F$298,0))),"")</f>
        <v/>
      </c>
    </row>
    <row r="130" hidden="1" ht="14.25" customHeight="1">
      <c r="A130" s="13" t="n">
        <v>129</v>
      </c>
      <c r="B130" s="28" t="inlineStr">
        <is>
          <t>Tổng Công ty Bưu điện Việt Nam</t>
        </is>
      </c>
      <c r="C130" s="14" t="inlineStr">
        <is>
          <t>0102595740</t>
        </is>
      </c>
      <c r="D130" s="13" t="inlineStr">
        <is>
          <t>Số 5 Phạm Hùng, phường Cầu Giấy,  Hà Nội</t>
        </is>
      </c>
      <c r="E130" s="83" t="inlineStr">
        <is>
          <t>https://vietnampost.vn</t>
        </is>
      </c>
      <c r="F130" s="20" t="inlineStr">
        <is>
          <t>không có thông tin</t>
        </is>
      </c>
      <c r="G130" s="66" t="inlineStr">
        <is>
          <t>https://tracuuhoadon.vnpost.vn/</t>
        </is>
      </c>
      <c r="H130" s="35">
        <f>IF(N130&lt;&gt;"OK","",IF(IF(O130="✓","Mã tra cứu|","")&amp;IF(P130="✓","MST người bán|","")&amp;IF(Q130="✓","MST người mua|","")&amp;IF(R130="✓","Mẫu số / Ký hiệu|","")&amp;IF(S130="✓","Số HĐ|","")&amp;IF(T130="✓","Ngày lập|","")&amp;IF(U130="✓","Tổng tiền|","")&amp;IF(V130="✓","Mã CQT|","")&amp;IF(W130="✓","Upload XML|","")&amp;IF(X130="✓","Captcha ảnh|","")&amp;IF(Y130="✓","Captcha dạng tích|","")&amp;IF(Z130="✓","Captcha khác (slider/hình)|","")&amp;IF(AA130="✓","Đăng nhập|","")&amp;IF(AB130="✓","Email/SĐT/OTP|","")="","(không có tham số)",SUBSTITUTE(LEFT(IF(O130="✓","Mã tra cứu|","")&amp;IF(P130="✓","MST người bán|","")&amp;IF(Q130="✓","MST người mua|","")&amp;IF(R130="✓","Mẫu số / Ký hiệu|","")&amp;IF(S130="✓","Số HĐ|","")&amp;IF(T130="✓","Ngày lập|","")&amp;IF(U130="✓","Tổng tiền|","")&amp;IF(V130="✓","Mã CQT|","")&amp;IF(W130="✓","Upload XML|","")&amp;IF(X130="✓","Captcha ảnh|","")&amp;IF(Y130="✓","Captcha dạng tích|","")&amp;IF(Z130="✓","Captcha khác (slider/hình)|","")&amp;IF(AA130="✓","Đăng nhập|","")&amp;IF(AB130="✓","Email/SĐT/OTP|",""),LEN(IF(O130="✓","Mã tra cứu|","")&amp;IF(P130="✓","MST người bán|","")&amp;IF(Q130="✓","MST người mua|","")&amp;IF(R130="✓","Mẫu số / Ký hiệu|","")&amp;IF(S130="✓","Số HĐ|","")&amp;IF(T130="✓","Ngày lập|","")&amp;IF(U130="✓","Tổng tiền|","")&amp;IF(V130="✓","Mã CQT|","")&amp;IF(W130="✓","Upload XML|","")&amp;IF(X130="✓","Captcha ảnh|","")&amp;IF(Y130="✓","Captcha dạng tích|","")&amp;IF(Z130="✓","Captcha khác (slider/hình)|","")&amp;IF(AA130="✓","Đăng nhập|","")&amp;IF(AB130="✓","Email/SĐT/OTP|",""))-1),"|"," + ")))</f>
        <v/>
      </c>
      <c r="I130" s="17" t="n"/>
      <c r="J130" s="17" t="n"/>
      <c r="K130" s="17" t="n"/>
      <c r="L130" s="17" t="n"/>
      <c r="M130" s="37" t="n"/>
      <c r="N130" s="38" t="inlineStr">
        <is>
          <t>OK</t>
        </is>
      </c>
      <c r="O130" s="39" t="inlineStr">
        <is>
          <t>✓</t>
        </is>
      </c>
      <c r="P130" s="39" t="n"/>
      <c r="Q130" s="39" t="n"/>
      <c r="R130" s="39" t="n"/>
      <c r="S130" s="39" t="n"/>
      <c r="T130" s="39" t="n"/>
      <c r="U130" s="39" t="n"/>
      <c r="V130" s="39" t="n"/>
      <c r="W130" s="39" t="n"/>
      <c r="X130" s="39" t="n"/>
      <c r="Y130" s="39" t="n"/>
      <c r="Z130" s="39" t="inlineStr">
        <is>
          <t>✓</t>
        </is>
      </c>
      <c r="AA130" s="39" t="n"/>
      <c r="AB130" s="39" t="n"/>
      <c r="AC130" s="39" t="n">
        <v>2</v>
      </c>
      <c r="AD130" s="16" t="inlineStr">
        <is>
          <t>'Mã xác thực' 4 chữ số hiển thị dạng text trong ô input readonly (sinh phía client, không phải ảnh), đọc thẳng được từ DOM</t>
        </is>
      </c>
      <c r="AE130" s="16" t="inlineStr">
        <is>
          <t>Tab 'Chứng từ điện tử': mã tra cứu chứng từ + mã xác thực; Tab 'Hóa đơn trước chuyển đổi': mã tra cứu + mã xác thực</t>
        </is>
      </c>
      <c r="AF130" s="16" t="inlineStr">
        <is>
          <t>SPA Angular (PrimeNG). Mã tra cứu + mã xác thực 4 số.</t>
        </is>
      </c>
      <c r="AG130" s="16" t="inlineStr">
        <is>
          <t>https://tracuuhoadon.vnpost.vn/</t>
        </is>
      </c>
      <c r="AH130" s="1" t="n"/>
      <c r="AI130" s="1" t="n"/>
      <c r="AJ130">
        <f>IFERROR(IF(INDEX(WBS2!$I$2:$I$25,MATCH($C130,WBS2!$F$2:$F$25,0))="","",INDEX(WBS2!$I$2:$I$25,MATCH($C130,WBS2!$F$2:$F$25,0))),"")</f>
        <v/>
      </c>
      <c r="AK130">
        <f>IFERROR(IF(INDEX(WBS2!$I$27:$I$162,MATCH($C130,WBS2!$F$27:$F$162,0))="","",INDEX(WBS2!$I$27:$I$162,MATCH($C130,WBS2!$F$27:$F$162,0))),"")</f>
        <v/>
      </c>
      <c r="AL130" s="102">
        <f>IFERROR(IF(OR($AK130="Chưa hoàn thành",$AK130="Sẵn sàng"),INDEX(WBS2!$H$27:$H$162,MATCH($C130,WBS2!$F$27:$F$162,0)),""),"")</f>
        <v/>
      </c>
      <c r="AM130">
        <f>IFERROR(IF(INDEX(WBS2!$J$27:$J$162,MATCH($C130,WBS2!$F$27:$F$162,0))="","",INDEX(WBS2!$J$27:$J$162,MATCH($C130,WBS2!$F$27:$F$162,0))),"")</f>
        <v/>
      </c>
      <c r="AN130">
        <f>IFERROR(IF(INDEX(WBS2!$I$163:$I$298,MATCH($C130,WBS2!$F$163:$F$298,0))="","",INDEX(WBS2!$I$163:$I$298,MATCH($C130,WBS2!$F$163:$F$298,0))),"")</f>
        <v/>
      </c>
      <c r="AO130" s="102">
        <f>IFERROR(IF(OR($AN130="Chưa hoàn thành",$AN130="Sẵn sàng"),INDEX(WBS2!$H$163:$H$298,MATCH($C130,WBS2!$F$163:$F$298,0)),""),"")</f>
        <v/>
      </c>
      <c r="AP130">
        <f>IFERROR(IF(INDEX(WBS2!$J$163:$J$298,MATCH($C130,WBS2!$F$163:$F$298,0))="","",INDEX(WBS2!$J$163:$J$298,MATCH($C130,WBS2!$F$163:$F$298,0))),"")</f>
        <v/>
      </c>
    </row>
    <row r="131" hidden="1" ht="14.25" customHeight="1">
      <c r="A131" s="13" t="n">
        <v>130</v>
      </c>
      <c r="B131" s="28" t="inlineStr">
        <is>
          <t>Công ty CP Giải pháp số ONTIK</t>
        </is>
      </c>
      <c r="C131" s="14" t="inlineStr">
        <is>
          <t>0110400071</t>
        </is>
      </c>
      <c r="D131" s="13" t="inlineStr">
        <is>
          <t>Tầng 3 tòa nhà 12-16 phố Đốc Ngữ, phường Ngọc Hà, Tp Hà Nội</t>
        </is>
      </c>
      <c r="E131" s="83" t="inlineStr">
        <is>
          <t>https://hoadon.ontik.vn</t>
        </is>
      </c>
      <c r="F131" s="20" t="inlineStr">
        <is>
          <t>không có thông tin</t>
        </is>
      </c>
      <c r="G131" s="66" t="inlineStr">
        <is>
          <t>https://hoadon.ontik.vn/</t>
        </is>
      </c>
      <c r="H131" s="35">
        <f>IF(N131&lt;&gt;"OK","",IF(IF(O131="✓","Mã tra cứu|","")&amp;IF(P131="✓","MST người bán|","")&amp;IF(Q131="✓","MST người mua|","")&amp;IF(R131="✓","Mẫu số / Ký hiệu|","")&amp;IF(S131="✓","Số HĐ|","")&amp;IF(T131="✓","Ngày lập|","")&amp;IF(U131="✓","Tổng tiền|","")&amp;IF(V131="✓","Mã CQT|","")&amp;IF(W131="✓","Upload XML|","")&amp;IF(X131="✓","Captcha ảnh|","")&amp;IF(Y131="✓","Captcha dạng tích|","")&amp;IF(Z131="✓","Captcha khác (slider/hình)|","")&amp;IF(AA131="✓","Đăng nhập|","")&amp;IF(AB131="✓","Email/SĐT/OTP|","")="","(không có tham số)",SUBSTITUTE(LEFT(IF(O131="✓","Mã tra cứu|","")&amp;IF(P131="✓","MST người bán|","")&amp;IF(Q131="✓","MST người mua|","")&amp;IF(R131="✓","Mẫu số / Ký hiệu|","")&amp;IF(S131="✓","Số HĐ|","")&amp;IF(T131="✓","Ngày lập|","")&amp;IF(U131="✓","Tổng tiền|","")&amp;IF(V131="✓","Mã CQT|","")&amp;IF(W131="✓","Upload XML|","")&amp;IF(X131="✓","Captcha ảnh|","")&amp;IF(Y131="✓","Captcha dạng tích|","")&amp;IF(Z131="✓","Captcha khác (slider/hình)|","")&amp;IF(AA131="✓","Đăng nhập|","")&amp;IF(AB131="✓","Email/SĐT/OTP|",""),LEN(IF(O131="✓","Mã tra cứu|","")&amp;IF(P131="✓","MST người bán|","")&amp;IF(Q131="✓","MST người mua|","")&amp;IF(R131="✓","Mẫu số / Ký hiệu|","")&amp;IF(S131="✓","Số HĐ|","")&amp;IF(T131="✓","Ngày lập|","")&amp;IF(U131="✓","Tổng tiền|","")&amp;IF(V131="✓","Mã CQT|","")&amp;IF(W131="✓","Upload XML|","")&amp;IF(X131="✓","Captcha ảnh|","")&amp;IF(Y131="✓","Captcha dạng tích|","")&amp;IF(Z131="✓","Captcha khác (slider/hình)|","")&amp;IF(AA131="✓","Đăng nhập|","")&amp;IF(AB131="✓","Email/SĐT/OTP|",""))-1),"|"," + ")))</f>
        <v/>
      </c>
      <c r="I131" s="17" t="n"/>
      <c r="J131" s="17" t="n"/>
      <c r="K131" s="17" t="n"/>
      <c r="L131" s="17" t="n"/>
      <c r="M131" s="37" t="n"/>
      <c r="N131" s="38" t="inlineStr">
        <is>
          <t>Cần đăng nhập</t>
        </is>
      </c>
      <c r="O131" s="39" t="n"/>
      <c r="P131" s="39" t="n"/>
      <c r="Q131" s="39" t="n"/>
      <c r="R131" s="39" t="n"/>
      <c r="S131" s="39" t="n"/>
      <c r="T131" s="39" t="n"/>
      <c r="U131" s="39" t="n"/>
      <c r="V131" s="39" t="n"/>
      <c r="W131" s="39" t="n"/>
      <c r="X131" s="39" t="n"/>
      <c r="Y131" s="39" t="n"/>
      <c r="Z131" s="39" t="n"/>
      <c r="AA131" s="39" t="inlineStr">
        <is>
          <t>✓</t>
        </is>
      </c>
      <c r="AB131" s="39" t="n"/>
      <c r="AC131" s="39" t="n"/>
      <c r="AD131" s="16" t="inlineStr">
        <is>
          <t>không có (form đăng nhập)</t>
        </is>
      </c>
      <c r="AE131" s="16" t="n"/>
      <c r="AF131" s="16" t="inlineStr">
        <is>
          <t>Link chuyển về /login phần mềm phát hành (MST + Tên đăng nhập + Mật khẩu), Next.js. Không thấy link/route tra cứu công khai cho người mua.</t>
        </is>
      </c>
      <c r="AG131" s="16" t="inlineStr">
        <is>
          <t>https://hoadon.ontik.vn/login</t>
        </is>
      </c>
      <c r="AH131" s="1" t="n"/>
      <c r="AI131" s="1" t="n"/>
      <c r="AJ131">
        <f>IFERROR(IF(INDEX(WBS2!$I$2:$I$25,MATCH($C131,WBS2!$F$2:$F$25,0))="","",INDEX(WBS2!$I$2:$I$25,MATCH($C131,WBS2!$F$2:$F$25,0))),"")</f>
        <v/>
      </c>
      <c r="AK131">
        <f>IFERROR(IF(INDEX(WBS2!$I$27:$I$162,MATCH($C131,WBS2!$F$27:$F$162,0))="","",INDEX(WBS2!$I$27:$I$162,MATCH($C131,WBS2!$F$27:$F$162,0))),"")</f>
        <v/>
      </c>
      <c r="AL131" s="102">
        <f>IFERROR(IF(OR($AK131="Chưa hoàn thành",$AK131="Sẵn sàng"),INDEX(WBS2!$H$27:$H$162,MATCH($C131,WBS2!$F$27:$F$162,0)),""),"")</f>
        <v/>
      </c>
      <c r="AM131">
        <f>IFERROR(IF(INDEX(WBS2!$J$27:$J$162,MATCH($C131,WBS2!$F$27:$F$162,0))="","",INDEX(WBS2!$J$27:$J$162,MATCH($C131,WBS2!$F$27:$F$162,0))),"")</f>
        <v/>
      </c>
      <c r="AN131">
        <f>IFERROR(IF(INDEX(WBS2!$I$163:$I$298,MATCH($C131,WBS2!$F$163:$F$298,0))="","",INDEX(WBS2!$I$163:$I$298,MATCH($C131,WBS2!$F$163:$F$298,0))),"")</f>
        <v/>
      </c>
      <c r="AO131" s="102">
        <f>IFERROR(IF(OR($AN131="Chưa hoàn thành",$AN131="Sẵn sàng"),INDEX(WBS2!$H$163:$H$298,MATCH($C131,WBS2!$F$163:$F$298,0)),""),"")</f>
        <v/>
      </c>
      <c r="AP131">
        <f>IFERROR(IF(INDEX(WBS2!$J$163:$J$298,MATCH($C131,WBS2!$F$163:$F$298,0))="","",INDEX(WBS2!$J$163:$J$298,MATCH($C131,WBS2!$F$163:$F$298,0))),"")</f>
        <v/>
      </c>
    </row>
    <row r="132" hidden="1" ht="14.25" customHeight="1">
      <c r="A132" s="13" t="n">
        <v>131</v>
      </c>
      <c r="B132" s="28" t="inlineStr">
        <is>
          <t>Công ty CP Công nghệ và dịch vụ MOBILE-ID</t>
        </is>
      </c>
      <c r="C132" s="14" t="inlineStr">
        <is>
          <t>0313994173</t>
        </is>
      </c>
      <c r="D132" s="13" t="inlineStr">
        <is>
          <t>1/11/74 Đặng Thùy Trâm, phường Bình Lợi Trung, Tp Hồ Chí Minh</t>
        </is>
      </c>
      <c r="E132" s="83" t="inlineStr">
        <is>
          <t xml:space="preserve">https://trustedbilling.mobile-id.vn/  </t>
        </is>
      </c>
      <c r="F132" s="20" t="inlineStr">
        <is>
          <t>captcha dạng tích</t>
        </is>
      </c>
      <c r="G132" s="23" t="inlineStr">
        <is>
          <t>https://trustedbilling.mobile-id.vn/invoice-inquiry/?language=vi</t>
        </is>
      </c>
      <c r="H132" s="35">
        <f>IF(N132&lt;&gt;"OK","",IF(IF(O132="✓","Mã tra cứu|","")&amp;IF(P132="✓","MST người bán|","")&amp;IF(Q132="✓","MST người mua|","")&amp;IF(R132="✓","Mẫu số / Ký hiệu|","")&amp;IF(S132="✓","Số HĐ|","")&amp;IF(T132="✓","Ngày lập|","")&amp;IF(U132="✓","Tổng tiền|","")&amp;IF(V132="✓","Mã CQT|","")&amp;IF(W132="✓","Upload XML|","")&amp;IF(X132="✓","Captcha ảnh|","")&amp;IF(Y132="✓","Captcha dạng tích|","")&amp;IF(Z132="✓","Captcha khác (slider/hình)|","")&amp;IF(AA132="✓","Đăng nhập|","")&amp;IF(AB132="✓","Email/SĐT/OTP|","")="","(không có tham số)",SUBSTITUTE(LEFT(IF(O132="✓","Mã tra cứu|","")&amp;IF(P132="✓","MST người bán|","")&amp;IF(Q132="✓","MST người mua|","")&amp;IF(R132="✓","Mẫu số / Ký hiệu|","")&amp;IF(S132="✓","Số HĐ|","")&amp;IF(T132="✓","Ngày lập|","")&amp;IF(U132="✓","Tổng tiền|","")&amp;IF(V132="✓","Mã CQT|","")&amp;IF(W132="✓","Upload XML|","")&amp;IF(X132="✓","Captcha ảnh|","")&amp;IF(Y132="✓","Captcha dạng tích|","")&amp;IF(Z132="✓","Captcha khác (slider/hình)|","")&amp;IF(AA132="✓","Đăng nhập|","")&amp;IF(AB132="✓","Email/SĐT/OTP|",""),LEN(IF(O132="✓","Mã tra cứu|","")&amp;IF(P132="✓","MST người bán|","")&amp;IF(Q132="✓","MST người mua|","")&amp;IF(R132="✓","Mẫu số / Ký hiệu|","")&amp;IF(S132="✓","Số HĐ|","")&amp;IF(T132="✓","Ngày lập|","")&amp;IF(U132="✓","Tổng tiền|","")&amp;IF(V132="✓","Mã CQT|","")&amp;IF(W132="✓","Upload XML|","")&amp;IF(X132="✓","Captcha ảnh|","")&amp;IF(Y132="✓","Captcha dạng tích|","")&amp;IF(Z132="✓","Captcha khác (slider/hình)|","")&amp;IF(AA132="✓","Đăng nhập|","")&amp;IF(AB132="✓","Email/SĐT/OTP|",""))-1),"|"," + ")))</f>
        <v/>
      </c>
      <c r="I132" s="17" t="n"/>
      <c r="J132" s="17" t="n"/>
      <c r="K132" s="17" t="n"/>
      <c r="L132" s="17" t="n"/>
      <c r="M132" s="37" t="n"/>
      <c r="N132" s="38" t="inlineStr">
        <is>
          <t>OK</t>
        </is>
      </c>
      <c r="O132" s="39" t="inlineStr">
        <is>
          <t>✓</t>
        </is>
      </c>
      <c r="P132" s="39" t="n"/>
      <c r="Q132" s="39" t="n"/>
      <c r="R132" s="39" t="n"/>
      <c r="S132" s="39" t="n"/>
      <c r="T132" s="39" t="n"/>
      <c r="U132" s="39" t="n"/>
      <c r="V132" s="39" t="n"/>
      <c r="W132" s="39" t="n"/>
      <c r="X132" s="39" t="n"/>
      <c r="Y132" s="39" t="inlineStr">
        <is>
          <t>✓</t>
        </is>
      </c>
      <c r="Z132" s="39" t="n"/>
      <c r="AA132" s="39" t="n"/>
      <c r="AB132" s="39" t="n"/>
      <c r="AC132" s="39" t="n">
        <v>2</v>
      </c>
      <c r="AD132" s="16" t="inlineStr">
        <is>
          <t>reCAPTCHA v2 checkbox ('Tôi không phải là người máy', render=explicit, iframe size=normal 304x78)</t>
        </is>
      </c>
      <c r="AE132" s="16" t="inlineStr">
        <is>
          <t>Tab 'Tra cứu dùng tệp XML': kéo thả/chọn file .xml (+ reCAPTCHA)</t>
        </is>
      </c>
      <c r="AF132" s="16" t="inlineStr">
        <is>
          <t>Trusted Billing. Nút Tra cứu bị khóa tới khi tích reCAPTCHA.</t>
        </is>
      </c>
      <c r="AG132" s="16" t="inlineStr">
        <is>
          <t>https://trustedbilling.mobile-id.vn/invoice-inquiry/?language=vi</t>
        </is>
      </c>
      <c r="AH132" s="1" t="n"/>
      <c r="AI132" s="1" t="n"/>
      <c r="AJ132">
        <f>IFERROR(IF(INDEX(WBS2!$I$2:$I$25,MATCH($C132,WBS2!$F$2:$F$25,0))="","",INDEX(WBS2!$I$2:$I$25,MATCH($C132,WBS2!$F$2:$F$25,0))),"")</f>
        <v/>
      </c>
      <c r="AK132">
        <f>IFERROR(IF(INDEX(WBS2!$I$27:$I$162,MATCH($C132,WBS2!$F$27:$F$162,0))="","",INDEX(WBS2!$I$27:$I$162,MATCH($C132,WBS2!$F$27:$F$162,0))),"")</f>
        <v/>
      </c>
      <c r="AL132" s="102">
        <f>IFERROR(IF(OR($AK132="Chưa hoàn thành",$AK132="Sẵn sàng"),INDEX(WBS2!$H$27:$H$162,MATCH($C132,WBS2!$F$27:$F$162,0)),""),"")</f>
        <v/>
      </c>
      <c r="AM132">
        <f>IFERROR(IF(INDEX(WBS2!$J$27:$J$162,MATCH($C132,WBS2!$F$27:$F$162,0))="","",INDEX(WBS2!$J$27:$J$162,MATCH($C132,WBS2!$F$27:$F$162,0))),"")</f>
        <v/>
      </c>
      <c r="AN132">
        <f>IFERROR(IF(INDEX(WBS2!$I$163:$I$298,MATCH($C132,WBS2!$F$163:$F$298,0))="","",INDEX(WBS2!$I$163:$I$298,MATCH($C132,WBS2!$F$163:$F$298,0))),"")</f>
        <v/>
      </c>
      <c r="AO132" s="102">
        <f>IFERROR(IF(OR($AN132="Chưa hoàn thành",$AN132="Sẵn sàng"),INDEX(WBS2!$H$163:$H$298,MATCH($C132,WBS2!$F$163:$F$298,0)),""),"")</f>
        <v/>
      </c>
      <c r="AP132">
        <f>IFERROR(IF(INDEX(WBS2!$J$163:$J$298,MATCH($C132,WBS2!$F$163:$F$298,0))="","",INDEX(WBS2!$J$163:$J$298,MATCH($C132,WBS2!$F$163:$F$298,0))),"")</f>
        <v/>
      </c>
    </row>
    <row r="133" hidden="1" ht="14.25" customHeight="1">
      <c r="A133" s="13" t="n">
        <v>132</v>
      </c>
      <c r="B133" s="28" t="inlineStr">
        <is>
          <t>Công ty Cổ phần Sun-Invoice Việt Nam</t>
        </is>
      </c>
      <c r="C133" s="14" t="inlineStr">
        <is>
          <t>0111488368</t>
        </is>
      </c>
      <c r="D133" s="13" t="inlineStr">
        <is>
          <t>Sàn 2902, tòa nhà văn phòng Rox Tower, số 136 Hồ Tùng Mậu, phường Phú Diễn, tp Hà Nội</t>
        </is>
      </c>
      <c r="E133" s="83" t="inlineStr">
        <is>
          <t xml:space="preserve">https://Suninvoice.vn     </t>
        </is>
      </c>
      <c r="F133" s="20" t="inlineStr">
        <is>
          <t>Không có captcha</t>
        </is>
      </c>
      <c r="G133" s="66" t="inlineStr">
        <is>
          <t>https://tracuu.suninvoice.vn/</t>
        </is>
      </c>
      <c r="H133" s="35">
        <f>IF(N133&lt;&gt;"OK","",IF(IF(O133="✓","Mã tra cứu|","")&amp;IF(P133="✓","MST người bán|","")&amp;IF(Q133="✓","MST người mua|","")&amp;IF(R133="✓","Mẫu số / Ký hiệu|","")&amp;IF(S133="✓","Số HĐ|","")&amp;IF(T133="✓","Ngày lập|","")&amp;IF(U133="✓","Tổng tiền|","")&amp;IF(V133="✓","Mã CQT|","")&amp;IF(W133="✓","Upload XML|","")&amp;IF(X133="✓","Captcha ảnh|","")&amp;IF(Y133="✓","Captcha dạng tích|","")&amp;IF(Z133="✓","Captcha khác (slider/hình)|","")&amp;IF(AA133="✓","Đăng nhập|","")&amp;IF(AB133="✓","Email/SĐT/OTP|","")="","(không có tham số)",SUBSTITUTE(LEFT(IF(O133="✓","Mã tra cứu|","")&amp;IF(P133="✓","MST người bán|","")&amp;IF(Q133="✓","MST người mua|","")&amp;IF(R133="✓","Mẫu số / Ký hiệu|","")&amp;IF(S133="✓","Số HĐ|","")&amp;IF(T133="✓","Ngày lập|","")&amp;IF(U133="✓","Tổng tiền|","")&amp;IF(V133="✓","Mã CQT|","")&amp;IF(W133="✓","Upload XML|","")&amp;IF(X133="✓","Captcha ảnh|","")&amp;IF(Y133="✓","Captcha dạng tích|","")&amp;IF(Z133="✓","Captcha khác (slider/hình)|","")&amp;IF(AA133="✓","Đăng nhập|","")&amp;IF(AB133="✓","Email/SĐT/OTP|",""),LEN(IF(O133="✓","Mã tra cứu|","")&amp;IF(P133="✓","MST người bán|","")&amp;IF(Q133="✓","MST người mua|","")&amp;IF(R133="✓","Mẫu số / Ký hiệu|","")&amp;IF(S133="✓","Số HĐ|","")&amp;IF(T133="✓","Ngày lập|","")&amp;IF(U133="✓","Tổng tiền|","")&amp;IF(V133="✓","Mã CQT|","")&amp;IF(W133="✓","Upload XML|","")&amp;IF(X133="✓","Captcha ảnh|","")&amp;IF(Y133="✓","Captcha dạng tích|","")&amp;IF(Z133="✓","Captcha khác (slider/hình)|","")&amp;IF(AA133="✓","Đăng nhập|","")&amp;IF(AB133="✓","Email/SĐT/OTP|",""))-1),"|"," + ")))</f>
        <v/>
      </c>
      <c r="I133" s="17" t="n"/>
      <c r="J133" s="17" t="n"/>
      <c r="K133" s="17" t="n"/>
      <c r="L133" s="17" t="n"/>
      <c r="M133" s="37" t="n"/>
      <c r="N133" s="38" t="inlineStr">
        <is>
          <t>OK</t>
        </is>
      </c>
      <c r="O133" s="39" t="inlineStr">
        <is>
          <t>✓</t>
        </is>
      </c>
      <c r="P133" s="39" t="n"/>
      <c r="Q133" s="39" t="n"/>
      <c r="R133" s="39" t="n"/>
      <c r="S133" s="39" t="n"/>
      <c r="T133" s="39" t="n"/>
      <c r="U133" s="39" t="n"/>
      <c r="V133" s="39" t="n"/>
      <c r="W133" s="39" t="n"/>
      <c r="X133" s="39" t="n"/>
      <c r="Y133" s="39" t="n"/>
      <c r="Z133" s="39" t="n"/>
      <c r="AA133" s="39" t="n"/>
      <c r="AB133" s="39" t="n"/>
      <c r="AC133" s="39" t="n">
        <v>1</v>
      </c>
      <c r="AD133" s="16" t="inlineStr">
        <is>
          <t>không có</t>
        </is>
      </c>
      <c r="AE133" s="16" t="n"/>
      <c r="AF133" s="16" t="inlineStr">
        <is>
          <t>SPA React, chỉ 1 ô 'Nhập mã tra cứu'. Cùng giao diện với GO (row 119).</t>
        </is>
      </c>
      <c r="AG133" s="16" t="inlineStr">
        <is>
          <t>https://tracuu.suninvoice.vn/#/</t>
        </is>
      </c>
      <c r="AH133" s="1" t="n"/>
      <c r="AI133" s="1" t="n"/>
      <c r="AJ133">
        <f>IFERROR(IF(INDEX(WBS2!$I$2:$I$25,MATCH($C133,WBS2!$F$2:$F$25,0))="","",INDEX(WBS2!$I$2:$I$25,MATCH($C133,WBS2!$F$2:$F$25,0))),"")</f>
        <v/>
      </c>
      <c r="AK133">
        <f>IFERROR(IF(INDEX(WBS2!$I$27:$I$162,MATCH($C133,WBS2!$F$27:$F$162,0))="","",INDEX(WBS2!$I$27:$I$162,MATCH($C133,WBS2!$F$27:$F$162,0))),"")</f>
        <v/>
      </c>
      <c r="AL133" s="102">
        <f>IFERROR(IF(OR($AK133="Chưa hoàn thành",$AK133="Sẵn sàng"),INDEX(WBS2!$H$27:$H$162,MATCH($C133,WBS2!$F$27:$F$162,0)),""),"")</f>
        <v/>
      </c>
      <c r="AM133">
        <f>IFERROR(IF(INDEX(WBS2!$J$27:$J$162,MATCH($C133,WBS2!$F$27:$F$162,0))="","",INDEX(WBS2!$J$27:$J$162,MATCH($C133,WBS2!$F$27:$F$162,0))),"")</f>
        <v/>
      </c>
      <c r="AN133">
        <f>IFERROR(IF(INDEX(WBS2!$I$163:$I$298,MATCH($C133,WBS2!$F$163:$F$298,0))="","",INDEX(WBS2!$I$163:$I$298,MATCH($C133,WBS2!$F$163:$F$298,0))),"")</f>
        <v/>
      </c>
      <c r="AO133" s="102">
        <f>IFERROR(IF(OR($AN133="Chưa hoàn thành",$AN133="Sẵn sàng"),INDEX(WBS2!$H$163:$H$298,MATCH($C133,WBS2!$F$163:$F$298,0)),""),"")</f>
        <v/>
      </c>
      <c r="AP133">
        <f>IFERROR(IF(INDEX(WBS2!$J$163:$J$298,MATCH($C133,WBS2!$F$163:$F$298,0))="","",INDEX(WBS2!$J$163:$J$298,MATCH($C133,WBS2!$F$163:$F$298,0))),"")</f>
        <v/>
      </c>
    </row>
    <row r="134" hidden="1" ht="14.25" customHeight="1">
      <c r="A134" s="13" t="n">
        <v>133</v>
      </c>
      <c r="B134" s="28" t="inlineStr">
        <is>
          <t>Công ty Cổ phần ESBT</t>
        </is>
      </c>
      <c r="C134" s="14" t="inlineStr">
        <is>
          <t>0108933234</t>
        </is>
      </c>
      <c r="D134" s="13" t="inlineStr">
        <is>
          <t>Tầng 12, tòa nhà Báo Nông thôn Ngày nay, Lô E2, khu đô thị mới Cầu Giấy, đường Dương Đình Nghệ, phường Cầu Giấy, Tp Hà Nội</t>
        </is>
      </c>
      <c r="E134" s="83" t="inlineStr">
        <is>
          <t xml:space="preserve">https://salework.net/      </t>
        </is>
      </c>
      <c r="F134" s="20" t="inlineStr">
        <is>
          <t>không có thông tin</t>
        </is>
      </c>
      <c r="G134" s="20" t="n"/>
      <c r="H134" s="35">
        <f>IF(N134&lt;&gt;"OK","",IF(IF(O134="✓","Mã tra cứu|","")&amp;IF(P134="✓","MST người bán|","")&amp;IF(Q134="✓","MST người mua|","")&amp;IF(R134="✓","Mẫu số / Ký hiệu|","")&amp;IF(S134="✓","Số HĐ|","")&amp;IF(T134="✓","Ngày lập|","")&amp;IF(U134="✓","Tổng tiền|","")&amp;IF(V134="✓","Mã CQT|","")&amp;IF(W134="✓","Upload XML|","")&amp;IF(X134="✓","Captcha ảnh|","")&amp;IF(Y134="✓","Captcha dạng tích|","")&amp;IF(Z134="✓","Captcha khác (slider/hình)|","")&amp;IF(AA134="✓","Đăng nhập|","")&amp;IF(AB134="✓","Email/SĐT/OTP|","")="","(không có tham số)",SUBSTITUTE(LEFT(IF(O134="✓","Mã tra cứu|","")&amp;IF(P134="✓","MST người bán|","")&amp;IF(Q134="✓","MST người mua|","")&amp;IF(R134="✓","Mẫu số / Ký hiệu|","")&amp;IF(S134="✓","Số HĐ|","")&amp;IF(T134="✓","Ngày lập|","")&amp;IF(U134="✓","Tổng tiền|","")&amp;IF(V134="✓","Mã CQT|","")&amp;IF(W134="✓","Upload XML|","")&amp;IF(X134="✓","Captcha ảnh|","")&amp;IF(Y134="✓","Captcha dạng tích|","")&amp;IF(Z134="✓","Captcha khác (slider/hình)|","")&amp;IF(AA134="✓","Đăng nhập|","")&amp;IF(AB134="✓","Email/SĐT/OTP|",""),LEN(IF(O134="✓","Mã tra cứu|","")&amp;IF(P134="✓","MST người bán|","")&amp;IF(Q134="✓","MST người mua|","")&amp;IF(R134="✓","Mẫu số / Ký hiệu|","")&amp;IF(S134="✓","Số HĐ|","")&amp;IF(T134="✓","Ngày lập|","")&amp;IF(U134="✓","Tổng tiền|","")&amp;IF(V134="✓","Mã CQT|","")&amp;IF(W134="✓","Upload XML|","")&amp;IF(X134="✓","Captcha ảnh|","")&amp;IF(Y134="✓","Captcha dạng tích|","")&amp;IF(Z134="✓","Captcha khác (slider/hình)|","")&amp;IF(AA134="✓","Đăng nhập|","")&amp;IF(AB134="✓","Email/SĐT/OTP|",""))-1),"|"," + ")))</f>
        <v/>
      </c>
      <c r="I134" s="17" t="n"/>
      <c r="J134" s="17" t="n"/>
      <c r="K134" s="17" t="n"/>
      <c r="L134" s="17" t="n"/>
      <c r="M134" s="37" t="n"/>
      <c r="N134" s="38" t="n"/>
      <c r="O134" s="37" t="n"/>
      <c r="P134" s="37" t="n"/>
      <c r="Q134" s="37" t="n"/>
      <c r="R134" s="37" t="n"/>
      <c r="S134" s="37" t="n"/>
      <c r="T134" s="37" t="n"/>
      <c r="U134" s="37" t="n"/>
      <c r="V134" s="37" t="n"/>
      <c r="W134" s="37" t="n"/>
      <c r="X134" s="37" t="n"/>
      <c r="Y134" s="37" t="n"/>
      <c r="Z134" s="37" t="n"/>
      <c r="AA134" s="37" t="n"/>
      <c r="AB134" s="37" t="n"/>
      <c r="AC134" s="37" t="n"/>
      <c r="AD134" s="37" t="n"/>
      <c r="AE134" s="37" t="n"/>
      <c r="AF134" s="37" t="n"/>
      <c r="AG134" s="37" t="n"/>
      <c r="AH134" s="1" t="n"/>
      <c r="AI134" s="1" t="n"/>
      <c r="AJ134">
        <f>IFERROR(IF(INDEX(WBS2!$I$2:$I$25,MATCH($C134,WBS2!$F$2:$F$25,0))="","",INDEX(WBS2!$I$2:$I$25,MATCH($C134,WBS2!$F$2:$F$25,0))),"")</f>
        <v/>
      </c>
      <c r="AK134">
        <f>IFERROR(IF(INDEX(WBS2!$I$27:$I$162,MATCH($C134,WBS2!$F$27:$F$162,0))="","",INDEX(WBS2!$I$27:$I$162,MATCH($C134,WBS2!$F$27:$F$162,0))),"")</f>
        <v/>
      </c>
      <c r="AL134" s="102">
        <f>IFERROR(IF(OR($AK134="Chưa hoàn thành",$AK134="Sẵn sàng"),INDEX(WBS2!$H$27:$H$162,MATCH($C134,WBS2!$F$27:$F$162,0)),""),"")</f>
        <v/>
      </c>
      <c r="AM134">
        <f>IFERROR(IF(INDEX(WBS2!$J$27:$J$162,MATCH($C134,WBS2!$F$27:$F$162,0))="","",INDEX(WBS2!$J$27:$J$162,MATCH($C134,WBS2!$F$27:$F$162,0))),"")</f>
        <v/>
      </c>
      <c r="AN134">
        <f>IFERROR(IF(INDEX(WBS2!$I$163:$I$298,MATCH($C134,WBS2!$F$163:$F$298,0))="","",INDEX(WBS2!$I$163:$I$298,MATCH($C134,WBS2!$F$163:$F$298,0))),"")</f>
        <v/>
      </c>
      <c r="AO134" s="102">
        <f>IFERROR(IF(OR($AN134="Chưa hoàn thành",$AN134="Sẵn sàng"),INDEX(WBS2!$H$163:$H$298,MATCH($C134,WBS2!$F$163:$F$298,0)),""),"")</f>
        <v/>
      </c>
      <c r="AP134">
        <f>IFERROR(IF(INDEX(WBS2!$J$163:$J$298,MATCH($C134,WBS2!$F$163:$F$298,0))="","",INDEX(WBS2!$J$163:$J$298,MATCH($C134,WBS2!$F$163:$F$298,0))),"")</f>
        <v/>
      </c>
    </row>
    <row r="135" hidden="1" ht="14.25" customHeight="1">
      <c r="A135" s="13" t="n">
        <v>134</v>
      </c>
      <c r="B135" s="28" t="inlineStr">
        <is>
          <t>Công ty TNHH Tư vấn – Thương mại Khánh Linh</t>
        </is>
      </c>
      <c r="C135" s="14" t="inlineStr">
        <is>
          <t>0307633556</t>
        </is>
      </c>
      <c r="D135" s="13" t="inlineStr">
        <is>
          <t>59B Bình Giã, phường Tân Bình, tp Hồ Chí Minh</t>
        </is>
      </c>
      <c r="E135" s="83" t="inlineStr">
        <is>
          <t xml:space="preserve">https://winvoice.vn    </t>
        </is>
      </c>
      <c r="F135" s="20" t="inlineStr">
        <is>
          <t>Không có captcha</t>
        </is>
      </c>
      <c r="G135" s="23" t="inlineStr">
        <is>
          <t>https://winvoice.vn/tra-cuu</t>
        </is>
      </c>
      <c r="H135" s="35">
        <f>IF(N135&lt;&gt;"OK","",IF(IF(O135="✓","Mã tra cứu|","")&amp;IF(P135="✓","MST người bán|","")&amp;IF(Q135="✓","MST người mua|","")&amp;IF(R135="✓","Mẫu số / Ký hiệu|","")&amp;IF(S135="✓","Số HĐ|","")&amp;IF(T135="✓","Ngày lập|","")&amp;IF(U135="✓","Tổng tiền|","")&amp;IF(V135="✓","Mã CQT|","")&amp;IF(W135="✓","Upload XML|","")&amp;IF(X135="✓","Captcha ảnh|","")&amp;IF(Y135="✓","Captcha dạng tích|","")&amp;IF(Z135="✓","Captcha khác (slider/hình)|","")&amp;IF(AA135="✓","Đăng nhập|","")&amp;IF(AB135="✓","Email/SĐT/OTP|","")="","(không có tham số)",SUBSTITUTE(LEFT(IF(O135="✓","Mã tra cứu|","")&amp;IF(P135="✓","MST người bán|","")&amp;IF(Q135="✓","MST người mua|","")&amp;IF(R135="✓","Mẫu số / Ký hiệu|","")&amp;IF(S135="✓","Số HĐ|","")&amp;IF(T135="✓","Ngày lập|","")&amp;IF(U135="✓","Tổng tiền|","")&amp;IF(V135="✓","Mã CQT|","")&amp;IF(W135="✓","Upload XML|","")&amp;IF(X135="✓","Captcha ảnh|","")&amp;IF(Y135="✓","Captcha dạng tích|","")&amp;IF(Z135="✓","Captcha khác (slider/hình)|","")&amp;IF(AA135="✓","Đăng nhập|","")&amp;IF(AB135="✓","Email/SĐT/OTP|",""),LEN(IF(O135="✓","Mã tra cứu|","")&amp;IF(P135="✓","MST người bán|","")&amp;IF(Q135="✓","MST người mua|","")&amp;IF(R135="✓","Mẫu số / Ký hiệu|","")&amp;IF(S135="✓","Số HĐ|","")&amp;IF(T135="✓","Ngày lập|","")&amp;IF(U135="✓","Tổng tiền|","")&amp;IF(V135="✓","Mã CQT|","")&amp;IF(W135="✓","Upload XML|","")&amp;IF(X135="✓","Captcha ảnh|","")&amp;IF(Y135="✓","Captcha dạng tích|","")&amp;IF(Z135="✓","Captcha khác (slider/hình)|","")&amp;IF(AA135="✓","Đăng nhập|","")&amp;IF(AB135="✓","Email/SĐT/OTP|",""))-1),"|"," + ")))</f>
        <v/>
      </c>
      <c r="I135" s="17" t="n"/>
      <c r="J135" s="17" t="n"/>
      <c r="K135" s="17" t="n"/>
      <c r="L135" s="17" t="n"/>
      <c r="M135" s="37" t="n"/>
      <c r="N135" s="38" t="inlineStr">
        <is>
          <t>OK</t>
        </is>
      </c>
      <c r="O135" s="39" t="inlineStr">
        <is>
          <t>✓</t>
        </is>
      </c>
      <c r="P135" s="39" t="n"/>
      <c r="Q135" s="39" t="n"/>
      <c r="R135" s="39" t="n"/>
      <c r="S135" s="39" t="n"/>
      <c r="T135" s="39" t="n"/>
      <c r="U135" s="39" t="n"/>
      <c r="V135" s="39" t="n"/>
      <c r="W135" s="39" t="n"/>
      <c r="X135" s="39" t="n"/>
      <c r="Y135" s="39" t="n"/>
      <c r="Z135" s="39" t="n"/>
      <c r="AA135" s="39" t="n"/>
      <c r="AB135" s="39" t="n"/>
      <c r="AC135" s="39" t="n">
        <v>1</v>
      </c>
      <c r="AD135" s="16" t="inlineStr">
        <is>
          <t>không có (checkbox 'Tôi không phải là người máy' trên trang là widget tự vẽ của form đăng ký tư vấn, không thuộc form tra cứu)</t>
        </is>
      </c>
      <c r="AE135" s="16" t="inlineStr">
        <is>
          <t>'Hoặc tra cứu bằng tệp XML': upload/kéo thả file XML</t>
        </is>
      </c>
      <c r="AF135" s="16" t="inlineStr">
        <is>
          <t>Mã tra cứu dạng GUID 32 hex (vd B6A8F5FE22C84D7B8B2BB44DE0A93530). Trang tự ghi 'không liên quan Win Invoice'.</t>
        </is>
      </c>
      <c r="AG135" s="16" t="inlineStr">
        <is>
          <t>https://winvoice.vn/tra-cuu</t>
        </is>
      </c>
      <c r="AH135" s="1" t="n"/>
      <c r="AI135" s="1" t="n"/>
      <c r="AJ135">
        <f>IFERROR(IF(INDEX(WBS2!$I$2:$I$25,MATCH($C135,WBS2!$F$2:$F$25,0))="","",INDEX(WBS2!$I$2:$I$25,MATCH($C135,WBS2!$F$2:$F$25,0))),"")</f>
        <v/>
      </c>
      <c r="AK135">
        <f>IFERROR(IF(INDEX(WBS2!$I$27:$I$162,MATCH($C135,WBS2!$F$27:$F$162,0))="","",INDEX(WBS2!$I$27:$I$162,MATCH($C135,WBS2!$F$27:$F$162,0))),"")</f>
        <v/>
      </c>
      <c r="AL135" s="102">
        <f>IFERROR(IF(OR($AK135="Chưa hoàn thành",$AK135="Sẵn sàng"),INDEX(WBS2!$H$27:$H$162,MATCH($C135,WBS2!$F$27:$F$162,0)),""),"")</f>
        <v/>
      </c>
      <c r="AM135">
        <f>IFERROR(IF(INDEX(WBS2!$J$27:$J$162,MATCH($C135,WBS2!$F$27:$F$162,0))="","",INDEX(WBS2!$J$27:$J$162,MATCH($C135,WBS2!$F$27:$F$162,0))),"")</f>
        <v/>
      </c>
      <c r="AN135">
        <f>IFERROR(IF(INDEX(WBS2!$I$163:$I$298,MATCH($C135,WBS2!$F$163:$F$298,0))="","",INDEX(WBS2!$I$163:$I$298,MATCH($C135,WBS2!$F$163:$F$298,0))),"")</f>
        <v/>
      </c>
      <c r="AO135" s="102">
        <f>IFERROR(IF(OR($AN135="Chưa hoàn thành",$AN135="Sẵn sàng"),INDEX(WBS2!$H$163:$H$298,MATCH($C135,WBS2!$F$163:$F$298,0)),""),"")</f>
        <v/>
      </c>
      <c r="AP135">
        <f>IFERROR(IF(INDEX(WBS2!$J$163:$J$298,MATCH($C135,WBS2!$F$163:$F$298,0))="","",INDEX(WBS2!$J$163:$J$298,MATCH($C135,WBS2!$F$163:$F$298,0))),"")</f>
        <v/>
      </c>
    </row>
    <row r="136" hidden="1" ht="14.25" customHeight="1">
      <c r="A136" s="13" t="n">
        <v>135</v>
      </c>
      <c r="B136" s="28" t="inlineStr">
        <is>
          <t>Công ty TNHH LIMI Tech</t>
        </is>
      </c>
      <c r="C136" s="14" t="inlineStr">
        <is>
          <t>0111423385</t>
        </is>
      </c>
      <c r="D136" s="13" t="inlineStr">
        <is>
          <t>Số 71A Văn Cao, phường Ngọc Hà, Tp Hà Nội</t>
        </is>
      </c>
      <c r="E136" s="83" t="inlineStr">
        <is>
          <t xml:space="preserve">https://limibiz.vn/  </t>
        </is>
      </c>
      <c r="F136" s="20" t="inlineStr">
        <is>
          <t>không có thông tin</t>
        </is>
      </c>
      <c r="G136" s="20" t="n"/>
      <c r="H136" s="35">
        <f>IF(N136&lt;&gt;"OK","",IF(IF(O136="✓","Mã tra cứu|","")&amp;IF(P136="✓","MST người bán|","")&amp;IF(Q136="✓","MST người mua|","")&amp;IF(R136="✓","Mẫu số / Ký hiệu|","")&amp;IF(S136="✓","Số HĐ|","")&amp;IF(T136="✓","Ngày lập|","")&amp;IF(U136="✓","Tổng tiền|","")&amp;IF(V136="✓","Mã CQT|","")&amp;IF(W136="✓","Upload XML|","")&amp;IF(X136="✓","Captcha ảnh|","")&amp;IF(Y136="✓","Captcha dạng tích|","")&amp;IF(Z136="✓","Captcha khác (slider/hình)|","")&amp;IF(AA136="✓","Đăng nhập|","")&amp;IF(AB136="✓","Email/SĐT/OTP|","")="","(không có tham số)",SUBSTITUTE(LEFT(IF(O136="✓","Mã tra cứu|","")&amp;IF(P136="✓","MST người bán|","")&amp;IF(Q136="✓","MST người mua|","")&amp;IF(R136="✓","Mẫu số / Ký hiệu|","")&amp;IF(S136="✓","Số HĐ|","")&amp;IF(T136="✓","Ngày lập|","")&amp;IF(U136="✓","Tổng tiền|","")&amp;IF(V136="✓","Mã CQT|","")&amp;IF(W136="✓","Upload XML|","")&amp;IF(X136="✓","Captcha ảnh|","")&amp;IF(Y136="✓","Captcha dạng tích|","")&amp;IF(Z136="✓","Captcha khác (slider/hình)|","")&amp;IF(AA136="✓","Đăng nhập|","")&amp;IF(AB136="✓","Email/SĐT/OTP|",""),LEN(IF(O136="✓","Mã tra cứu|","")&amp;IF(P136="✓","MST người bán|","")&amp;IF(Q136="✓","MST người mua|","")&amp;IF(R136="✓","Mẫu số / Ký hiệu|","")&amp;IF(S136="✓","Số HĐ|","")&amp;IF(T136="✓","Ngày lập|","")&amp;IF(U136="✓","Tổng tiền|","")&amp;IF(V136="✓","Mã CQT|","")&amp;IF(W136="✓","Upload XML|","")&amp;IF(X136="✓","Captcha ảnh|","")&amp;IF(Y136="✓","Captcha dạng tích|","")&amp;IF(Z136="✓","Captcha khác (slider/hình)|","")&amp;IF(AA136="✓","Đăng nhập|","")&amp;IF(AB136="✓","Email/SĐT/OTP|",""))-1),"|"," + ")))</f>
        <v/>
      </c>
      <c r="I136" s="17" t="n"/>
      <c r="J136" s="17" t="n"/>
      <c r="K136" s="17" t="n"/>
      <c r="L136" s="17" t="n"/>
      <c r="M136" s="37" t="n"/>
      <c r="N136" s="38" t="n"/>
      <c r="O136" s="37" t="n"/>
      <c r="P136" s="37" t="n"/>
      <c r="Q136" s="37" t="n"/>
      <c r="R136" s="37" t="n"/>
      <c r="S136" s="37" t="n"/>
      <c r="T136" s="37" t="n"/>
      <c r="U136" s="37" t="n"/>
      <c r="V136" s="37" t="n"/>
      <c r="W136" s="37" t="n"/>
      <c r="X136" s="37" t="n"/>
      <c r="Y136" s="37" t="n"/>
      <c r="Z136" s="37" t="n"/>
      <c r="AA136" s="37" t="n"/>
      <c r="AB136" s="37" t="n"/>
      <c r="AC136" s="37" t="n"/>
      <c r="AD136" s="37" t="n"/>
      <c r="AE136" s="37" t="n"/>
      <c r="AF136" s="37" t="n"/>
      <c r="AG136" s="37" t="n"/>
      <c r="AH136" s="1" t="n"/>
      <c r="AI136" s="1" t="n"/>
      <c r="AJ136">
        <f>IFERROR(IF(INDEX(WBS2!$I$2:$I$25,MATCH($C136,WBS2!$F$2:$F$25,0))="","",INDEX(WBS2!$I$2:$I$25,MATCH($C136,WBS2!$F$2:$F$25,0))),"")</f>
        <v/>
      </c>
      <c r="AK136">
        <f>IFERROR(IF(INDEX(WBS2!$I$27:$I$162,MATCH($C136,WBS2!$F$27:$F$162,0))="","",INDEX(WBS2!$I$27:$I$162,MATCH($C136,WBS2!$F$27:$F$162,0))),"")</f>
        <v/>
      </c>
      <c r="AL136" s="102">
        <f>IFERROR(IF(OR($AK136="Chưa hoàn thành",$AK136="Sẵn sàng"),INDEX(WBS2!$H$27:$H$162,MATCH($C136,WBS2!$F$27:$F$162,0)),""),"")</f>
        <v/>
      </c>
      <c r="AM136">
        <f>IFERROR(IF(INDEX(WBS2!$J$27:$J$162,MATCH($C136,WBS2!$F$27:$F$162,0))="","",INDEX(WBS2!$J$27:$J$162,MATCH($C136,WBS2!$F$27:$F$162,0))),"")</f>
        <v/>
      </c>
      <c r="AN136">
        <f>IFERROR(IF(INDEX(WBS2!$I$163:$I$298,MATCH($C136,WBS2!$F$163:$F$298,0))="","",INDEX(WBS2!$I$163:$I$298,MATCH($C136,WBS2!$F$163:$F$298,0))),"")</f>
        <v/>
      </c>
      <c r="AO136" s="102">
        <f>IFERROR(IF(OR($AN136="Chưa hoàn thành",$AN136="Sẵn sàng"),INDEX(WBS2!$H$163:$H$298,MATCH($C136,WBS2!$F$163:$F$298,0)),""),"")</f>
        <v/>
      </c>
      <c r="AP136">
        <f>IFERROR(IF(INDEX(WBS2!$J$163:$J$298,MATCH($C136,WBS2!$F$163:$F$298,0))="","",INDEX(WBS2!$J$163:$J$298,MATCH($C136,WBS2!$F$163:$F$298,0))),"")</f>
        <v/>
      </c>
    </row>
    <row r="137" ht="14.25" customHeight="1">
      <c r="A137" s="13" t="n">
        <v>136</v>
      </c>
      <c r="B137" s="28" t="inlineStr">
        <is>
          <t>Tổng Công ty Dầu Việt Nam - CTCP (PVOIL)</t>
        </is>
      </c>
      <c r="C137" s="14" t="inlineStr">
        <is>
          <t>0305795054</t>
        </is>
      </c>
      <c r="D137" s="17" t="n"/>
      <c r="E137" s="65" t="inlineStr">
        <is>
          <t>https://hoadon.pvoil.vn/</t>
        </is>
      </c>
      <c r="F137" s="20" t="inlineStr">
        <is>
          <t>có captcha</t>
        </is>
      </c>
      <c r="G137" s="23" t="inlineStr">
        <is>
          <t>https://hoadon.pvoil.vn/Captcha/Show</t>
        </is>
      </c>
      <c r="H137" s="35">
        <f>IF(N137&lt;&gt;"OK","",IF(IF(O137="✓","Mã tra cứu|","")&amp;IF(P137="✓","MST người bán|","")&amp;IF(Q137="✓","MST người mua|","")&amp;IF(R137="✓","Mẫu số / Ký hiệu|","")&amp;IF(S137="✓","Số HĐ|","")&amp;IF(T137="✓","Ngày lập|","")&amp;IF(U137="✓","Tổng tiền|","")&amp;IF(V137="✓","Mã CQT|","")&amp;IF(W137="✓","Upload XML|","")&amp;IF(X137="✓","Captcha ảnh|","")&amp;IF(Y137="✓","Captcha dạng tích|","")&amp;IF(Z137="✓","Captcha khác (slider/hình)|","")&amp;IF(AA137="✓","Đăng nhập|","")&amp;IF(AB137="✓","Email/SĐT/OTP|","")="","(không có tham số)",SUBSTITUTE(LEFT(IF(O137="✓","Mã tra cứu|","")&amp;IF(P137="✓","MST người bán|","")&amp;IF(Q137="✓","MST người mua|","")&amp;IF(R137="✓","Mẫu số / Ký hiệu|","")&amp;IF(S137="✓","Số HĐ|","")&amp;IF(T137="✓","Ngày lập|","")&amp;IF(U137="✓","Tổng tiền|","")&amp;IF(V137="✓","Mã CQT|","")&amp;IF(W137="✓","Upload XML|","")&amp;IF(X137="✓","Captcha ảnh|","")&amp;IF(Y137="✓","Captcha dạng tích|","")&amp;IF(Z137="✓","Captcha khác (slider/hình)|","")&amp;IF(AA137="✓","Đăng nhập|","")&amp;IF(AB137="✓","Email/SĐT/OTP|",""),LEN(IF(O137="✓","Mã tra cứu|","")&amp;IF(P137="✓","MST người bán|","")&amp;IF(Q137="✓","MST người mua|","")&amp;IF(R137="✓","Mẫu số / Ký hiệu|","")&amp;IF(S137="✓","Số HĐ|","")&amp;IF(T137="✓","Ngày lập|","")&amp;IF(U137="✓","Tổng tiền|","")&amp;IF(V137="✓","Mã CQT|","")&amp;IF(W137="✓","Upload XML|","")&amp;IF(X137="✓","Captcha ảnh|","")&amp;IF(Y137="✓","Captcha dạng tích|","")&amp;IF(Z137="✓","Captcha khác (slider/hình)|","")&amp;IF(AA137="✓","Đăng nhập|","")&amp;IF(AB137="✓","Email/SĐT/OTP|",""))-1),"|"," + ")))</f>
        <v/>
      </c>
      <c r="I137" s="20" t="inlineStr">
        <is>
          <t>Xong</t>
        </is>
      </c>
      <c r="J137" s="17" t="n"/>
      <c r="K137" s="60" t="n">
        <v>0.918</v>
      </c>
      <c r="L137" s="20" t="inlineStr">
        <is>
          <t>g_194x35</t>
        </is>
      </c>
      <c r="M137" s="37" t="n"/>
      <c r="N137" s="38" t="inlineStr">
        <is>
          <t>OK</t>
        </is>
      </c>
      <c r="O137" s="39" t="inlineStr">
        <is>
          <t>✓</t>
        </is>
      </c>
      <c r="P137" s="39" t="n"/>
      <c r="Q137" s="39" t="n"/>
      <c r="R137" s="39" t="n"/>
      <c r="S137" s="39" t="n"/>
      <c r="T137" s="39" t="n"/>
      <c r="U137" s="39" t="n"/>
      <c r="V137" s="39" t="n"/>
      <c r="W137" s="39" t="n"/>
      <c r="X137" s="39" t="inlineStr">
        <is>
          <t>✓</t>
        </is>
      </c>
      <c r="Y137" s="39" t="n"/>
      <c r="Z137" s="39" t="n"/>
      <c r="AA137" s="39" t="n"/>
      <c r="AB137" s="39" t="n"/>
      <c r="AC137" s="39" t="n">
        <v>2</v>
      </c>
      <c r="AD137" s="16" t="inlineStr">
        <is>
          <t>ảnh PNG 194x35 (/Captcha/Show), 4 chữ số trên nền gradient xám</t>
        </is>
      </c>
      <c r="AE137" s="16" t="inlineStr">
        <is>
          <t>'Tra cứu hóa đơn DN' (/Invoice/Index): phải đăng nhập tài khoản + mật khẩu + captcha cùng loại; 'Khấu trừ thuế TNCN' (/Invoice/SearchThueTNCN)</t>
        </is>
      </c>
      <c r="AF137" s="16" t="inlineStr">
        <is>
          <t>Link trong input là URL ảnh captcha; form thật ở trang chủ (/Invoice/Search). Checkbox 'Hóa đơn theo T.tư 78' + Mã tra cứu + Mã kiểm tra. Nhóm model g_194x35.</t>
        </is>
      </c>
      <c r="AG137" s="16" t="inlineStr">
        <is>
          <t>https://hoadon.pvoil.vn/Invoice/Search</t>
        </is>
      </c>
      <c r="AH137" s="1" t="n"/>
      <c r="AI137" s="1" t="n"/>
      <c r="AJ137">
        <f>IFERROR(IF(INDEX(WBS2!$I$2:$I$25,MATCH($C137,WBS2!$F$2:$F$25,0))="","",INDEX(WBS2!$I$2:$I$25,MATCH($C137,WBS2!$F$2:$F$25,0))),"")</f>
        <v/>
      </c>
      <c r="AK137">
        <f>IFERROR(IF(INDEX(WBS2!$I$27:$I$162,MATCH($C137,WBS2!$F$27:$F$162,0))="","",INDEX(WBS2!$I$27:$I$162,MATCH($C137,WBS2!$F$27:$F$162,0))),"")</f>
        <v/>
      </c>
      <c r="AL137" s="102">
        <f>IFERROR(IF(OR($AK137="Chưa hoàn thành",$AK137="Sẵn sàng"),INDEX(WBS2!$H$27:$H$162,MATCH($C137,WBS2!$F$27:$F$162,0)),""),"")</f>
        <v/>
      </c>
      <c r="AM137">
        <f>IFERROR(IF(INDEX(WBS2!$J$27:$J$162,MATCH($C137,WBS2!$F$27:$F$162,0))="","",INDEX(WBS2!$J$27:$J$162,MATCH($C137,WBS2!$F$27:$F$162,0))),"")</f>
        <v/>
      </c>
      <c r="AN137">
        <f>IFERROR(IF(INDEX(WBS2!$I$163:$I$298,MATCH($C137,WBS2!$F$163:$F$298,0))="","",INDEX(WBS2!$I$163:$I$298,MATCH($C137,WBS2!$F$163:$F$298,0))),"")</f>
        <v/>
      </c>
      <c r="AO137" s="102">
        <f>IFERROR(IF(OR($AN137="Chưa hoàn thành",$AN137="Sẵn sàng"),INDEX(WBS2!$H$163:$H$298,MATCH($C137,WBS2!$F$163:$F$298,0)),""),"")</f>
        <v/>
      </c>
      <c r="AP137">
        <f>IFERROR(IF(INDEX(WBS2!$J$163:$J$298,MATCH($C137,WBS2!$F$163:$F$298,0))="","",INDEX(WBS2!$J$163:$J$298,MATCH($C137,WBS2!$F$163:$F$298,0))),"")</f>
        <v/>
      </c>
    </row>
    <row r="138" hidden="1" ht="14.25" customHeight="1">
      <c r="A138" s="13" t="n">
        <v>137</v>
      </c>
      <c r="B138" s="17" t="n"/>
      <c r="C138" s="14" t="n"/>
      <c r="D138" s="17" t="n"/>
      <c r="E138" s="85" t="n"/>
      <c r="F138" s="20" t="n"/>
      <c r="G138" s="20" t="n"/>
      <c r="H138" s="35" t="n"/>
      <c r="I138" s="20" t="n"/>
      <c r="J138" s="17" t="n"/>
      <c r="K138" s="67" t="n"/>
      <c r="L138" s="20" t="n"/>
      <c r="M138" s="37" t="n"/>
      <c r="N138" s="38" t="n"/>
      <c r="O138" s="39" t="n"/>
      <c r="P138" s="39" t="n"/>
      <c r="Q138" s="39" t="n"/>
      <c r="R138" s="39" t="n"/>
      <c r="S138" s="39" t="n"/>
      <c r="T138" s="39" t="n"/>
      <c r="U138" s="39" t="n"/>
      <c r="V138" s="39" t="n"/>
      <c r="W138" s="39" t="n"/>
      <c r="X138" s="39" t="n"/>
      <c r="Y138" s="39" t="n"/>
      <c r="Z138" s="39" t="n"/>
      <c r="AA138" s="39" t="n"/>
      <c r="AB138" s="39" t="n"/>
      <c r="AC138" s="39" t="n"/>
      <c r="AD138" s="16" t="n"/>
      <c r="AE138" s="16" t="n"/>
      <c r="AF138" s="16" t="n"/>
      <c r="AG138" s="16" t="n"/>
      <c r="AH138" s="1" t="n"/>
      <c r="AI138" s="1" t="n"/>
    </row>
    <row r="139" ht="14.25" customHeight="1">
      <c r="A139" s="13" t="n">
        <v>138</v>
      </c>
      <c r="B139" s="17" t="inlineStr">
        <is>
          <t>Tỗng cục Thuế</t>
        </is>
      </c>
      <c r="C139" s="14" t="n"/>
      <c r="D139" s="65" t="inlineStr">
        <is>
          <t>https://tracuuhoadon2.xcyber.vn/#/tracuuhoadon/tracuu</t>
        </is>
      </c>
      <c r="E139" s="20" t="inlineStr">
        <is>
          <t>https://hoadondientu.gdt.gov.vn/</t>
        </is>
      </c>
      <c r="F139" s="20" t="inlineStr">
        <is>
          <t>có captcha</t>
        </is>
      </c>
      <c r="G139" s="66" t="inlineStr">
        <is>
          <t>https://hoadondientu.gdt.gov.vn/</t>
        </is>
      </c>
      <c r="H139" s="35">
        <f>IF(N139&lt;&gt;"OK","",IF(IF(O139="✓","Mã tra cứu|","")&amp;IF(P139="✓","MST người bán|","")&amp;IF(Q139="✓","MST người mua|","")&amp;IF(R139="✓","Mẫu số / Ký hiệu|","")&amp;IF(S139="✓","Số HĐ|","")&amp;IF(T139="✓","Ngày lập|","")&amp;IF(U139="✓","Tổng tiền|","")&amp;IF(V139="✓","Mã CQT|","")&amp;IF(W139="✓","Upload XML|","")&amp;IF(X139="✓","Captcha ảnh|","")&amp;IF(Y139="✓","Captcha dạng tích|","")&amp;IF(Z139="✓","Captcha khác (slider/hình)|","")&amp;IF(AA139="✓","Đăng nhập|","")&amp;IF(AB139="✓","Email/SĐT/OTP|","")="","(không có tham số)",SUBSTITUTE(LEFT(IF(O139="✓","Mã tra cứu|","")&amp;IF(P139="✓","MST người bán|","")&amp;IF(Q139="✓","MST người mua|","")&amp;IF(R139="✓","Mẫu số / Ký hiệu|","")&amp;IF(S139="✓","Số HĐ|","")&amp;IF(T139="✓","Ngày lập|","")&amp;IF(U139="✓","Tổng tiền|","")&amp;IF(V139="✓","Mã CQT|","")&amp;IF(W139="✓","Upload XML|","")&amp;IF(X139="✓","Captcha ảnh|","")&amp;IF(Y139="✓","Captcha dạng tích|","")&amp;IF(Z139="✓","Captcha khác (slider/hình)|","")&amp;IF(AA139="✓","Đăng nhập|","")&amp;IF(AB139="✓","Email/SĐT/OTP|",""),LEN(IF(O139="✓","Mã tra cứu|","")&amp;IF(P139="✓","MST người bán|","")&amp;IF(Q139="✓","MST người mua|","")&amp;IF(R139="✓","Mẫu số / Ký hiệu|","")&amp;IF(S139="✓","Số HĐ|","")&amp;IF(T139="✓","Ngày lập|","")&amp;IF(U139="✓","Tổng tiền|","")&amp;IF(V139="✓","Mã CQT|","")&amp;IF(W139="✓","Upload XML|","")&amp;IF(X139="✓","Captcha ảnh|","")&amp;IF(Y139="✓","Captcha dạng tích|","")&amp;IF(Z139="✓","Captcha khác (slider/hình)|","")&amp;IF(AA139="✓","Đăng nhập|","")&amp;IF(AB139="✓","Email/SĐT/OTP|",""))-1),"|"," + ")))</f>
        <v/>
      </c>
      <c r="I139" s="20" t="inlineStr">
        <is>
          <t>Xong</t>
        </is>
      </c>
      <c r="J139" s="20" t="inlineStr">
        <is>
          <t>g_300x75</t>
        </is>
      </c>
      <c r="K139" s="86" t="n">
        <v>0.89</v>
      </c>
      <c r="L139" s="39" t="inlineStr">
        <is>
          <t>g_600x120</t>
        </is>
      </c>
      <c r="M139" s="37" t="n"/>
      <c r="N139" s="38" t="inlineStr">
        <is>
          <t>OK</t>
        </is>
      </c>
      <c r="O139" s="39" t="n"/>
      <c r="P139" s="39" t="inlineStr">
        <is>
          <t>✓</t>
        </is>
      </c>
      <c r="Q139" s="39" t="n"/>
      <c r="R139" s="39" t="inlineStr">
        <is>
          <t>✓</t>
        </is>
      </c>
      <c r="S139" s="39" t="inlineStr">
        <is>
          <t>✓</t>
        </is>
      </c>
      <c r="T139" s="39" t="n"/>
      <c r="U139" s="39" t="inlineStr">
        <is>
          <t>✓</t>
        </is>
      </c>
      <c r="V139" s="39" t="n"/>
      <c r="W139" s="39" t="n"/>
      <c r="X139" s="39" t="inlineStr">
        <is>
          <t>✓</t>
        </is>
      </c>
      <c r="Y139" s="39" t="n"/>
      <c r="Z139" s="39" t="n"/>
      <c r="AA139" s="39" t="n"/>
      <c r="AB139" s="39" t="n"/>
      <c r="AC139" s="39" t="n">
        <v>5</v>
      </c>
      <c r="AD139" s="16" t="inlineStr">
        <is>
          <t>SVG 200x40 base64 từ /api/captcha (hiển thị ~141x32), chữ + số có nhiễu</t>
        </is>
      </c>
      <c r="AE139" s="16" t="inlineStr">
        <is>
          <t>Tab 'Đọc hóa đơn XML': kéo thả file .xml; các tab khác (chứng từ khấu trừ TNCN, biên lai CTT50, DN đăng ký HĐĐT-MTT) không phải tra HĐ</t>
        </is>
      </c>
      <c r="AF139" s="16" t="inlineStr">
        <is>
          <t>Không phải NCC: form tra cứu công khai của Cục Thuế. Bắt buộc: MST người bán + Loại hóa đơn (select) + Ký hiệu + Số HĐ + captcha; Tổng tiền thuế / Tổng tiền thanh toán có trên form nhưng không đánh dấu bắt buộc. Kết quả chỉ là trạng thái HĐ, không có PDF. Trang mở popup thông báo che form.</t>
        </is>
      </c>
      <c r="AG139" s="16" t="inlineStr">
        <is>
          <t>https://hoadondientu.gdt.gov.vn/</t>
        </is>
      </c>
      <c r="AH139" s="1" t="n"/>
      <c r="AI139" s="1" t="n"/>
    </row>
    <row r="140" ht="14.25" customHeight="1">
      <c r="A140" s="13" t="n">
        <v>135</v>
      </c>
      <c r="B140" s="28" t="inlineStr">
        <is>
          <t>dich vụ công</t>
        </is>
      </c>
      <c r="C140" s="14" t="n"/>
      <c r="D140" s="13" t="inlineStr">
        <is>
          <t>Số 71A Văn Cao, phường Ngọc Hà, Tp Hà Nội</t>
        </is>
      </c>
      <c r="E140" s="84" t="inlineStr">
        <is>
          <t>https://dichvucong.gdt.gov.vn/tthc/login</t>
        </is>
      </c>
      <c r="F140" s="20" t="inlineStr">
        <is>
          <t>có captcha</t>
        </is>
      </c>
      <c r="G140" s="68" t="inlineStr">
        <is>
          <t>https://dichvucong.gdt.gov.vn/tthc/login/getCaptcha?1791513055506</t>
        </is>
      </c>
      <c r="H140" s="35">
        <f>IF(N140&lt;&gt;"OK","",IF(IF(O140="✓","Mã tra cứu|","")&amp;IF(P140="✓","MST người bán|","")&amp;IF(Q140="✓","MST người mua|","")&amp;IF(R140="✓","Mẫu số / Ký hiệu|","")&amp;IF(S140="✓","Số HĐ|","")&amp;IF(T140="✓","Ngày lập|","")&amp;IF(U140="✓","Tổng tiền|","")&amp;IF(V140="✓","Mã CQT|","")&amp;IF(W140="✓","Upload XML|","")&amp;IF(X140="✓","Captcha ảnh|","")&amp;IF(Y140="✓","Captcha dạng tích|","")&amp;IF(Z140="✓","Captcha khác (slider/hình)|","")&amp;IF(AA140="✓","Đăng nhập|","")&amp;IF(AB140="✓","Email/SĐT/OTP|","")="","(không có tham số)",SUBSTITUTE(LEFT(IF(O140="✓","Mã tra cứu|","")&amp;IF(P140="✓","MST người bán|","")&amp;IF(Q140="✓","MST người mua|","")&amp;IF(R140="✓","Mẫu số / Ký hiệu|","")&amp;IF(S140="✓","Số HĐ|","")&amp;IF(T140="✓","Ngày lập|","")&amp;IF(U140="✓","Tổng tiền|","")&amp;IF(V140="✓","Mã CQT|","")&amp;IF(W140="✓","Upload XML|","")&amp;IF(X140="✓","Captcha ảnh|","")&amp;IF(Y140="✓","Captcha dạng tích|","")&amp;IF(Z140="✓","Captcha khác (slider/hình)|","")&amp;IF(AA140="✓","Đăng nhập|","")&amp;IF(AB140="✓","Email/SĐT/OTP|",""),LEN(IF(O140="✓","Mã tra cứu|","")&amp;IF(P140="✓","MST người bán|","")&amp;IF(Q140="✓","MST người mua|","")&amp;IF(R140="✓","Mẫu số / Ký hiệu|","")&amp;IF(S140="✓","Số HĐ|","")&amp;IF(T140="✓","Ngày lập|","")&amp;IF(U140="✓","Tổng tiền|","")&amp;IF(V140="✓","Mã CQT|","")&amp;IF(W140="✓","Upload XML|","")&amp;IF(X140="✓","Captcha ảnh|","")&amp;IF(Y140="✓","Captcha dạng tích|","")&amp;IF(Z140="✓","Captcha khác (slider/hình)|","")&amp;IF(AA140="✓","Đăng nhập|","")&amp;IF(AB140="✓","Email/SĐT/OTP|",""))-1),"|"," + ")))</f>
        <v/>
      </c>
      <c r="I140" s="17" t="n"/>
      <c r="J140" s="17" t="n"/>
      <c r="K140" s="17" t="n"/>
      <c r="L140" s="17" t="n"/>
      <c r="M140" s="37" t="n"/>
      <c r="N140" s="38" t="inlineStr">
        <is>
          <t>Cần đăng nhập</t>
        </is>
      </c>
      <c r="O140" s="39" t="n"/>
      <c r="P140" s="39" t="n"/>
      <c r="Q140" s="39" t="n"/>
      <c r="R140" s="39" t="n"/>
      <c r="S140" s="39" t="n"/>
      <c r="T140" s="39" t="n"/>
      <c r="U140" s="39" t="n"/>
      <c r="V140" s="39" t="n"/>
      <c r="W140" s="39" t="n"/>
      <c r="X140" s="39" t="inlineStr">
        <is>
          <t>✓</t>
        </is>
      </c>
      <c r="Y140" s="39" t="n"/>
      <c r="Z140" s="39" t="n"/>
      <c r="AA140" s="39" t="inlineStr">
        <is>
          <t>✓</t>
        </is>
      </c>
      <c r="AB140" s="39" t="n"/>
      <c r="AC140" s="39" t="n"/>
      <c r="AD140" s="16" t="inlineStr">
        <is>
          <t>ảnh PNG 150x38 (/tthc/login/getCaptcha?&lt;timestamp&gt;), ~5 ký tự chữ thường + số; gọi thẳng URL captcha không qua trang bị WAF chặn ('Request Rejected')</t>
        </is>
      </c>
      <c r="AE140" s="16" t="inlineStr">
        <is>
          <t>Đăng nhập bằng tài khoản Định danh điện tử (VNeID) hoặc Công chức thuế (chọn domain + user + mật khẩu + captcha)</t>
        </is>
      </c>
      <c r="AF140" s="16" t="inlineStr">
        <is>
          <t>Không phải NCC và không có tra cứu HĐ: trang đăng nhập Dịch vụ công Cục Thuế. Chọn 'Thuế điện tử' → Cá nhân/Doanh nghiệp → Tên đăng nhập + Mật khẩu + captcha.</t>
        </is>
      </c>
      <c r="AG140" s="16" t="inlineStr">
        <is>
          <t>https://dichvucong.gdt.gov.vn/tthc/login</t>
        </is>
      </c>
      <c r="AH140" s="1" t="n"/>
      <c r="AI140" s="1" t="n"/>
    </row>
    <row r="141" hidden="1" ht="14.25" customHeight="1">
      <c r="H141" s="1" t="inlineStr">
        <is>
          <t>1. Mã tra cứu</t>
        </is>
      </c>
      <c r="AH141" s="1" t="n"/>
      <c r="AI141" s="1" t="n"/>
    </row>
    <row r="142" ht="14.25" customHeight="1">
      <c r="AH142" s="1" t="n"/>
      <c r="AI142" s="1" t="n"/>
    </row>
    <row r="143" ht="14.25" customHeight="1">
      <c r="AH143" s="1" t="n"/>
      <c r="AI143" s="1" t="n"/>
    </row>
    <row r="144" ht="14.25" customHeight="1">
      <c r="B144" s="1" t="n"/>
      <c r="AH144" s="1" t="n"/>
      <c r="AI144" s="1" t="n"/>
    </row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Z141">
    <filterColumn colId="5" hiddenButton="0" showButton="1">
      <filters>
        <filter val="không có captcha"/>
        <filter val="có captcha"/>
      </filters>
    </filterColumn>
  </autoFilter>
  <dataValidations count="1">
    <dataValidation sqref="H141" showDropDown="0" showInputMessage="0" showErrorMessage="1" allowBlank="1" type="list">
      <formula1>"1. Mã tra cứu,2. Mã tra cứu + Captcha ảnh,3. Mã tra cứu + MST người bán,4. Mã tra cứu + Captcha dạng tích,5. Mã tra cứu + MST người bán + Captcha ảnh,6. Mã tra cứu + MST người bán + Captcha dạng tích,7. Mã tra cứu + MST người bán + Ngày lập + Captcha ảnh,"&amp;"8. Upload XML,9. Mã tra cứu + Captcha khác (slider/hình),10. Mã tra cứu + MST người mua,11. Mã tra cứu + Ngày lập,12. Mã tra cứu + MST người bán + Captcha khác (slider/hình),13. Mã tra cứu + MST người bán + Số HĐ,14. Mã tra cứu + Mã CQT + Captcha ảnh,15. "&amp;"Mã tra cứu + Số HĐ + Captcha dạng tích,16. Mã tra cứu + Mẫu số / Ký hiệu + Số HĐ + Captcha dạng tích,17. MST người bán + Mẫu số / Ký hiệu + Số HĐ + Tổng tiền + Captcha ảnh"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G2" r:id="rId2"/>
    <hyperlink xmlns:r="http://schemas.openxmlformats.org/officeDocument/2006/relationships" ref="E3" r:id="rId3"/>
    <hyperlink xmlns:r="http://schemas.openxmlformats.org/officeDocument/2006/relationships" ref="G3" r:id="rId4"/>
    <hyperlink xmlns:r="http://schemas.openxmlformats.org/officeDocument/2006/relationships" ref="E4" r:id="rId5"/>
    <hyperlink xmlns:r="http://schemas.openxmlformats.org/officeDocument/2006/relationships" ref="G4" r:id="rId6"/>
    <hyperlink xmlns:r="http://schemas.openxmlformats.org/officeDocument/2006/relationships" ref="E5" r:id="rId7"/>
    <hyperlink xmlns:r="http://schemas.openxmlformats.org/officeDocument/2006/relationships" ref="G5" r:id="rId8"/>
    <hyperlink xmlns:r="http://schemas.openxmlformats.org/officeDocument/2006/relationships" ref="M5" r:id="rId9"/>
    <hyperlink xmlns:r="http://schemas.openxmlformats.org/officeDocument/2006/relationships" ref="E6" r:id="rId10"/>
    <hyperlink xmlns:r="http://schemas.openxmlformats.org/officeDocument/2006/relationships" ref="G6" location="/login" r:id="rId11"/>
    <hyperlink xmlns:r="http://schemas.openxmlformats.org/officeDocument/2006/relationships" ref="E7" r:id="rId12"/>
    <hyperlink xmlns:r="http://schemas.openxmlformats.org/officeDocument/2006/relationships" ref="G7" r:id="rId13"/>
    <hyperlink xmlns:r="http://schemas.openxmlformats.org/officeDocument/2006/relationships" ref="E8" location="/tracuuhoadon/tracuu" r:id="rId14"/>
    <hyperlink xmlns:r="http://schemas.openxmlformats.org/officeDocument/2006/relationships" ref="G8" location="/tracuuhoadon/tracuu" r:id="rId15"/>
    <hyperlink xmlns:r="http://schemas.openxmlformats.org/officeDocument/2006/relationships" ref="E9" r:id="rId16"/>
    <hyperlink xmlns:r="http://schemas.openxmlformats.org/officeDocument/2006/relationships" ref="G9" r:id="rId17"/>
    <hyperlink xmlns:r="http://schemas.openxmlformats.org/officeDocument/2006/relationships" ref="M9" r:id="rId18"/>
    <hyperlink xmlns:r="http://schemas.openxmlformats.org/officeDocument/2006/relationships" ref="E10" r:id="rId19"/>
    <hyperlink xmlns:r="http://schemas.openxmlformats.org/officeDocument/2006/relationships" ref="G10" r:id="rId20"/>
    <hyperlink xmlns:r="http://schemas.openxmlformats.org/officeDocument/2006/relationships" ref="E11" r:id="rId21"/>
    <hyperlink xmlns:r="http://schemas.openxmlformats.org/officeDocument/2006/relationships" ref="G11" r:id="rId22"/>
    <hyperlink xmlns:r="http://schemas.openxmlformats.org/officeDocument/2006/relationships" ref="E12" r:id="rId23"/>
    <hyperlink xmlns:r="http://schemas.openxmlformats.org/officeDocument/2006/relationships" ref="G12" r:id="rId24"/>
    <hyperlink xmlns:r="http://schemas.openxmlformats.org/officeDocument/2006/relationships" ref="E13" r:id="rId25"/>
    <hyperlink xmlns:r="http://schemas.openxmlformats.org/officeDocument/2006/relationships" ref="G13" location="/search-xml" r:id="rId26"/>
    <hyperlink xmlns:r="http://schemas.openxmlformats.org/officeDocument/2006/relationships" ref="E14" r:id="rId27"/>
    <hyperlink xmlns:r="http://schemas.openxmlformats.org/officeDocument/2006/relationships" ref="G14" r:id="rId28"/>
    <hyperlink xmlns:r="http://schemas.openxmlformats.org/officeDocument/2006/relationships" ref="E15" r:id="rId29"/>
    <hyperlink xmlns:r="http://schemas.openxmlformats.org/officeDocument/2006/relationships" ref="G15" r:id="rId30"/>
    <hyperlink xmlns:r="http://schemas.openxmlformats.org/officeDocument/2006/relationships" ref="E16" r:id="rId31"/>
    <hyperlink xmlns:r="http://schemas.openxmlformats.org/officeDocument/2006/relationships" ref="E17" r:id="rId32"/>
    <hyperlink xmlns:r="http://schemas.openxmlformats.org/officeDocument/2006/relationships" ref="G17" r:id="rId33"/>
    <hyperlink xmlns:r="http://schemas.openxmlformats.org/officeDocument/2006/relationships" ref="E18" r:id="rId34"/>
    <hyperlink xmlns:r="http://schemas.openxmlformats.org/officeDocument/2006/relationships" ref="E19" r:id="rId35"/>
    <hyperlink xmlns:r="http://schemas.openxmlformats.org/officeDocument/2006/relationships" ref="E20" r:id="rId36"/>
    <hyperlink xmlns:r="http://schemas.openxmlformats.org/officeDocument/2006/relationships" ref="G20" r:id="rId37"/>
    <hyperlink xmlns:r="http://schemas.openxmlformats.org/officeDocument/2006/relationships" ref="E21" r:id="rId38"/>
    <hyperlink xmlns:r="http://schemas.openxmlformats.org/officeDocument/2006/relationships" ref="G21" r:id="rId39"/>
    <hyperlink xmlns:r="http://schemas.openxmlformats.org/officeDocument/2006/relationships" ref="E22" r:id="rId40"/>
    <hyperlink xmlns:r="http://schemas.openxmlformats.org/officeDocument/2006/relationships" ref="G22" r:id="rId41"/>
    <hyperlink xmlns:r="http://schemas.openxmlformats.org/officeDocument/2006/relationships" ref="E23" r:id="rId42"/>
    <hyperlink xmlns:r="http://schemas.openxmlformats.org/officeDocument/2006/relationships" ref="E24" r:id="rId43"/>
    <hyperlink xmlns:r="http://schemas.openxmlformats.org/officeDocument/2006/relationships" ref="G24" r:id="rId44"/>
    <hyperlink xmlns:r="http://schemas.openxmlformats.org/officeDocument/2006/relationships" ref="E25" r:id="rId45"/>
    <hyperlink xmlns:r="http://schemas.openxmlformats.org/officeDocument/2006/relationships" ref="E26" r:id="rId46"/>
    <hyperlink xmlns:r="http://schemas.openxmlformats.org/officeDocument/2006/relationships" ref="E27" r:id="rId47"/>
    <hyperlink xmlns:r="http://schemas.openxmlformats.org/officeDocument/2006/relationships" ref="G27" r:id="rId48"/>
    <hyperlink xmlns:r="http://schemas.openxmlformats.org/officeDocument/2006/relationships" ref="E28" r:id="rId49"/>
    <hyperlink xmlns:r="http://schemas.openxmlformats.org/officeDocument/2006/relationships" ref="G28" r:id="rId50"/>
    <hyperlink xmlns:r="http://schemas.openxmlformats.org/officeDocument/2006/relationships" ref="E29" r:id="rId51"/>
    <hyperlink xmlns:r="http://schemas.openxmlformats.org/officeDocument/2006/relationships" ref="G29" r:id="rId52"/>
    <hyperlink xmlns:r="http://schemas.openxmlformats.org/officeDocument/2006/relationships" ref="E30" r:id="rId53"/>
    <hyperlink xmlns:r="http://schemas.openxmlformats.org/officeDocument/2006/relationships" ref="G30" r:id="rId54"/>
    <hyperlink xmlns:r="http://schemas.openxmlformats.org/officeDocument/2006/relationships" ref="AH30" r:id="rId55"/>
    <hyperlink xmlns:r="http://schemas.openxmlformats.org/officeDocument/2006/relationships" ref="E31" r:id="rId56"/>
    <hyperlink xmlns:r="http://schemas.openxmlformats.org/officeDocument/2006/relationships" ref="G31" r:id="rId57"/>
    <hyperlink xmlns:r="http://schemas.openxmlformats.org/officeDocument/2006/relationships" ref="E32" r:id="rId58"/>
    <hyperlink xmlns:r="http://schemas.openxmlformats.org/officeDocument/2006/relationships" ref="G32" r:id="rId59"/>
    <hyperlink xmlns:r="http://schemas.openxmlformats.org/officeDocument/2006/relationships" ref="E33" r:id="rId60"/>
    <hyperlink xmlns:r="http://schemas.openxmlformats.org/officeDocument/2006/relationships" ref="G33" r:id="rId61"/>
    <hyperlink xmlns:r="http://schemas.openxmlformats.org/officeDocument/2006/relationships" ref="E34" r:id="rId62"/>
    <hyperlink xmlns:r="http://schemas.openxmlformats.org/officeDocument/2006/relationships" ref="G34" r:id="rId63"/>
    <hyperlink xmlns:r="http://schemas.openxmlformats.org/officeDocument/2006/relationships" ref="E35" r:id="rId64"/>
    <hyperlink xmlns:r="http://schemas.openxmlformats.org/officeDocument/2006/relationships" ref="G35" location="/" r:id="rId65"/>
    <hyperlink xmlns:r="http://schemas.openxmlformats.org/officeDocument/2006/relationships" ref="E36" r:id="rId66"/>
    <hyperlink xmlns:r="http://schemas.openxmlformats.org/officeDocument/2006/relationships" ref="G36" r:id="rId67"/>
    <hyperlink xmlns:r="http://schemas.openxmlformats.org/officeDocument/2006/relationships" ref="E37" r:id="rId68"/>
    <hyperlink xmlns:r="http://schemas.openxmlformats.org/officeDocument/2006/relationships" ref="G37" r:id="rId69"/>
    <hyperlink xmlns:r="http://schemas.openxmlformats.org/officeDocument/2006/relationships" ref="J37" r:id="rId70"/>
    <hyperlink xmlns:r="http://schemas.openxmlformats.org/officeDocument/2006/relationships" ref="E38" r:id="rId71"/>
    <hyperlink xmlns:r="http://schemas.openxmlformats.org/officeDocument/2006/relationships" ref="G38" r:id="rId72"/>
    <hyperlink xmlns:r="http://schemas.openxmlformats.org/officeDocument/2006/relationships" ref="E39" r:id="rId73"/>
    <hyperlink xmlns:r="http://schemas.openxmlformats.org/officeDocument/2006/relationships" ref="E40" r:id="rId74"/>
    <hyperlink xmlns:r="http://schemas.openxmlformats.org/officeDocument/2006/relationships" ref="E41" r:id="rId75"/>
    <hyperlink xmlns:r="http://schemas.openxmlformats.org/officeDocument/2006/relationships" ref="G41" r:id="rId76"/>
    <hyperlink xmlns:r="http://schemas.openxmlformats.org/officeDocument/2006/relationships" ref="E42" r:id="rId77"/>
    <hyperlink xmlns:r="http://schemas.openxmlformats.org/officeDocument/2006/relationships" ref="G42" r:id="rId78"/>
    <hyperlink xmlns:r="http://schemas.openxmlformats.org/officeDocument/2006/relationships" ref="E43" r:id="rId79"/>
    <hyperlink xmlns:r="http://schemas.openxmlformats.org/officeDocument/2006/relationships" ref="G43" r:id="rId80"/>
    <hyperlink xmlns:r="http://schemas.openxmlformats.org/officeDocument/2006/relationships" ref="E44" r:id="rId81"/>
    <hyperlink xmlns:r="http://schemas.openxmlformats.org/officeDocument/2006/relationships" ref="G44" r:id="rId82"/>
    <hyperlink xmlns:r="http://schemas.openxmlformats.org/officeDocument/2006/relationships" ref="E45" r:id="rId83"/>
    <hyperlink xmlns:r="http://schemas.openxmlformats.org/officeDocument/2006/relationships" ref="G45" r:id="rId84"/>
    <hyperlink xmlns:r="http://schemas.openxmlformats.org/officeDocument/2006/relationships" ref="E46" r:id="rId85"/>
    <hyperlink xmlns:r="http://schemas.openxmlformats.org/officeDocument/2006/relationships" ref="G46" r:id="rId86"/>
    <hyperlink xmlns:r="http://schemas.openxmlformats.org/officeDocument/2006/relationships" ref="M46" r:id="rId87"/>
    <hyperlink xmlns:r="http://schemas.openxmlformats.org/officeDocument/2006/relationships" ref="E47" r:id="rId88"/>
    <hyperlink xmlns:r="http://schemas.openxmlformats.org/officeDocument/2006/relationships" ref="G47" location="/tracuuhoadon/tracuu" r:id="rId89"/>
    <hyperlink xmlns:r="http://schemas.openxmlformats.org/officeDocument/2006/relationships" ref="J47" r:id="rId90"/>
    <hyperlink xmlns:r="http://schemas.openxmlformats.org/officeDocument/2006/relationships" ref="E48" r:id="rId91"/>
    <hyperlink xmlns:r="http://schemas.openxmlformats.org/officeDocument/2006/relationships" ref="G48" r:id="rId92"/>
    <hyperlink xmlns:r="http://schemas.openxmlformats.org/officeDocument/2006/relationships" ref="E49" r:id="rId93"/>
    <hyperlink xmlns:r="http://schemas.openxmlformats.org/officeDocument/2006/relationships" ref="G49" r:id="rId94"/>
    <hyperlink xmlns:r="http://schemas.openxmlformats.org/officeDocument/2006/relationships" ref="E50" r:id="rId95"/>
    <hyperlink xmlns:r="http://schemas.openxmlformats.org/officeDocument/2006/relationships" ref="G50" location="/tracuuhoadon/tracuu" r:id="rId96"/>
    <hyperlink xmlns:r="http://schemas.openxmlformats.org/officeDocument/2006/relationships" ref="E51" r:id="rId97"/>
    <hyperlink xmlns:r="http://schemas.openxmlformats.org/officeDocument/2006/relationships" ref="E52" r:id="rId98"/>
    <hyperlink xmlns:r="http://schemas.openxmlformats.org/officeDocument/2006/relationships" ref="G52" r:id="rId99"/>
    <hyperlink xmlns:r="http://schemas.openxmlformats.org/officeDocument/2006/relationships" ref="E53" r:id="rId100"/>
    <hyperlink xmlns:r="http://schemas.openxmlformats.org/officeDocument/2006/relationships" ref="E54" r:id="rId101"/>
    <hyperlink xmlns:r="http://schemas.openxmlformats.org/officeDocument/2006/relationships" ref="E55" r:id="rId102"/>
    <hyperlink xmlns:r="http://schemas.openxmlformats.org/officeDocument/2006/relationships" ref="G55" r:id="rId103"/>
    <hyperlink xmlns:r="http://schemas.openxmlformats.org/officeDocument/2006/relationships" ref="E56" r:id="rId104"/>
    <hyperlink xmlns:r="http://schemas.openxmlformats.org/officeDocument/2006/relationships" ref="G56" r:id="rId105"/>
    <hyperlink xmlns:r="http://schemas.openxmlformats.org/officeDocument/2006/relationships" ref="E57" r:id="rId106"/>
    <hyperlink xmlns:r="http://schemas.openxmlformats.org/officeDocument/2006/relationships" ref="G57" r:id="rId107"/>
    <hyperlink xmlns:r="http://schemas.openxmlformats.org/officeDocument/2006/relationships" ref="E58" r:id="rId108"/>
    <hyperlink xmlns:r="http://schemas.openxmlformats.org/officeDocument/2006/relationships" ref="G58" r:id="rId109"/>
    <hyperlink xmlns:r="http://schemas.openxmlformats.org/officeDocument/2006/relationships" ref="E59" r:id="rId110"/>
    <hyperlink xmlns:r="http://schemas.openxmlformats.org/officeDocument/2006/relationships" ref="E60" r:id="rId111"/>
    <hyperlink xmlns:r="http://schemas.openxmlformats.org/officeDocument/2006/relationships" ref="G60" r:id="rId112"/>
    <hyperlink xmlns:r="http://schemas.openxmlformats.org/officeDocument/2006/relationships" ref="E61" r:id="rId113"/>
    <hyperlink xmlns:r="http://schemas.openxmlformats.org/officeDocument/2006/relationships" ref="G61" r:id="rId114"/>
    <hyperlink xmlns:r="http://schemas.openxmlformats.org/officeDocument/2006/relationships" ref="E62" r:id="rId115"/>
    <hyperlink xmlns:r="http://schemas.openxmlformats.org/officeDocument/2006/relationships" ref="E63" r:id="rId116"/>
    <hyperlink xmlns:r="http://schemas.openxmlformats.org/officeDocument/2006/relationships" ref="G63" r:id="rId117"/>
    <hyperlink xmlns:r="http://schemas.openxmlformats.org/officeDocument/2006/relationships" ref="E64" r:id="rId118"/>
    <hyperlink xmlns:r="http://schemas.openxmlformats.org/officeDocument/2006/relationships" ref="E65" r:id="rId119"/>
    <hyperlink xmlns:r="http://schemas.openxmlformats.org/officeDocument/2006/relationships" ref="G65" r:id="rId120"/>
    <hyperlink xmlns:r="http://schemas.openxmlformats.org/officeDocument/2006/relationships" ref="E66" r:id="rId121"/>
    <hyperlink xmlns:r="http://schemas.openxmlformats.org/officeDocument/2006/relationships" ref="G66" r:id="rId122"/>
    <hyperlink xmlns:r="http://schemas.openxmlformats.org/officeDocument/2006/relationships" ref="E67" r:id="rId123"/>
    <hyperlink xmlns:r="http://schemas.openxmlformats.org/officeDocument/2006/relationships" ref="G67" r:id="rId124"/>
    <hyperlink xmlns:r="http://schemas.openxmlformats.org/officeDocument/2006/relationships" ref="E68" r:id="rId125"/>
    <hyperlink xmlns:r="http://schemas.openxmlformats.org/officeDocument/2006/relationships" ref="G68" r:id="rId126"/>
    <hyperlink xmlns:r="http://schemas.openxmlformats.org/officeDocument/2006/relationships" ref="E69" r:id="rId127"/>
    <hyperlink xmlns:r="http://schemas.openxmlformats.org/officeDocument/2006/relationships" ref="G69" r:id="rId128"/>
    <hyperlink xmlns:r="http://schemas.openxmlformats.org/officeDocument/2006/relationships" ref="E70" r:id="rId129"/>
    <hyperlink xmlns:r="http://schemas.openxmlformats.org/officeDocument/2006/relationships" ref="E71" r:id="rId130"/>
    <hyperlink xmlns:r="http://schemas.openxmlformats.org/officeDocument/2006/relationships" ref="G71" r:id="rId131"/>
    <hyperlink xmlns:r="http://schemas.openxmlformats.org/officeDocument/2006/relationships" ref="E72" r:id="rId132"/>
    <hyperlink xmlns:r="http://schemas.openxmlformats.org/officeDocument/2006/relationships" ref="G72" r:id="rId133"/>
    <hyperlink xmlns:r="http://schemas.openxmlformats.org/officeDocument/2006/relationships" ref="E73" r:id="rId134"/>
    <hyperlink xmlns:r="http://schemas.openxmlformats.org/officeDocument/2006/relationships" ref="G73" r:id="rId135"/>
    <hyperlink xmlns:r="http://schemas.openxmlformats.org/officeDocument/2006/relationships" ref="E74" r:id="rId136"/>
    <hyperlink xmlns:r="http://schemas.openxmlformats.org/officeDocument/2006/relationships" ref="G74" r:id="rId137"/>
    <hyperlink xmlns:r="http://schemas.openxmlformats.org/officeDocument/2006/relationships" ref="E75" r:id="rId138"/>
    <hyperlink xmlns:r="http://schemas.openxmlformats.org/officeDocument/2006/relationships" ref="E76" r:id="rId139"/>
    <hyperlink xmlns:r="http://schemas.openxmlformats.org/officeDocument/2006/relationships" ref="G76" location="TraCuu" r:id="rId140"/>
    <hyperlink xmlns:r="http://schemas.openxmlformats.org/officeDocument/2006/relationships" ref="E77" r:id="rId141"/>
    <hyperlink xmlns:r="http://schemas.openxmlformats.org/officeDocument/2006/relationships" ref="E78" r:id="rId142"/>
    <hyperlink xmlns:r="http://schemas.openxmlformats.org/officeDocument/2006/relationships" ref="E79" r:id="rId143"/>
    <hyperlink xmlns:r="http://schemas.openxmlformats.org/officeDocument/2006/relationships" ref="G79" r:id="rId144"/>
    <hyperlink xmlns:r="http://schemas.openxmlformats.org/officeDocument/2006/relationships" ref="E80" r:id="rId145"/>
    <hyperlink xmlns:r="http://schemas.openxmlformats.org/officeDocument/2006/relationships" ref="G80" r:id="rId146"/>
    <hyperlink xmlns:r="http://schemas.openxmlformats.org/officeDocument/2006/relationships" ref="J80" r:id="rId147"/>
    <hyperlink xmlns:r="http://schemas.openxmlformats.org/officeDocument/2006/relationships" ref="E81" r:id="rId148"/>
    <hyperlink xmlns:r="http://schemas.openxmlformats.org/officeDocument/2006/relationships" ref="G81" r:id="rId149"/>
    <hyperlink xmlns:r="http://schemas.openxmlformats.org/officeDocument/2006/relationships" ref="E82" r:id="rId150"/>
    <hyperlink xmlns:r="http://schemas.openxmlformats.org/officeDocument/2006/relationships" ref="E83" r:id="rId151"/>
    <hyperlink xmlns:r="http://schemas.openxmlformats.org/officeDocument/2006/relationships" ref="G83" r:id="rId152"/>
    <hyperlink xmlns:r="http://schemas.openxmlformats.org/officeDocument/2006/relationships" ref="E84" r:id="rId153"/>
    <hyperlink xmlns:r="http://schemas.openxmlformats.org/officeDocument/2006/relationships" ref="G84" location="/" r:id="rId154"/>
    <hyperlink xmlns:r="http://schemas.openxmlformats.org/officeDocument/2006/relationships" ref="E85" r:id="rId155"/>
    <hyperlink xmlns:r="http://schemas.openxmlformats.org/officeDocument/2006/relationships" ref="E86" r:id="rId156"/>
    <hyperlink xmlns:r="http://schemas.openxmlformats.org/officeDocument/2006/relationships" ref="G86" r:id="rId157"/>
    <hyperlink xmlns:r="http://schemas.openxmlformats.org/officeDocument/2006/relationships" ref="E87" r:id="rId158"/>
    <hyperlink xmlns:r="http://schemas.openxmlformats.org/officeDocument/2006/relationships" ref="G87" r:id="rId159"/>
    <hyperlink xmlns:r="http://schemas.openxmlformats.org/officeDocument/2006/relationships" ref="E88" r:id="rId160"/>
    <hyperlink xmlns:r="http://schemas.openxmlformats.org/officeDocument/2006/relationships" ref="E89" r:id="rId161"/>
    <hyperlink xmlns:r="http://schemas.openxmlformats.org/officeDocument/2006/relationships" ref="G89" r:id="rId162"/>
    <hyperlink xmlns:r="http://schemas.openxmlformats.org/officeDocument/2006/relationships" ref="E90" r:id="rId163"/>
    <hyperlink xmlns:r="http://schemas.openxmlformats.org/officeDocument/2006/relationships" ref="G90" location="/" r:id="rId164"/>
    <hyperlink xmlns:r="http://schemas.openxmlformats.org/officeDocument/2006/relationships" ref="E91" r:id="rId165"/>
    <hyperlink xmlns:r="http://schemas.openxmlformats.org/officeDocument/2006/relationships" ref="E92" r:id="rId166"/>
    <hyperlink xmlns:r="http://schemas.openxmlformats.org/officeDocument/2006/relationships" ref="G92" r:id="rId167"/>
    <hyperlink xmlns:r="http://schemas.openxmlformats.org/officeDocument/2006/relationships" ref="E93" r:id="rId168"/>
    <hyperlink xmlns:r="http://schemas.openxmlformats.org/officeDocument/2006/relationships" ref="G93" r:id="rId169"/>
    <hyperlink xmlns:r="http://schemas.openxmlformats.org/officeDocument/2006/relationships" ref="E94" r:id="rId170"/>
    <hyperlink xmlns:r="http://schemas.openxmlformats.org/officeDocument/2006/relationships" ref="E95" r:id="rId171"/>
    <hyperlink xmlns:r="http://schemas.openxmlformats.org/officeDocument/2006/relationships" ref="E96" r:id="rId172"/>
    <hyperlink xmlns:r="http://schemas.openxmlformats.org/officeDocument/2006/relationships" ref="G96" r:id="rId173"/>
    <hyperlink xmlns:r="http://schemas.openxmlformats.org/officeDocument/2006/relationships" ref="E97" r:id="rId174"/>
    <hyperlink xmlns:r="http://schemas.openxmlformats.org/officeDocument/2006/relationships" ref="G97" r:id="rId175"/>
    <hyperlink xmlns:r="http://schemas.openxmlformats.org/officeDocument/2006/relationships" ref="E98" r:id="rId176"/>
    <hyperlink xmlns:r="http://schemas.openxmlformats.org/officeDocument/2006/relationships" ref="E99" r:id="rId177"/>
    <hyperlink xmlns:r="http://schemas.openxmlformats.org/officeDocument/2006/relationships" ref="G99" r:id="rId178"/>
    <hyperlink xmlns:r="http://schemas.openxmlformats.org/officeDocument/2006/relationships" ref="E100" r:id="rId179"/>
    <hyperlink xmlns:r="http://schemas.openxmlformats.org/officeDocument/2006/relationships" ref="E101" r:id="rId180"/>
    <hyperlink xmlns:r="http://schemas.openxmlformats.org/officeDocument/2006/relationships" ref="E102" r:id="rId181"/>
    <hyperlink xmlns:r="http://schemas.openxmlformats.org/officeDocument/2006/relationships" ref="G102" location="/" r:id="rId182"/>
    <hyperlink xmlns:r="http://schemas.openxmlformats.org/officeDocument/2006/relationships" ref="E103" r:id="rId183"/>
    <hyperlink xmlns:r="http://schemas.openxmlformats.org/officeDocument/2006/relationships" ref="G103" r:id="rId184"/>
    <hyperlink xmlns:r="http://schemas.openxmlformats.org/officeDocument/2006/relationships" ref="E104" r:id="rId185"/>
    <hyperlink xmlns:r="http://schemas.openxmlformats.org/officeDocument/2006/relationships" ref="G104" r:id="rId186"/>
    <hyperlink xmlns:r="http://schemas.openxmlformats.org/officeDocument/2006/relationships" ref="E105" r:id="rId187"/>
    <hyperlink xmlns:r="http://schemas.openxmlformats.org/officeDocument/2006/relationships" ref="G105" r:id="rId188"/>
    <hyperlink xmlns:r="http://schemas.openxmlformats.org/officeDocument/2006/relationships" ref="E106" r:id="rId189"/>
    <hyperlink xmlns:r="http://schemas.openxmlformats.org/officeDocument/2006/relationships" ref="G106" r:id="rId190"/>
    <hyperlink xmlns:r="http://schemas.openxmlformats.org/officeDocument/2006/relationships" ref="E107" r:id="rId191"/>
    <hyperlink xmlns:r="http://schemas.openxmlformats.org/officeDocument/2006/relationships" ref="G107" r:id="rId192"/>
    <hyperlink xmlns:r="http://schemas.openxmlformats.org/officeDocument/2006/relationships" ref="E108" r:id="rId193"/>
    <hyperlink xmlns:r="http://schemas.openxmlformats.org/officeDocument/2006/relationships" ref="G108" r:id="rId194"/>
    <hyperlink xmlns:r="http://schemas.openxmlformats.org/officeDocument/2006/relationships" ref="E109" r:id="rId195"/>
    <hyperlink xmlns:r="http://schemas.openxmlformats.org/officeDocument/2006/relationships" ref="G109" r:id="rId196"/>
    <hyperlink xmlns:r="http://schemas.openxmlformats.org/officeDocument/2006/relationships" ref="E110" r:id="rId197"/>
    <hyperlink xmlns:r="http://schemas.openxmlformats.org/officeDocument/2006/relationships" ref="G110" r:id="rId198"/>
    <hyperlink xmlns:r="http://schemas.openxmlformats.org/officeDocument/2006/relationships" ref="E111" r:id="rId199"/>
    <hyperlink xmlns:r="http://schemas.openxmlformats.org/officeDocument/2006/relationships" ref="G111" r:id="rId200"/>
    <hyperlink xmlns:r="http://schemas.openxmlformats.org/officeDocument/2006/relationships" ref="E112" r:id="rId201"/>
    <hyperlink xmlns:r="http://schemas.openxmlformats.org/officeDocument/2006/relationships" ref="G112" r:id="rId202"/>
    <hyperlink xmlns:r="http://schemas.openxmlformats.org/officeDocument/2006/relationships" ref="E113" r:id="rId203"/>
    <hyperlink xmlns:r="http://schemas.openxmlformats.org/officeDocument/2006/relationships" ref="E114" r:id="rId204"/>
    <hyperlink xmlns:r="http://schemas.openxmlformats.org/officeDocument/2006/relationships" ref="G114" r:id="rId205"/>
    <hyperlink xmlns:r="http://schemas.openxmlformats.org/officeDocument/2006/relationships" ref="E115" r:id="rId206"/>
    <hyperlink xmlns:r="http://schemas.openxmlformats.org/officeDocument/2006/relationships" ref="G115" r:id="rId207"/>
    <hyperlink xmlns:r="http://schemas.openxmlformats.org/officeDocument/2006/relationships" ref="E116" r:id="rId208"/>
    <hyperlink xmlns:r="http://schemas.openxmlformats.org/officeDocument/2006/relationships" ref="E117" r:id="rId209"/>
    <hyperlink xmlns:r="http://schemas.openxmlformats.org/officeDocument/2006/relationships" ref="G117" r:id="rId210"/>
    <hyperlink xmlns:r="http://schemas.openxmlformats.org/officeDocument/2006/relationships" ref="E118" r:id="rId211"/>
    <hyperlink xmlns:r="http://schemas.openxmlformats.org/officeDocument/2006/relationships" ref="G118" r:id="rId212"/>
    <hyperlink xmlns:r="http://schemas.openxmlformats.org/officeDocument/2006/relationships" ref="E119" r:id="rId213"/>
    <hyperlink xmlns:r="http://schemas.openxmlformats.org/officeDocument/2006/relationships" ref="G119" r:id="rId214"/>
    <hyperlink xmlns:r="http://schemas.openxmlformats.org/officeDocument/2006/relationships" ref="E120" r:id="rId215"/>
    <hyperlink xmlns:r="http://schemas.openxmlformats.org/officeDocument/2006/relationships" ref="G120" r:id="rId216"/>
    <hyperlink xmlns:r="http://schemas.openxmlformats.org/officeDocument/2006/relationships" ref="E121" r:id="rId217"/>
    <hyperlink xmlns:r="http://schemas.openxmlformats.org/officeDocument/2006/relationships" ref="E122" r:id="rId218"/>
    <hyperlink xmlns:r="http://schemas.openxmlformats.org/officeDocument/2006/relationships" ref="E123" r:id="rId219"/>
    <hyperlink xmlns:r="http://schemas.openxmlformats.org/officeDocument/2006/relationships" ref="G123" r:id="rId220"/>
    <hyperlink xmlns:r="http://schemas.openxmlformats.org/officeDocument/2006/relationships" ref="E124" r:id="rId221"/>
    <hyperlink xmlns:r="http://schemas.openxmlformats.org/officeDocument/2006/relationships" ref="G124" r:id="rId222"/>
    <hyperlink xmlns:r="http://schemas.openxmlformats.org/officeDocument/2006/relationships" ref="E125" r:id="rId223"/>
    <hyperlink xmlns:r="http://schemas.openxmlformats.org/officeDocument/2006/relationships" ref="G125" r:id="rId224"/>
    <hyperlink xmlns:r="http://schemas.openxmlformats.org/officeDocument/2006/relationships" ref="E126" r:id="rId225"/>
    <hyperlink xmlns:r="http://schemas.openxmlformats.org/officeDocument/2006/relationships" ref="E127" r:id="rId226"/>
    <hyperlink xmlns:r="http://schemas.openxmlformats.org/officeDocument/2006/relationships" ref="G127" r:id="rId227"/>
    <hyperlink xmlns:r="http://schemas.openxmlformats.org/officeDocument/2006/relationships" ref="E128" r:id="rId228"/>
    <hyperlink xmlns:r="http://schemas.openxmlformats.org/officeDocument/2006/relationships" ref="G128" r:id="rId229"/>
    <hyperlink xmlns:r="http://schemas.openxmlformats.org/officeDocument/2006/relationships" ref="E129" r:id="rId230"/>
    <hyperlink xmlns:r="http://schemas.openxmlformats.org/officeDocument/2006/relationships" ref="G129" r:id="rId231"/>
    <hyperlink xmlns:r="http://schemas.openxmlformats.org/officeDocument/2006/relationships" ref="E130" r:id="rId232"/>
    <hyperlink xmlns:r="http://schemas.openxmlformats.org/officeDocument/2006/relationships" ref="G130" r:id="rId233"/>
    <hyperlink xmlns:r="http://schemas.openxmlformats.org/officeDocument/2006/relationships" ref="E131" r:id="rId234"/>
    <hyperlink xmlns:r="http://schemas.openxmlformats.org/officeDocument/2006/relationships" ref="G131" r:id="rId235"/>
    <hyperlink xmlns:r="http://schemas.openxmlformats.org/officeDocument/2006/relationships" ref="E132" r:id="rId236"/>
    <hyperlink xmlns:r="http://schemas.openxmlformats.org/officeDocument/2006/relationships" ref="G132" r:id="rId237"/>
    <hyperlink xmlns:r="http://schemas.openxmlformats.org/officeDocument/2006/relationships" ref="E133" r:id="rId238"/>
    <hyperlink xmlns:r="http://schemas.openxmlformats.org/officeDocument/2006/relationships" ref="G133" r:id="rId239"/>
    <hyperlink xmlns:r="http://schemas.openxmlformats.org/officeDocument/2006/relationships" ref="E134" r:id="rId240"/>
    <hyperlink xmlns:r="http://schemas.openxmlformats.org/officeDocument/2006/relationships" ref="E135" r:id="rId241"/>
    <hyperlink xmlns:r="http://schemas.openxmlformats.org/officeDocument/2006/relationships" ref="G135" r:id="rId242"/>
    <hyperlink xmlns:r="http://schemas.openxmlformats.org/officeDocument/2006/relationships" ref="E136" r:id="rId243"/>
    <hyperlink xmlns:r="http://schemas.openxmlformats.org/officeDocument/2006/relationships" ref="E137" r:id="rId244"/>
    <hyperlink xmlns:r="http://schemas.openxmlformats.org/officeDocument/2006/relationships" ref="G137" r:id="rId245"/>
    <hyperlink xmlns:r="http://schemas.openxmlformats.org/officeDocument/2006/relationships" ref="D139" location="/tracuuhoadon/tracuu" r:id="rId246"/>
    <hyperlink xmlns:r="http://schemas.openxmlformats.org/officeDocument/2006/relationships" ref="G139" r:id="rId247"/>
    <hyperlink xmlns:r="http://schemas.openxmlformats.org/officeDocument/2006/relationships" ref="E140" r:id="rId248"/>
    <hyperlink xmlns:r="http://schemas.openxmlformats.org/officeDocument/2006/relationships" ref="G140" r:id="rId249"/>
  </hyperlink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ColWidth="14.453125" defaultRowHeight="15" customHeight="1"/>
  <cols>
    <col width="14.453125" customWidth="1" min="1" max="6"/>
  </cols>
  <sheetData>
    <row r="1" ht="14.25" customHeight="1">
      <c r="A1" s="1" t="inlineStr">
        <is>
          <t>1. https://tracuutvan.einvoice.com.vn/DefaultCaptcha/Generate?t=d97f70199dad4971ba679fea12571081</t>
        </is>
      </c>
    </row>
    <row r="2" ht="14.25" customHeight="1">
      <c r="A2" s="1" t="inlineStr">
        <is>
          <t>2. https://tax24.com.vn/einvoice/servlet/ImageServlet</t>
        </is>
      </c>
    </row>
    <row r="3" ht="14.25" customHeight="1">
      <c r="A3" s="1" t="inlineStr">
        <is>
          <t>3. https://asiainvoice.vn/tra-cuu/GetCaptcha</t>
        </is>
      </c>
    </row>
    <row r="4" ht="14.25" customHeight="1">
      <c r="A4" s="1" t="inlineStr">
        <is>
          <t>4. https://tracuu.vin-hoadon.com/api/services/hddt/TraCuuHoaDon/RefreshCaptcha</t>
        </is>
      </c>
    </row>
    <row r="5" ht="14.25" customHeight="1">
      <c r="A5" s="1" t="inlineStr">
        <is>
          <t>5. https://gateway-hst.vnpt-invoice.com.vn/admin/api/share/get-captcha?width=120&amp;height=40</t>
        </is>
      </c>
    </row>
    <row r="6" ht="14.25" customHeight="1">
      <c r="A6" s="1" t="inlineStr">
        <is>
          <t>6. https://gateway.v50.vninvoice.vn/api/portal/PortalApiService/captcha</t>
        </is>
      </c>
    </row>
    <row r="7" ht="14.25" customHeight="1">
      <c r="A7" s="1" t="inlineStr">
        <is>
          <t>7. https://tracuuhd.smartsign.com.vn/Pages/CImage.aspx</t>
        </is>
      </c>
    </row>
    <row r="8" ht="14.25" customHeight="1">
      <c r="A8" s="1" t="inlineStr">
        <is>
          <t>8. https://tracuu.hoadon30s.vn/load-capcha</t>
        </is>
      </c>
    </row>
    <row r="9" ht="14.25" customHeight="1">
      <c r="A9" s="1" t="inlineStr">
        <is>
          <t>9. https://bill2app.xcyber.vn/api/services/hddt/TraCuuHoaDon/RefreshCaptcha</t>
        </is>
      </c>
    </row>
    <row r="10" ht="14.25" customHeight="1">
      <c r="A10" s="1" t="inlineStr">
        <is>
          <t>10. https://ls-invoiceapp.lienson.vn/api/services/hddt/TraCuuHoaDon/RefreshCaptcha</t>
        </is>
      </c>
    </row>
    <row r="11" ht="14.25" customHeight="1">
      <c r="A11" s="1" t="inlineStr">
        <is>
          <t>11. https://gateway.v50.vninvoice.vn/api/portal/PortalApiService/captcha</t>
        </is>
      </c>
    </row>
    <row r="12" ht="14.25" customHeight="1">
      <c r="A12" s="1" t="inlineStr">
        <is>
          <t>12. https://vdsg-invoice.vn/Account/BotDetectCaptcha.ashx?get=image&amp;c=ExampleCaptcha&amp;t=36ca3be89b7444c79c92cf2ec4782d9d&amp;d=1791317293269</t>
        </is>
      </c>
    </row>
    <row r="13" ht="14.25" customHeight="1">
      <c r="A13" s="1" t="inlineStr">
        <is>
          <t>13. https://lacviet.hdtt.vn/api/Invoice/get-captcha-image?key=45dacb95-b450-4457-dbb0-b5d2f1efe251&amp;v=1791342529614</t>
        </is>
      </c>
    </row>
    <row r="14" ht="14.25" customHeight="1">
      <c r="A14" s="1" t="inlineStr">
        <is>
          <t>14. https://api.wetax.com.vn/api/wtx/ca/v1/lookup/captcha</t>
        </is>
      </c>
    </row>
    <row r="15" ht="14.25" customHeight="1">
      <c r="A15" s="1" t="inlineStr">
        <is>
          <t>15. https://chanel-eportal.cloudteam.vn/refreshcaptcha + https://chanel-eportal.cloudteam.vn/captcha/flat?LlZmkuoj</t>
        </is>
      </c>
    </row>
    <row r="16" ht="14.25" customHeight="1">
      <c r="A16" s="1" t="inlineStr">
        <is>
          <t>16. https://0109045760hd.easyinvoice.vn/Captcha/Show</t>
        </is>
      </c>
    </row>
    <row r="17" ht="14.25" customHeight="1">
      <c r="A17" s="1" t="inlineStr">
        <is>
          <t>17. https://hoadon.pvoil.vn/Captcha/Show</t>
        </is>
      </c>
    </row>
    <row r="18" ht="14.25" customHeight="1">
      <c r="A18" s="1" t="inlineStr">
        <is>
          <t>18. https://bill2app.xcyber.vn/api/services/hddt/TraCuuHoaDon/RefreshCaptcha</t>
        </is>
      </c>
    </row>
    <row r="19" ht="14.25" customHeight="1">
      <c r="A19" s="1" t="inlineStr">
        <is>
          <t>19. https://hoadondientu.gdt.gov.vn/api/captcha</t>
        </is>
      </c>
    </row>
    <row r="20" ht="14.25" customHeight="1">
      <c r="A20" s="1" t="inlineStr">
        <is>
          <t>20. https://tracuuonline.ngogiaphat.vn/</t>
        </is>
      </c>
    </row>
    <row r="21" ht="14.25" customHeight="1">
      <c r="A21" s="1" t="inlineStr">
        <is>
          <t>21. https://tracuu.easyinvoice.vn/Captcha/Show</t>
        </is>
      </c>
    </row>
    <row r="22" ht="14.25" customHeight="1">
      <c r="A22" s="12" t="inlineStr">
        <is>
          <t>22. https://www.bitware.vn/tracuuhoadon/captcha/image/565360b73037ec023deb6be3801aa58ea7fede16/</t>
        </is>
      </c>
    </row>
    <row r="23" ht="14.25" customHeight="1">
      <c r="A23" s="1" t="inlineStr">
        <is>
          <t>23. https://dichvucong.gdt.gov.vn/tthc/login/getCaptcha?1791513055506</t>
        </is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xmlns:r="http://schemas.openxmlformats.org/officeDocument/2006/relationships" ref="A22" r:id="rId1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I293"/>
  <sheetViews>
    <sheetView workbookViewId="0">
      <selection activeCell="A1" sqref="A1"/>
    </sheetView>
  </sheetViews>
  <sheetFormatPr baseColWidth="8" defaultColWidth="14.453125" defaultRowHeight="15" customHeight="1"/>
  <cols>
    <col width="14.453125" customWidth="1" min="1" max="1"/>
    <col width="36.08984375" customWidth="1" min="2" max="2"/>
    <col width="47.453125" customWidth="1" min="3" max="3"/>
    <col width="48.08984375" customWidth="1" min="4" max="4"/>
    <col width="56.26953125" customWidth="1" min="5" max="5"/>
    <col width="11.54296875" customWidth="1" min="6" max="6"/>
    <col width="16.26953125" customWidth="1" min="9" max="9"/>
  </cols>
  <sheetData>
    <row r="1" ht="14.5" customHeight="1">
      <c r="A1" s="4" t="inlineStr">
        <is>
          <t>Phase</t>
        </is>
      </c>
      <c r="B1" s="4" t="inlineStr">
        <is>
          <t>Nội dung</t>
        </is>
      </c>
      <c r="C1" s="4" t="inlineStr">
        <is>
          <t>Nội dung</t>
        </is>
      </c>
      <c r="D1" s="4" t="inlineStr">
        <is>
          <t>Mốc hoàn thành</t>
        </is>
      </c>
      <c r="E1" s="4" t="inlineStr">
        <is>
          <t>Company</t>
        </is>
      </c>
      <c r="F1" s="9" t="inlineStr">
        <is>
          <t>Taxcode</t>
        </is>
      </c>
      <c r="G1" s="9" t="inlineStr">
        <is>
          <t>From Date</t>
        </is>
      </c>
      <c r="H1" s="9" t="inlineStr">
        <is>
          <t>To Date</t>
        </is>
      </c>
      <c r="I1" s="9" t="inlineStr">
        <is>
          <t>Status</t>
        </is>
      </c>
    </row>
    <row r="2" ht="14.5" customHeight="1">
      <c r="A2" s="94" t="inlineStr">
        <is>
          <t>P0</t>
        </is>
      </c>
      <c r="B2" s="92" t="inlineStr">
        <is>
          <t>Training Captcha cho Công ty cung cấp hóa đơn điện tử</t>
        </is>
      </c>
      <c r="C2" s="92" t="inlineStr">
        <is>
          <t>Lấy mẫu captcha trong link tra cứu của các công ty rồi đêm về training cho AI để sau này phục vụ lấy và xử lý dữ liệu</t>
        </is>
      </c>
      <c r="D2" s="95" t="inlineStr">
        <is>
          <t xml:space="preserve">Hoàn thành (&gt; 90%): 12/23
Đang training: 2/23 (Thái Sơn, VNInvoice)
Còn lại: 9/23
</t>
        </is>
      </c>
      <c r="E2" s="13" t="inlineStr">
        <is>
          <t>Công ty Cổ phần Đầu tư công nghệ và thương mại Softdreams</t>
        </is>
      </c>
      <c r="F2" s="14" t="inlineStr">
        <is>
          <t>0105987432</t>
        </is>
      </c>
      <c r="G2" s="15" t="n">
        <v>46307</v>
      </c>
      <c r="H2" s="15" t="n">
        <v>46311</v>
      </c>
      <c r="I2" s="16" t="inlineStr">
        <is>
          <t>Hoàn thành</t>
        </is>
      </c>
    </row>
    <row r="3" ht="14.5" customHeight="1">
      <c r="A3" s="90" t="n"/>
      <c r="B3" s="90" t="n"/>
      <c r="C3" s="90" t="n"/>
      <c r="D3" s="90" t="n"/>
      <c r="E3" s="17" t="inlineStr">
        <is>
          <t>Công ty Cổ phần CyberLotus</t>
        </is>
      </c>
      <c r="F3" s="14" t="inlineStr">
        <is>
          <t>0105232093</t>
        </is>
      </c>
      <c r="G3" s="15" t="n">
        <v>46300</v>
      </c>
      <c r="H3" s="15" t="n">
        <v>46304</v>
      </c>
      <c r="I3" s="16" t="inlineStr">
        <is>
          <t>Hoàn thành</t>
        </is>
      </c>
    </row>
    <row r="4" ht="14.5" customHeight="1">
      <c r="A4" s="90" t="n"/>
      <c r="B4" s="90" t="n"/>
      <c r="C4" s="90" t="n"/>
      <c r="D4" s="90" t="n"/>
      <c r="E4" s="13" t="inlineStr">
        <is>
          <t>Công ty TNHH Giải pháp công nghệ Ngô Gia Phát</t>
        </is>
      </c>
      <c r="F4" s="14" t="inlineStr">
        <is>
          <t>0311942758</t>
        </is>
      </c>
      <c r="G4" s="15" t="n">
        <v>46300</v>
      </c>
      <c r="H4" s="19" t="n">
        <v>46300</v>
      </c>
      <c r="I4" s="21" t="n">
        <v>46326</v>
      </c>
    </row>
    <row r="5" ht="14.5" customHeight="1">
      <c r="A5" s="90" t="n"/>
      <c r="B5" s="90" t="n"/>
      <c r="C5" s="90" t="n"/>
      <c r="D5" s="90" t="n"/>
      <c r="E5" s="13" t="inlineStr">
        <is>
          <t>Công ty Cổ phần Megabiz Việt Nam</t>
        </is>
      </c>
      <c r="F5" s="14" t="inlineStr">
        <is>
          <t>0105844836</t>
        </is>
      </c>
      <c r="G5" s="15" t="n">
        <v>46300</v>
      </c>
      <c r="H5" s="15" t="n">
        <v>46304</v>
      </c>
      <c r="I5" s="16" t="inlineStr">
        <is>
          <t>Hoàn thành</t>
        </is>
      </c>
    </row>
    <row r="6" ht="14.5" customHeight="1">
      <c r="A6" s="90" t="n"/>
      <c r="B6" s="90" t="n"/>
      <c r="C6" s="90" t="n"/>
      <c r="D6" s="90" t="n"/>
      <c r="E6" s="13" t="inlineStr">
        <is>
          <t>Công ty TNHH Phát triển công nghệ Thái Sơn</t>
        </is>
      </c>
      <c r="F6" s="14" t="inlineStr">
        <is>
          <t>0101300842</t>
        </is>
      </c>
      <c r="G6" s="22" t="n">
        <v>46314</v>
      </c>
      <c r="H6" s="24" t="n">
        <v>46318</v>
      </c>
      <c r="I6" s="25" t="inlineStr">
        <is>
          <t>Đang training</t>
        </is>
      </c>
    </row>
    <row r="7" ht="14.5" customHeight="1">
      <c r="A7" s="90" t="n"/>
      <c r="B7" s="90" t="n"/>
      <c r="C7" s="90" t="n"/>
      <c r="D7" s="90" t="n"/>
      <c r="E7" s="13" t="inlineStr">
        <is>
          <t>Công ty Cổ phần Công nghệ thông tin Đông Nam Á</t>
        </is>
      </c>
      <c r="F7" s="14" t="inlineStr">
        <is>
          <t>0102454468</t>
        </is>
      </c>
      <c r="G7" s="15" t="n">
        <v>46307</v>
      </c>
      <c r="H7" s="15" t="n">
        <v>46311</v>
      </c>
      <c r="I7" s="16" t="inlineStr">
        <is>
          <t>Hoàn thành</t>
        </is>
      </c>
    </row>
    <row r="8" ht="14.5" customHeight="1">
      <c r="A8" s="90" t="n"/>
      <c r="B8" s="90" t="n"/>
      <c r="C8" s="90" t="n"/>
      <c r="D8" s="90" t="n"/>
      <c r="E8" s="13" t="inlineStr">
        <is>
          <t>Công ty Cổ phần phát triển phần mềm ASIA</t>
        </is>
      </c>
      <c r="F8" s="14" t="inlineStr">
        <is>
          <t>0101162173</t>
        </is>
      </c>
      <c r="G8" s="15" t="n">
        <v>46300</v>
      </c>
      <c r="H8" s="19" t="n">
        <v>46300</v>
      </c>
      <c r="I8" s="21" t="n">
        <v>46326</v>
      </c>
    </row>
    <row r="9" ht="14.5" customHeight="1">
      <c r="A9" s="90" t="n"/>
      <c r="B9" s="90" t="n"/>
      <c r="C9" s="90" t="n"/>
      <c r="D9" s="90" t="n"/>
      <c r="E9" s="13" t="inlineStr">
        <is>
          <t>Công ty Cổ phần thương mại Visnam</t>
        </is>
      </c>
      <c r="F9" s="14" t="inlineStr">
        <is>
          <t>0401486901</t>
        </is>
      </c>
      <c r="G9" s="15" t="n">
        <v>46307</v>
      </c>
      <c r="H9" s="15" t="n">
        <v>46311</v>
      </c>
      <c r="I9" s="16" t="inlineStr">
        <is>
          <t>Hoàn thành</t>
        </is>
      </c>
    </row>
    <row r="10" ht="14.5" customHeight="1">
      <c r="A10" s="90" t="n"/>
      <c r="B10" s="90" t="n"/>
      <c r="C10" s="90" t="n"/>
      <c r="D10" s="90" t="n"/>
      <c r="E10" s="13" t="inlineStr">
        <is>
          <t>Tập Đoàn Bưu chính viễn thông Việt Nam</t>
        </is>
      </c>
      <c r="F10" s="14" t="inlineStr">
        <is>
          <t>0100684378</t>
        </is>
      </c>
      <c r="G10" s="15" t="n">
        <v>46308</v>
      </c>
      <c r="H10" s="15" t="n">
        <v>46309</v>
      </c>
      <c r="I10" s="16" t="inlineStr">
        <is>
          <t>Hoàn thành</t>
        </is>
      </c>
    </row>
    <row r="11" ht="14.5" customHeight="1">
      <c r="A11" s="90" t="n"/>
      <c r="B11" s="90" t="n"/>
      <c r="C11" s="90" t="n"/>
      <c r="D11" s="90" t="n"/>
      <c r="E11" s="13" t="inlineStr">
        <is>
          <t>Công ty Cổ phần Giải pháp hóa đơn điện tử Việt Nam</t>
        </is>
      </c>
      <c r="F11" s="14" t="inlineStr">
        <is>
          <t>0101352495</t>
        </is>
      </c>
      <c r="G11" s="15" t="n">
        <v>46311</v>
      </c>
      <c r="H11" s="19" t="n">
        <v>46315</v>
      </c>
      <c r="I11" s="25" t="inlineStr">
        <is>
          <t>Đang training</t>
        </is>
      </c>
    </row>
    <row r="12" ht="14.5" customHeight="1">
      <c r="A12" s="90" t="n"/>
      <c r="B12" s="90" t="n"/>
      <c r="C12" s="90" t="n"/>
      <c r="D12" s="90" t="n"/>
      <c r="E12" s="13" t="inlineStr">
        <is>
          <t>Công ty Cổ phần chữ ký số VI NA</t>
        </is>
      </c>
      <c r="F12" s="14" t="inlineStr">
        <is>
          <t>0309612872</t>
        </is>
      </c>
      <c r="G12" s="15" t="n">
        <v>46301</v>
      </c>
      <c r="H12" s="19" t="n">
        <v>46301</v>
      </c>
      <c r="I12" s="21" t="n">
        <v>46326</v>
      </c>
    </row>
    <row r="13" ht="14.5" customHeight="1">
      <c r="A13" s="90" t="n"/>
      <c r="B13" s="90" t="n"/>
      <c r="C13" s="90" t="n"/>
      <c r="D13" s="90" t="n"/>
      <c r="E13" s="13" t="inlineStr">
        <is>
          <t>Công ty TNHH PA Việt Nam</t>
        </is>
      </c>
      <c r="F13" s="14" t="inlineStr">
        <is>
          <t>0302431595</t>
        </is>
      </c>
      <c r="G13" s="15" t="n">
        <v>46301</v>
      </c>
      <c r="H13" s="19" t="n">
        <v>46301</v>
      </c>
      <c r="I13" s="21" t="n">
        <v>46326</v>
      </c>
    </row>
    <row r="14" ht="14.5" customHeight="1">
      <c r="A14" s="90" t="n"/>
      <c r="B14" s="90" t="n"/>
      <c r="C14" s="90" t="n"/>
      <c r="D14" s="90" t="n"/>
      <c r="E14" s="13" t="inlineStr">
        <is>
          <t>Công ty Cổ phần tích hợp công nghệ VNISC</t>
        </is>
      </c>
      <c r="F14" s="14" t="inlineStr">
        <is>
          <t>0103018807</t>
        </is>
      </c>
      <c r="G14" s="26" t="n"/>
      <c r="H14" s="26" t="n"/>
      <c r="I14" s="21" t="n">
        <v>46326</v>
      </c>
    </row>
    <row r="15" ht="14.5" customHeight="1">
      <c r="A15" s="90" t="n"/>
      <c r="B15" s="90" t="n"/>
      <c r="C15" s="90" t="n"/>
      <c r="D15" s="90" t="n"/>
      <c r="E15" s="13" t="inlineStr">
        <is>
          <t>Công ty TNHH Giải pháp hóa đơn điện tử My – Invoice</t>
        </is>
      </c>
      <c r="F15" s="14" t="inlineStr">
        <is>
          <t>0106820789</t>
        </is>
      </c>
      <c r="G15" s="15" t="n">
        <v>46300</v>
      </c>
      <c r="H15" s="15" t="n">
        <v>46304</v>
      </c>
      <c r="I15" s="16" t="inlineStr">
        <is>
          <t>Hoàn thành</t>
        </is>
      </c>
    </row>
    <row r="16" ht="14.5" customHeight="1">
      <c r="A16" s="90" t="n"/>
      <c r="B16" s="90" t="n"/>
      <c r="C16" s="90" t="n"/>
      <c r="D16" s="90" t="n"/>
      <c r="E16" s="13" t="inlineStr">
        <is>
          <t>Công ty TNHH Giấy vi tính Liên Sơn</t>
        </is>
      </c>
      <c r="F16" s="14" t="inlineStr">
        <is>
          <t>0301452923</t>
        </is>
      </c>
      <c r="G16" s="15" t="n">
        <v>46300</v>
      </c>
      <c r="H16" s="15" t="n">
        <v>46304</v>
      </c>
      <c r="I16" s="16" t="inlineStr">
        <is>
          <t>Hoàn thành</t>
        </is>
      </c>
    </row>
    <row r="17" ht="14.5" customHeight="1">
      <c r="A17" s="90" t="n"/>
      <c r="B17" s="90" t="n"/>
      <c r="C17" s="90" t="n"/>
      <c r="D17" s="90" t="n"/>
      <c r="E17" s="13" t="inlineStr">
        <is>
          <t>Công ty Cổ phần phát triển phần mềm và công nghệ Bitware</t>
        </is>
      </c>
      <c r="F17" s="14" t="inlineStr">
        <is>
          <t>0103770970</t>
        </is>
      </c>
      <c r="G17" s="15" t="n">
        <v>46300</v>
      </c>
      <c r="H17" s="19" t="n">
        <v>46301</v>
      </c>
      <c r="I17" s="21" t="n">
        <v>46326</v>
      </c>
    </row>
    <row r="18" ht="14.5" customHeight="1">
      <c r="A18" s="90" t="n"/>
      <c r="B18" s="90" t="n"/>
      <c r="C18" s="90" t="n"/>
      <c r="D18" s="90" t="n"/>
      <c r="E18" s="13" t="inlineStr">
        <is>
          <t>Công ty TNHH Viễn thông Đông Sài Gòn</t>
        </is>
      </c>
      <c r="F18" s="14" t="inlineStr">
        <is>
          <t>0314058603</t>
        </is>
      </c>
      <c r="G18" s="15" t="n">
        <v>46300</v>
      </c>
      <c r="H18" s="19" t="n">
        <v>46300</v>
      </c>
      <c r="I18" s="21" t="n">
        <v>46326</v>
      </c>
    </row>
    <row r="19" ht="14.5" customHeight="1">
      <c r="A19" s="90" t="n"/>
      <c r="B19" s="90" t="n"/>
      <c r="C19" s="90" t="n"/>
      <c r="D19" s="90" t="n"/>
      <c r="E19" s="13" t="inlineStr">
        <is>
          <t>Công ty Cổ phần Tin học Lạc Việt</t>
        </is>
      </c>
      <c r="F19" s="14" t="inlineStr">
        <is>
          <t>0301448733</t>
        </is>
      </c>
      <c r="G19" s="26" t="n"/>
      <c r="H19" s="26" t="n"/>
      <c r="I19" s="21" t="n">
        <v>46326</v>
      </c>
    </row>
    <row r="20" ht="14.5" customHeight="1">
      <c r="A20" s="90" t="n"/>
      <c r="B20" s="90" t="n"/>
      <c r="C20" s="90" t="n"/>
      <c r="D20" s="90" t="n"/>
      <c r="E20" s="27" t="inlineStr">
        <is>
          <t>Công ty TNHH WEBCASH Việt Nam</t>
        </is>
      </c>
      <c r="F20" s="14" t="inlineStr">
        <is>
          <t>1201496252</t>
        </is>
      </c>
      <c r="G20" s="15" t="n">
        <v>46300</v>
      </c>
      <c r="H20" s="15" t="n">
        <v>46304</v>
      </c>
      <c r="I20" s="16" t="inlineStr">
        <is>
          <t>Hoàn thành</t>
        </is>
      </c>
    </row>
    <row r="21" ht="15.75" customHeight="1">
      <c r="A21" s="90" t="n"/>
      <c r="B21" s="90" t="n"/>
      <c r="C21" s="90" t="n"/>
      <c r="D21" s="90" t="n"/>
      <c r="E21" s="13" t="inlineStr">
        <is>
          <t>Công ty TNHH Nhóm Mây</t>
        </is>
      </c>
      <c r="F21" s="14" t="inlineStr">
        <is>
          <t>0312617990</t>
        </is>
      </c>
      <c r="G21" s="15" t="n">
        <v>46307</v>
      </c>
      <c r="H21" s="15" t="n">
        <v>46311</v>
      </c>
      <c r="I21" s="16" t="inlineStr">
        <is>
          <t>Hoàn thành</t>
        </is>
      </c>
    </row>
    <row r="22" ht="15.75" customHeight="1">
      <c r="A22" s="90" t="n"/>
      <c r="B22" s="90" t="n"/>
      <c r="C22" s="90" t="n"/>
      <c r="D22" s="90" t="n"/>
      <c r="E22" s="28" t="inlineStr">
        <is>
          <t>Công ty Cổ phần Technology Convergence Corporation</t>
        </is>
      </c>
      <c r="F22" s="14" t="inlineStr">
        <is>
          <t>0109045760</t>
        </is>
      </c>
      <c r="G22" s="15" t="n">
        <v>46300</v>
      </c>
      <c r="H22" s="15" t="n">
        <v>46300</v>
      </c>
      <c r="I22" s="16" t="inlineStr">
        <is>
          <t>Hoàn thành</t>
        </is>
      </c>
    </row>
    <row r="23" ht="15.75" customHeight="1">
      <c r="A23" s="90" t="n"/>
      <c r="B23" s="90" t="n"/>
      <c r="C23" s="90" t="n"/>
      <c r="D23" s="90" t="n"/>
      <c r="E23" s="28" t="inlineStr">
        <is>
          <t>Tổng Công ty Dầu Việt Nam - CTCP (PVOIL)</t>
        </is>
      </c>
      <c r="F23" s="14" t="inlineStr">
        <is>
          <t>0305795054</t>
        </is>
      </c>
      <c r="G23" s="15" t="n">
        <v>46300</v>
      </c>
      <c r="H23" s="15" t="n">
        <v>46304</v>
      </c>
      <c r="I23" s="16" t="inlineStr">
        <is>
          <t>Hoàn thành</t>
        </is>
      </c>
    </row>
    <row r="24" ht="15.75" customHeight="1">
      <c r="A24" s="90" t="n"/>
      <c r="B24" s="90" t="n"/>
      <c r="C24" s="90" t="n"/>
      <c r="D24" s="90" t="n"/>
      <c r="E24" s="17" t="inlineStr">
        <is>
          <t>Tỗng cục Thuế</t>
        </is>
      </c>
      <c r="F24" s="14" t="n"/>
      <c r="G24" s="22" t="n">
        <v>46314</v>
      </c>
      <c r="H24" s="22" t="n">
        <v>46318</v>
      </c>
      <c r="I24" s="16" t="inlineStr">
        <is>
          <t>Hoàn thành</t>
        </is>
      </c>
    </row>
    <row r="25" ht="15.75" customHeight="1">
      <c r="A25" s="91" t="n"/>
      <c r="B25" s="91" t="n"/>
      <c r="C25" s="91" t="n"/>
      <c r="D25" s="91" t="n"/>
      <c r="E25" s="28" t="inlineStr">
        <is>
          <t>dich vụ công</t>
        </is>
      </c>
      <c r="F25" s="14" t="n"/>
      <c r="G25" s="26" t="n"/>
      <c r="H25" s="26" t="n"/>
      <c r="I25" s="21" t="n">
        <v>46326</v>
      </c>
    </row>
    <row r="26" ht="15.75" customHeight="1">
      <c r="A26" s="94" t="inlineStr">
        <is>
          <t>P0</t>
        </is>
      </c>
      <c r="B26" s="95" t="inlineStr">
        <is>
          <t>Lấy dữ liệu XML từ Thuế</t>
        </is>
      </c>
      <c r="C26" s="31" t="inlineStr">
        <is>
          <t>Đã lấy dữ liệu XML từ Thuế về parse XML vào DB và xử lý các bước tiếp theo</t>
        </is>
      </c>
      <c r="D26" s="31" t="inlineStr">
        <is>
          <t>Từ danh mục hóa đơn từ Thuế đã lấy được dữ liệu</t>
        </is>
      </c>
      <c r="E26" s="32" t="n"/>
      <c r="F26" s="32" t="n"/>
      <c r="G26" s="15" t="n">
        <v>46307</v>
      </c>
      <c r="H26" s="15" t="n">
        <v>46315</v>
      </c>
      <c r="I26" s="16" t="inlineStr">
        <is>
          <t>Hoàn thành</t>
        </is>
      </c>
    </row>
    <row r="27" ht="15.75" customHeight="1">
      <c r="A27" s="93" t="inlineStr">
        <is>
          <t>P0</t>
        </is>
      </c>
      <c r="B27" s="98" t="inlineStr">
        <is>
          <t>Lấy dữ liệu PDF từ NCC thông qua XML</t>
        </is>
      </c>
      <c r="C27" s="98" t="inlineStr">
        <is>
          <t>Từ dữ liệu XML lấy ra thông tin NCC rồi lấy thông tin tra cứu hd PDF và lấy hd gốc về.</t>
        </is>
      </c>
      <c r="D27" s="98" t="inlineStr">
        <is>
          <t>Đã lấy được PDF gốc từ 25 NCC (26/10)
Chỉ tra được bằng mã trong mail: PA Việt Nam, ASIA, Fahasa
Bị chặn reCAPTCHA/Turnstile → lấy qua mail: HT, EFY, FPT, CMC, TS24</t>
        </is>
      </c>
      <c r="E27" s="32" t="inlineStr">
        <is>
          <t>Công ty Cổ phần MISA</t>
        </is>
      </c>
      <c r="F27" s="36" t="inlineStr">
        <is>
          <t>0101243150</t>
        </is>
      </c>
      <c r="G27" s="15" t="n">
        <v>46308</v>
      </c>
      <c r="H27" s="15" t="n">
        <v>46309</v>
      </c>
      <c r="I27" s="16" t="inlineStr">
        <is>
          <t>Hoàn thành</t>
        </is>
      </c>
    </row>
    <row r="28" ht="15.75" customHeight="1">
      <c r="A28" s="90" t="n"/>
      <c r="B28" s="90" t="n"/>
      <c r="C28" s="90" t="n"/>
      <c r="D28" s="90" t="n"/>
      <c r="E28" s="32" t="inlineStr">
        <is>
          <t>Công ty Cổ phần Đầu tư công nghệ và thương mại Softdreams</t>
        </is>
      </c>
      <c r="F28" s="36" t="inlineStr">
        <is>
          <t>0105987432</t>
        </is>
      </c>
      <c r="G28" s="15" t="n">
        <v>46308</v>
      </c>
      <c r="H28" s="15" t="n">
        <v>46308</v>
      </c>
      <c r="I28" s="16" t="inlineStr">
        <is>
          <t>Hoàn thành</t>
        </is>
      </c>
    </row>
    <row r="29" ht="15.75" customHeight="1">
      <c r="A29" s="90" t="n"/>
      <c r="B29" s="90" t="n"/>
      <c r="C29" s="90" t="n"/>
      <c r="D29" s="90" t="n"/>
      <c r="E29" s="32" t="inlineStr">
        <is>
          <t>Công ty Cổ phần BKAV</t>
        </is>
      </c>
      <c r="F29" s="36" t="inlineStr">
        <is>
          <t>0101360697</t>
        </is>
      </c>
      <c r="G29" s="15" t="n">
        <v>46308</v>
      </c>
      <c r="H29" s="15" t="n">
        <v>46309</v>
      </c>
      <c r="I29" s="16" t="inlineStr">
        <is>
          <t>Hoàn thành</t>
        </is>
      </c>
    </row>
    <row r="30" ht="15.75" customHeight="1">
      <c r="A30" s="90" t="n"/>
      <c r="B30" s="90" t="n"/>
      <c r="C30" s="90" t="n"/>
      <c r="D30" s="90" t="n"/>
      <c r="E30" s="32" t="inlineStr">
        <is>
          <t>Tập đoàn Công nghiệp - Viễn thông quân đội</t>
        </is>
      </c>
      <c r="F30" s="36" t="inlineStr">
        <is>
          <t>0100109106</t>
        </is>
      </c>
      <c r="G30" s="15" t="n">
        <v>46308</v>
      </c>
      <c r="H30" s="15" t="n">
        <v>46309</v>
      </c>
      <c r="I30" s="16" t="inlineStr">
        <is>
          <t>Hoàn thành</t>
        </is>
      </c>
    </row>
    <row r="31" ht="15.75" customHeight="1">
      <c r="A31" s="90" t="n"/>
      <c r="B31" s="90" t="n"/>
      <c r="C31" s="90" t="n"/>
      <c r="D31" s="90" t="n"/>
      <c r="E31" s="32" t="inlineStr">
        <is>
          <t>Công ty TNHH Hóa đơn điện tử M-INVOICE</t>
        </is>
      </c>
      <c r="F31" s="36" t="inlineStr">
        <is>
          <t>0106026495</t>
        </is>
      </c>
      <c r="G31" s="15" t="n">
        <v>46308</v>
      </c>
      <c r="H31" s="15" t="n">
        <v>46309</v>
      </c>
      <c r="I31" s="16" t="inlineStr">
        <is>
          <t>Hoàn thành</t>
        </is>
      </c>
    </row>
    <row r="32" ht="15.75" customHeight="1">
      <c r="A32" s="90" t="n"/>
      <c r="B32" s="90" t="n"/>
      <c r="C32" s="90" t="n"/>
      <c r="D32" s="90" t="n"/>
      <c r="E32" s="32" t="inlineStr">
        <is>
          <t>Công ty Cổ phần dịch vụ T-VAN HILO</t>
        </is>
      </c>
      <c r="F32" s="36" t="inlineStr">
        <is>
          <t>0106713804</t>
        </is>
      </c>
      <c r="G32" s="15" t="n">
        <v>46308</v>
      </c>
      <c r="H32" s="15" t="n">
        <v>46309</v>
      </c>
      <c r="I32" s="16" t="inlineStr">
        <is>
          <t>Hoàn thành</t>
        </is>
      </c>
    </row>
    <row r="33" ht="15.75" customHeight="1">
      <c r="A33" s="90" t="n"/>
      <c r="B33" s="90" t="n"/>
      <c r="C33" s="90" t="n"/>
      <c r="D33" s="90" t="n"/>
      <c r="E33" s="32" t="inlineStr">
        <is>
          <t>Tập Đoàn Bưu chính viễn thông Việt Nam</t>
        </is>
      </c>
      <c r="F33" s="36" t="inlineStr">
        <is>
          <t>0100684378</t>
        </is>
      </c>
      <c r="G33" s="15" t="n">
        <v>46308</v>
      </c>
      <c r="H33" s="15" t="n">
        <v>46309</v>
      </c>
      <c r="I33" s="16" t="inlineStr">
        <is>
          <t>Hoàn thành</t>
        </is>
      </c>
    </row>
    <row r="34" ht="15.75" customHeight="1">
      <c r="A34" s="90" t="n"/>
      <c r="B34" s="90" t="n"/>
      <c r="C34" s="90" t="n"/>
      <c r="D34" s="90" t="n"/>
      <c r="E34" s="32" t="inlineStr">
        <is>
          <t>Công ty TNHH Thu phí tự động VETC</t>
        </is>
      </c>
      <c r="F34" s="36" t="inlineStr">
        <is>
          <t>0107500414</t>
        </is>
      </c>
      <c r="G34" s="15" t="n">
        <v>46308</v>
      </c>
      <c r="H34" s="15" t="n">
        <v>46309</v>
      </c>
      <c r="I34" s="16" t="inlineStr">
        <is>
          <t>Hoàn thành</t>
        </is>
      </c>
    </row>
    <row r="35" ht="15.75" customHeight="1">
      <c r="A35" s="90" t="n"/>
      <c r="B35" s="90" t="n"/>
      <c r="C35" s="90" t="n"/>
      <c r="D35" s="90" t="n"/>
      <c r="E35" s="32" t="inlineStr">
        <is>
          <t>Công ty Cổ phần thương mại Visnam</t>
        </is>
      </c>
      <c r="F35" s="36" t="inlineStr">
        <is>
          <t>0401486901</t>
        </is>
      </c>
      <c r="G35" s="15" t="n">
        <v>46308</v>
      </c>
      <c r="H35" s="15" t="n">
        <v>46309</v>
      </c>
      <c r="I35" s="16" t="inlineStr">
        <is>
          <t>Hoàn thành</t>
        </is>
      </c>
    </row>
    <row r="36" ht="15.75" customHeight="1">
      <c r="A36" s="90" t="n"/>
      <c r="B36" s="90" t="n"/>
      <c r="C36" s="90" t="n"/>
      <c r="D36" s="90" t="n"/>
      <c r="E36" s="32" t="inlineStr">
        <is>
          <t>Công ty Cổ phần My Software</t>
        </is>
      </c>
      <c r="F36" s="36" t="inlineStr">
        <is>
          <t>0108971656</t>
        </is>
      </c>
      <c r="G36" s="15" t="n">
        <v>46308</v>
      </c>
      <c r="H36" s="15" t="n">
        <v>46317</v>
      </c>
      <c r="I36" s="16" t="inlineStr">
        <is>
          <t>Hoàn thành</t>
        </is>
      </c>
    </row>
    <row r="37" ht="15.75" customHeight="1">
      <c r="A37" s="90" t="n"/>
      <c r="B37" s="90" t="n"/>
      <c r="C37" s="90" t="n"/>
      <c r="D37" s="90" t="n"/>
      <c r="E37" s="32" t="inlineStr">
        <is>
          <t>Công ty Cổ phần IPOS.VN</t>
        </is>
      </c>
      <c r="F37" s="36" t="inlineStr">
        <is>
          <t>0104789847</t>
        </is>
      </c>
      <c r="G37" s="15" t="n">
        <v>46309</v>
      </c>
      <c r="H37" s="15" t="n">
        <v>46317</v>
      </c>
      <c r="I37" s="16" t="inlineStr">
        <is>
          <t>Hoàn thành</t>
        </is>
      </c>
    </row>
    <row r="38" ht="15.75" customHeight="1">
      <c r="A38" s="90" t="n"/>
      <c r="B38" s="90" t="n"/>
      <c r="C38" s="90" t="n"/>
      <c r="D38" s="90" t="n"/>
      <c r="E38" s="32" t="inlineStr">
        <is>
          <t>Công ty TNHH Phát triển công nghệ Thái Sơn</t>
        </is>
      </c>
      <c r="F38" s="36" t="inlineStr">
        <is>
          <t>0101300842</t>
        </is>
      </c>
      <c r="G38" s="87" t="n">
        <v>46318</v>
      </c>
      <c r="H38" s="87" t="n">
        <v>46318</v>
      </c>
      <c r="I38" s="21" t="inlineStr">
        <is>
          <t>Hoàn thành – lấy được đa số, Grab không lấy được</t>
        </is>
      </c>
    </row>
    <row r="39" ht="15.75" customHeight="1">
      <c r="A39" s="90" t="n"/>
      <c r="B39" s="90" t="n"/>
      <c r="C39" s="90" t="n"/>
      <c r="D39" s="90" t="n"/>
      <c r="E39" s="32" t="inlineStr">
        <is>
          <t>HĐ máy tính tiền thiếu MSTTCGP (Grab MTT, EasyInvoice, iPOS)</t>
        </is>
      </c>
      <c r="F39" s="32" t="n"/>
      <c r="G39" s="87" t="n">
        <v>46318</v>
      </c>
      <c r="H39" s="87" t="n">
        <v>46318</v>
      </c>
      <c r="I39" s="21" t="inlineStr">
        <is>
          <t>Hoàn thành</t>
        </is>
      </c>
    </row>
    <row r="40" ht="15.75" customHeight="1">
      <c r="A40" s="90" t="n"/>
      <c r="B40" s="90" t="n"/>
      <c r="C40" s="90" t="n"/>
      <c r="D40" s="90" t="n"/>
      <c r="E40" s="32" t="inlineStr">
        <is>
          <t>Công ty Cổ phần tích hợp công nghệ VNISC</t>
        </is>
      </c>
      <c r="F40" s="36" t="inlineStr">
        <is>
          <t>0102331762</t>
        </is>
      </c>
      <c r="G40" s="87" t="n">
        <v>46318</v>
      </c>
      <c r="H40" s="87" t="n">
        <v>46318</v>
      </c>
      <c r="I40" s="21" t="inlineStr">
        <is>
          <t>Hoàn thành</t>
        </is>
      </c>
    </row>
    <row r="41" ht="15.75" customHeight="1">
      <c r="A41" s="90" t="n"/>
      <c r="B41" s="90" t="n"/>
      <c r="C41" s="90" t="n"/>
      <c r="D41" s="90" t="n"/>
      <c r="E41" s="32" t="inlineStr">
        <is>
          <t>Công ty Cổ phần phần mềm quản lý doanh nghiệp</t>
        </is>
      </c>
      <c r="F41" s="36" t="inlineStr">
        <is>
          <t>0100727825</t>
        </is>
      </c>
      <c r="G41" s="87" t="n">
        <v>46318</v>
      </c>
      <c r="H41" s="87" t="n">
        <v>46318</v>
      </c>
      <c r="I41" s="21" t="inlineStr">
        <is>
          <t>Hoàn thành</t>
        </is>
      </c>
    </row>
    <row r="42" ht="15.75" customHeight="1">
      <c r="A42" s="90" t="n"/>
      <c r="B42" s="90" t="n"/>
      <c r="C42" s="90" t="n"/>
      <c r="D42" s="90" t="n"/>
      <c r="E42" s="32" t="inlineStr">
        <is>
          <t>Công ty TNHH Hệ thống thông tin FPT / Công ty TNHH Viễn thông CMC (CMC Telecom)</t>
        </is>
      </c>
      <c r="F42" s="36" t="inlineStr">
        <is>
          <t>0104128565</t>
        </is>
      </c>
      <c r="G42" s="87" t="n">
        <v>46318</v>
      </c>
      <c r="H42" s="87" t="n">
        <v>46318</v>
      </c>
      <c r="I42" s="21" t="inlineStr">
        <is>
          <t>Chưa hoàn thành – bị chặn bởi reCAPTCHA, lấy qua mail</t>
        </is>
      </c>
    </row>
    <row r="43" ht="15.75" customHeight="1">
      <c r="A43" s="90" t="n"/>
      <c r="B43" s="90" t="n"/>
      <c r="C43" s="90" t="n"/>
      <c r="D43" s="90" t="n"/>
      <c r="E43" s="32" t="inlineStr">
        <is>
          <t>Công ty TNHH Công nghệ Vĩnh Hy</t>
        </is>
      </c>
      <c r="F43" s="36" t="inlineStr">
        <is>
          <t>0314743623</t>
        </is>
      </c>
      <c r="G43" s="87" t="n">
        <v>46318</v>
      </c>
      <c r="H43" s="87" t="n">
        <v>46318</v>
      </c>
      <c r="I43" s="21" t="inlineStr">
        <is>
          <t>Hoàn thành</t>
        </is>
      </c>
    </row>
    <row r="44" ht="15.75" customHeight="1">
      <c r="A44" s="90" t="n"/>
      <c r="B44" s="90" t="n"/>
      <c r="C44" s="90" t="n"/>
      <c r="D44" s="90" t="n"/>
      <c r="E44" s="32" t="inlineStr">
        <is>
          <t>Công ty Cổ phần Minh Khang Group</t>
        </is>
      </c>
      <c r="F44" s="36" t="inlineStr">
        <is>
          <t>0314209362</t>
        </is>
      </c>
      <c r="G44" s="87" t="n">
        <v>46318</v>
      </c>
      <c r="H44" s="87" t="n">
        <v>46318</v>
      </c>
      <c r="I44" s="21" t="inlineStr">
        <is>
          <t>Hoàn thành</t>
        </is>
      </c>
    </row>
    <row r="45" ht="15.75" customHeight="1">
      <c r="A45" s="90" t="n"/>
      <c r="B45" s="90" t="n"/>
      <c r="C45" s="90" t="n"/>
      <c r="D45" s="90" t="n"/>
      <c r="E45" s="32" t="inlineStr">
        <is>
          <t>Công ty Cổ phần CyberLotus</t>
        </is>
      </c>
      <c r="F45" s="36" t="inlineStr">
        <is>
          <t>0105232093</t>
        </is>
      </c>
      <c r="G45" s="87" t="n">
        <v>46318</v>
      </c>
      <c r="H45" s="87" t="n">
        <v>46318</v>
      </c>
      <c r="I45" s="21" t="inlineStr">
        <is>
          <t>Hoàn thành – 2 HĐ 2023 lỗi phía NCC</t>
        </is>
      </c>
    </row>
    <row r="46" ht="15.75" customHeight="1">
      <c r="A46" s="90" t="n"/>
      <c r="B46" s="90" t="n"/>
      <c r="C46" s="90" t="n"/>
      <c r="D46" s="90" t="n"/>
      <c r="E46" s="32" t="inlineStr">
        <is>
          <t>Công ty Cổ phần Tập đoàn Trường Hải (THACO) – cổng riêng</t>
        </is>
      </c>
      <c r="F46" s="36" t="inlineStr">
        <is>
          <t>3600252847</t>
        </is>
      </c>
      <c r="G46" s="87" t="n">
        <v>46318</v>
      </c>
      <c r="H46" s="87" t="n">
        <v>46318</v>
      </c>
      <c r="I46" s="21" t="inlineStr">
        <is>
          <t>Hoàn thành</t>
        </is>
      </c>
    </row>
    <row r="47" ht="15.75" customHeight="1">
      <c r="A47" s="90" t="n"/>
      <c r="B47" s="90" t="n"/>
      <c r="C47" s="90" t="n"/>
      <c r="D47" s="90" t="n"/>
      <c r="E47" s="32" t="inlineStr">
        <is>
          <t>Công ty Cổ phần chữ ký số VI NA</t>
        </is>
      </c>
      <c r="F47" s="36" t="inlineStr">
        <is>
          <t>0309612872</t>
        </is>
      </c>
      <c r="G47" s="87" t="n">
        <v>46318</v>
      </c>
      <c r="H47" s="87" t="n">
        <v>46318</v>
      </c>
      <c r="I47" s="21" t="inlineStr">
        <is>
          <t>Hoàn thành</t>
        </is>
      </c>
    </row>
    <row r="48" ht="15.75" customHeight="1">
      <c r="A48" s="90" t="n"/>
      <c r="B48" s="90" t="n"/>
      <c r="C48" s="90" t="n"/>
      <c r="D48" s="90" t="n"/>
      <c r="E48" s="32" t="inlineStr">
        <is>
          <t>Công ty TNHH PA Việt Nam</t>
        </is>
      </c>
      <c r="F48" s="36" t="inlineStr">
        <is>
          <t>0302431595</t>
        </is>
      </c>
      <c r="G48" s="87" t="n">
        <v>46318</v>
      </c>
      <c r="H48" s="87" t="n">
        <v>46318</v>
      </c>
      <c r="I48" s="21" t="inlineStr">
        <is>
          <t>Hoàn thành – mã tra cứu chỉ có trong mail</t>
        </is>
      </c>
    </row>
    <row r="49" ht="15.75" customHeight="1">
      <c r="A49" s="90" t="n"/>
      <c r="B49" s="90" t="n"/>
      <c r="C49" s="90" t="n"/>
      <c r="D49" s="90" t="n"/>
      <c r="E49" s="32" t="inlineStr">
        <is>
          <t>Công ty TNHH Công nghệ và tư vấn Phương Nam</t>
        </is>
      </c>
      <c r="F49" s="36" t="inlineStr">
        <is>
          <t>0316642395</t>
        </is>
      </c>
      <c r="G49" s="87" t="n">
        <v>46321</v>
      </c>
      <c r="H49" s="87" t="n">
        <v>46321</v>
      </c>
      <c r="I49" s="21" t="inlineStr">
        <is>
          <t>Hoàn thành</t>
        </is>
      </c>
    </row>
    <row r="50" ht="15.75" customHeight="1">
      <c r="A50" s="90" t="n"/>
      <c r="B50" s="90" t="n"/>
      <c r="C50" s="90" t="n"/>
      <c r="D50" s="90" t="n"/>
      <c r="E50" s="32" t="inlineStr">
        <is>
          <t>Công ty Cổ phần Mắt Bão</t>
        </is>
      </c>
      <c r="F50" s="36" t="inlineStr">
        <is>
          <t>0302712571</t>
        </is>
      </c>
      <c r="G50" s="87" t="n">
        <v>46321</v>
      </c>
      <c r="H50" s="87" t="n">
        <v>46321</v>
      </c>
      <c r="I50" s="21" t="inlineStr">
        <is>
          <t>Hoàn thành</t>
        </is>
      </c>
    </row>
    <row r="51" ht="15.75" customHeight="1">
      <c r="A51" s="90" t="n"/>
      <c r="B51" s="90" t="n"/>
      <c r="C51" s="90" t="n"/>
      <c r="D51" s="90" t="n"/>
      <c r="E51" s="32" t="inlineStr">
        <is>
          <t>Công ty TNHH Thương Mại dịch vụ Online VI NA</t>
        </is>
      </c>
      <c r="F51" s="36" t="inlineStr">
        <is>
          <t>0314185087</t>
        </is>
      </c>
      <c r="G51" s="87" t="n">
        <v>46321</v>
      </c>
      <c r="H51" s="87" t="n">
        <v>46321</v>
      </c>
      <c r="I51" s="21" t="inlineStr">
        <is>
          <t>Hoàn thành</t>
        </is>
      </c>
    </row>
    <row r="52" ht="15.75" customHeight="1">
      <c r="A52" s="90" t="n"/>
      <c r="B52" s="90" t="n"/>
      <c r="C52" s="90" t="n"/>
      <c r="D52" s="90" t="n"/>
      <c r="E52" s="32" t="inlineStr">
        <is>
          <t>Công ty Cổ phần Hóa đơn điện tử VININVOICE</t>
        </is>
      </c>
      <c r="F52" s="36" t="inlineStr">
        <is>
          <t>0109282176</t>
        </is>
      </c>
      <c r="G52" s="87" t="n">
        <v>46321</v>
      </c>
      <c r="H52" s="87" t="n">
        <v>46321</v>
      </c>
      <c r="I52" s="21" t="inlineStr">
        <is>
          <t>Hoàn thành</t>
        </is>
      </c>
    </row>
    <row r="53" ht="15.75" customHeight="1">
      <c r="A53" s="90" t="n"/>
      <c r="B53" s="90" t="n"/>
      <c r="C53" s="90" t="n"/>
      <c r="D53" s="90" t="n"/>
      <c r="E53" s="32" t="inlineStr">
        <is>
          <t>Công ty TNHH Win Tech Solution</t>
        </is>
      </c>
      <c r="F53" s="36" t="inlineStr">
        <is>
          <t>0312303803</t>
        </is>
      </c>
      <c r="G53" s="87" t="n">
        <v>46321</v>
      </c>
      <c r="H53" s="87" t="n">
        <v>46321</v>
      </c>
      <c r="I53" s="21" t="inlineStr">
        <is>
          <t>Hoàn thành</t>
        </is>
      </c>
    </row>
    <row r="54" ht="15.75" customHeight="1">
      <c r="A54" s="90" t="n"/>
      <c r="B54" s="90" t="n"/>
      <c r="C54" s="90" t="n"/>
      <c r="D54" s="90" t="n"/>
      <c r="E54" s="32" t="inlineStr">
        <is>
          <t>Công ty Cổ phần phần mềm Rosy</t>
        </is>
      </c>
      <c r="F54" s="36" t="inlineStr">
        <is>
          <t>0305142231</t>
        </is>
      </c>
      <c r="G54" s="87" t="n">
        <v>46321</v>
      </c>
      <c r="H54" s="87" t="n">
        <v>46321</v>
      </c>
      <c r="I54" s="21" t="inlineStr">
        <is>
          <t>Hoàn thành</t>
        </is>
      </c>
    </row>
    <row r="55" ht="15.75" customHeight="1">
      <c r="A55" s="90" t="n"/>
      <c r="B55" s="90" t="n"/>
      <c r="C55" s="90" t="n"/>
      <c r="D55" s="90" t="n"/>
      <c r="E55" s="32" t="inlineStr">
        <is>
          <t>Công ty Cổ phần phát triển phần mềm ASIA</t>
        </is>
      </c>
      <c r="F55" s="36" t="inlineStr">
        <is>
          <t>0101162173</t>
        </is>
      </c>
      <c r="G55" s="87" t="n">
        <v>46321</v>
      </c>
      <c r="H55" s="87" t="n">
        <v>46321</v>
      </c>
      <c r="I55" s="21" t="inlineStr">
        <is>
          <t>Hoàn thành – mã tra cứu chỉ có trong mail</t>
        </is>
      </c>
    </row>
    <row r="56" ht="15.75" customHeight="1">
      <c r="A56" s="90" t="n"/>
      <c r="B56" s="90" t="n"/>
      <c r="C56" s="90" t="n"/>
      <c r="D56" s="90" t="n"/>
      <c r="E56" s="32" t="inlineStr">
        <is>
          <t>Fahasa – cổng FPT tự cài riêng (người bán 0304132047)</t>
        </is>
      </c>
      <c r="F56" s="36" t="inlineStr">
        <is>
          <t>0304132047</t>
        </is>
      </c>
      <c r="G56" s="87" t="n">
        <v>46321</v>
      </c>
      <c r="H56" s="87" t="n">
        <v>46321</v>
      </c>
      <c r="I56" s="21" t="inlineStr">
        <is>
          <t>Hoàn thành – chỉ qua link mail</t>
        </is>
      </c>
    </row>
    <row r="57" ht="15.75" customHeight="1">
      <c r="A57" s="90" t="n"/>
      <c r="B57" s="90" t="n"/>
      <c r="C57" s="90" t="n"/>
      <c r="D57" s="90" t="n"/>
      <c r="E57" s="32" t="inlineStr">
        <is>
          <t>Công ty Cổ phần công nghệ hóa đơn điện tử HT</t>
        </is>
      </c>
      <c r="F57" s="36" t="inlineStr">
        <is>
          <t>0315638251</t>
        </is>
      </c>
      <c r="G57" s="87" t="n">
        <v>46318</v>
      </c>
      <c r="H57" s="87" t="n">
        <v>46318</v>
      </c>
      <c r="I57" s="21" t="inlineStr">
        <is>
          <t>Chưa hoàn thành – bị chặn bởi reCAPTCHA, lấy qua mail</t>
        </is>
      </c>
    </row>
    <row r="58" ht="15.75" customHeight="1">
      <c r="A58" s="90" t="n"/>
      <c r="B58" s="90" t="n"/>
      <c r="C58" s="90" t="n"/>
      <c r="D58" s="90" t="n"/>
      <c r="E58" s="32" t="inlineStr">
        <is>
          <t>Công ty Cổ phần Công nghệ tin học EFY Việt Nam</t>
        </is>
      </c>
      <c r="F58" s="36" t="inlineStr">
        <is>
          <t>0102519041</t>
        </is>
      </c>
      <c r="G58" s="87" t="n">
        <v>46318</v>
      </c>
      <c r="H58" s="87" t="n">
        <v>46318</v>
      </c>
      <c r="I58" s="21" t="inlineStr">
        <is>
          <t>Chưa hoàn thành – bị chặn bởi reCAPTCHA, lấy qua mail</t>
        </is>
      </c>
    </row>
    <row r="59" ht="15.75" customHeight="1">
      <c r="A59" s="91" t="n"/>
      <c r="B59" s="91" t="n"/>
      <c r="C59" s="91" t="n"/>
      <c r="D59" s="91" t="n"/>
      <c r="E59" s="32" t="inlineStr">
        <is>
          <t>Công ty Cổ phần TS24</t>
        </is>
      </c>
      <c r="F59" s="36" t="inlineStr">
        <is>
          <t>0309478306</t>
        </is>
      </c>
      <c r="G59" s="87" t="n"/>
      <c r="H59" s="87" t="n"/>
      <c r="I59" s="21" t="inlineStr">
        <is>
          <t>Chưa hoàn thành – bị chặn bởi Cloudflare Turnstile, lấy qua mail</t>
        </is>
      </c>
    </row>
    <row r="60" ht="15.75" customHeight="1">
      <c r="A60" s="93" t="inlineStr">
        <is>
          <t>P0</t>
        </is>
      </c>
      <c r="B60" s="98" t="inlineStr">
        <is>
          <t>Lấy dữ liệu PDF từ NCC thông qua mail</t>
        </is>
      </c>
      <c r="C60" s="98" t="inlineStr">
        <is>
          <t>Đọc hộp mail hóa đơn (IMAP, chỉ đọc, không mở link): lấy PDF/XML đính kèm, hoặc link + mã tra cứu trong mail rồi tải qua adapter NCC; tự khớp vào HĐ đã có trong DB.</t>
        </is>
      </c>
      <c r="D60" s="98" t="inlineStr">
        <is>
          <t>Đã lấy được PDF gốc qua mail từ 26 NCC (26/10)</t>
        </is>
      </c>
      <c r="E60" s="98" t="inlineStr">
        <is>
          <t>Công ty Cổ phần MISA</t>
        </is>
      </c>
      <c r="F60" s="36" t="inlineStr">
        <is>
          <t>0101243150</t>
        </is>
      </c>
      <c r="G60" s="15" t="n">
        <v>46317</v>
      </c>
      <c r="H60" s="15" t="n">
        <v>46317</v>
      </c>
      <c r="I60" s="16" t="inlineStr">
        <is>
          <t>Hoàn thành</t>
        </is>
      </c>
    </row>
    <row r="61" ht="15.75" customHeight="1">
      <c r="A61" s="90" t="n"/>
      <c r="B61" s="90" t="n"/>
      <c r="C61" s="90" t="n"/>
      <c r="D61" s="90" t="n"/>
      <c r="E61" s="98" t="inlineStr">
        <is>
          <t>Tập đoàn Công nghiệp - Viễn thông quân đội</t>
        </is>
      </c>
      <c r="F61" s="36" t="inlineStr">
        <is>
          <t>0100109106</t>
        </is>
      </c>
      <c r="G61" s="15" t="n">
        <v>46309</v>
      </c>
      <c r="H61" s="15" t="n">
        <v>46309</v>
      </c>
      <c r="I61" s="16" t="inlineStr">
        <is>
          <t>Hoàn thành</t>
        </is>
      </c>
    </row>
    <row r="62" ht="15.75" customHeight="1">
      <c r="A62" s="90" t="n"/>
      <c r="B62" s="90" t="n"/>
      <c r="C62" s="90" t="n"/>
      <c r="D62" s="90" t="n"/>
      <c r="E62" s="98" t="inlineStr">
        <is>
          <t>Công ty TNHH Phát triển công nghệ Thái Sơn</t>
        </is>
      </c>
      <c r="F62" s="36" t="inlineStr">
        <is>
          <t>0101300842</t>
        </is>
      </c>
      <c r="G62" s="15" t="n">
        <v>46309</v>
      </c>
      <c r="H62" s="15" t="n">
        <v>46309</v>
      </c>
      <c r="I62" s="16" t="inlineStr">
        <is>
          <t>Hoàn thành</t>
        </is>
      </c>
    </row>
    <row r="63" ht="15.75" customHeight="1">
      <c r="A63" s="90" t="n"/>
      <c r="B63" s="90" t="n"/>
      <c r="C63" s="90" t="n"/>
      <c r="D63" s="90" t="n"/>
      <c r="E63" s="98" t="inlineStr">
        <is>
          <t>Công ty Cổ phần IPOS.VN</t>
        </is>
      </c>
      <c r="F63" s="36" t="inlineStr">
        <is>
          <t>0104789847</t>
        </is>
      </c>
      <c r="G63" s="15" t="n">
        <v>46315</v>
      </c>
      <c r="H63" s="15" t="n">
        <v>46317</v>
      </c>
      <c r="I63" s="16" t="inlineStr">
        <is>
          <t>Hoàn thành</t>
        </is>
      </c>
    </row>
    <row r="64" ht="15.75" customHeight="1">
      <c r="A64" s="90" t="n"/>
      <c r="B64" s="90" t="n"/>
      <c r="C64" s="90" t="n"/>
      <c r="D64" s="90" t="n"/>
      <c r="E64" s="98" t="inlineStr">
        <is>
          <t>Công ty Cổ phần BKAV</t>
        </is>
      </c>
      <c r="F64" s="36" t="inlineStr">
        <is>
          <t>0101360697</t>
        </is>
      </c>
      <c r="G64" s="15" t="n">
        <v>46317</v>
      </c>
      <c r="H64" s="15" t="n">
        <v>46317</v>
      </c>
      <c r="I64" s="16" t="inlineStr">
        <is>
          <t>Hoàn thành</t>
        </is>
      </c>
    </row>
    <row r="65" ht="15.75" customHeight="1">
      <c r="A65" s="90" t="n"/>
      <c r="B65" s="90" t="n"/>
      <c r="C65" s="90" t="n"/>
      <c r="D65" s="90" t="n"/>
      <c r="E65" s="98" t="inlineStr">
        <is>
          <t>Công ty Cổ phần Đầu tư công nghệ và thương mại Softdreams</t>
        </is>
      </c>
      <c r="F65" s="36" t="inlineStr">
        <is>
          <t>0105987432</t>
        </is>
      </c>
      <c r="G65" s="15" t="n">
        <v>46315</v>
      </c>
      <c r="H65" s="15" t="n">
        <v>46315</v>
      </c>
      <c r="I65" s="16" t="inlineStr">
        <is>
          <t>Hoàn thành</t>
        </is>
      </c>
    </row>
    <row r="66" ht="15.75" customHeight="1">
      <c r="A66" s="90" t="n"/>
      <c r="B66" s="90" t="n"/>
      <c r="C66" s="90" t="n"/>
      <c r="D66" s="90" t="n"/>
      <c r="E66" s="98" t="inlineStr">
        <is>
          <t>Công ty TNHH Hóa đơn điện tử M-INVOICE</t>
        </is>
      </c>
      <c r="F66" s="36" t="inlineStr">
        <is>
          <t>0106026495</t>
        </is>
      </c>
      <c r="G66" s="15" t="n">
        <v>46309</v>
      </c>
      <c r="H66" s="15" t="n">
        <v>46309</v>
      </c>
      <c r="I66" s="16" t="inlineStr">
        <is>
          <t>Hoàn thành</t>
        </is>
      </c>
    </row>
    <row r="67" ht="15.75" customHeight="1">
      <c r="A67" s="90" t="n"/>
      <c r="B67" s="90" t="n"/>
      <c r="C67" s="90" t="n"/>
      <c r="D67" s="90" t="n"/>
      <c r="E67" s="34" t="inlineStr">
        <is>
          <t>Công ty Cổ phần dịch vụ T-VAN HILO</t>
        </is>
      </c>
      <c r="F67" s="47" t="inlineStr">
        <is>
          <t>0106713804</t>
        </is>
      </c>
      <c r="G67" s="48" t="n">
        <v>46309</v>
      </c>
      <c r="H67" s="48" t="n">
        <v>46309</v>
      </c>
      <c r="I67" s="49" t="inlineStr">
        <is>
          <t>Hoàn thành</t>
        </is>
      </c>
    </row>
    <row r="68" ht="15.75" customHeight="1">
      <c r="A68" s="90" t="n"/>
      <c r="B68" s="90" t="n"/>
      <c r="C68" s="90" t="n"/>
      <c r="D68" s="90" t="n"/>
      <c r="E68" s="37" t="inlineStr">
        <is>
          <t>Tập Đoàn Bưu chính viễn thông Việt Nam</t>
        </is>
      </c>
      <c r="F68" s="50" t="inlineStr">
        <is>
          <t>0100684378</t>
        </is>
      </c>
      <c r="G68" s="15" t="n">
        <v>46309</v>
      </c>
      <c r="H68" s="15" t="n">
        <v>46309</v>
      </c>
      <c r="I68" s="37" t="inlineStr">
        <is>
          <t>Hoàn thành</t>
        </is>
      </c>
    </row>
    <row r="69" ht="15.75" customHeight="1">
      <c r="A69" s="90" t="n"/>
      <c r="B69" s="90" t="n"/>
      <c r="C69" s="90" t="n"/>
      <c r="D69" s="90" t="n"/>
      <c r="E69" s="37" t="inlineStr">
        <is>
          <t>Công ty Cổ phần tích hợp công nghệ VNISC</t>
        </is>
      </c>
      <c r="F69" s="50" t="inlineStr">
        <is>
          <t>0102331762</t>
        </is>
      </c>
      <c r="G69" s="15" t="n">
        <v>46309</v>
      </c>
      <c r="H69" s="15" t="n">
        <v>46309</v>
      </c>
      <c r="I69" s="37" t="inlineStr">
        <is>
          <t>Hoàn thành</t>
        </is>
      </c>
    </row>
    <row r="70" ht="15.75" customHeight="1">
      <c r="A70" s="90" t="n"/>
      <c r="B70" s="90" t="n"/>
      <c r="C70" s="90" t="n"/>
      <c r="D70" s="90" t="n"/>
      <c r="E70" s="37" t="inlineStr">
        <is>
          <t>Công ty Cổ phần phần mềm quản lý doanh nghiệp (FAST)</t>
        </is>
      </c>
      <c r="F70" s="50" t="inlineStr">
        <is>
          <t>0100727825</t>
        </is>
      </c>
      <c r="G70" s="15" t="n">
        <v>46318</v>
      </c>
      <c r="H70" s="15" t="n">
        <v>46318</v>
      </c>
      <c r="I70" s="37" t="inlineStr">
        <is>
          <t>Hoàn thành</t>
        </is>
      </c>
    </row>
    <row r="71" ht="15.75" customHeight="1">
      <c r="A71" s="90" t="n"/>
      <c r="B71" s="90" t="n"/>
      <c r="C71" s="90" t="n"/>
      <c r="D71" s="90" t="n"/>
      <c r="E71" s="37" t="inlineStr">
        <is>
          <t>Công ty Cổ phần Giải pháp hóa đơn điện tử Việt Nam</t>
        </is>
      </c>
      <c r="F71" s="50" t="inlineStr">
        <is>
          <t>0101352495</t>
        </is>
      </c>
      <c r="G71" s="15" t="n">
        <v>46318</v>
      </c>
      <c r="H71" s="15" t="n">
        <v>46318</v>
      </c>
      <c r="I71" s="37" t="inlineStr">
        <is>
          <t>Hoàn thành</t>
        </is>
      </c>
    </row>
    <row r="72" ht="15.75" customHeight="1">
      <c r="A72" s="90" t="n"/>
      <c r="B72" s="90" t="n"/>
      <c r="C72" s="90" t="n"/>
      <c r="D72" s="90" t="n"/>
      <c r="E72" s="37" t="inlineStr">
        <is>
          <t>Công ty Cổ phần Công nghệ tin học EFY Việt Nam</t>
        </is>
      </c>
      <c r="F72" s="50" t="inlineStr">
        <is>
          <t>0102519041</t>
        </is>
      </c>
      <c r="G72" s="15" t="n">
        <v>46318</v>
      </c>
      <c r="H72" s="15" t="n">
        <v>46318</v>
      </c>
      <c r="I72" s="37" t="inlineStr">
        <is>
          <t>Hoàn thành</t>
        </is>
      </c>
    </row>
    <row r="73" ht="15.75" customHeight="1">
      <c r="A73" s="90" t="n"/>
      <c r="B73" s="90" t="n"/>
      <c r="C73" s="90" t="n"/>
      <c r="D73" s="90" t="n"/>
      <c r="E73" s="37" t="inlineStr">
        <is>
          <t>Công ty TNHH Hệ thống thông tin FPT</t>
        </is>
      </c>
      <c r="F73" s="50" t="inlineStr">
        <is>
          <t>0104128565</t>
        </is>
      </c>
      <c r="G73" s="15" t="n">
        <v>46317</v>
      </c>
      <c r="H73" s="15" t="n">
        <v>46317</v>
      </c>
      <c r="I73" s="37" t="inlineStr">
        <is>
          <t>Hoàn thành</t>
        </is>
      </c>
    </row>
    <row r="74" ht="15.75" customHeight="1">
      <c r="A74" s="90" t="n"/>
      <c r="B74" s="90" t="n"/>
      <c r="C74" s="90" t="n"/>
      <c r="D74" s="90" t="n"/>
      <c r="E74" s="37" t="inlineStr">
        <is>
          <t>Công ty Cổ phần công nghệ hóa đơn điện tử HT</t>
        </is>
      </c>
      <c r="F74" s="50" t="inlineStr">
        <is>
          <t>0315638251</t>
        </is>
      </c>
      <c r="G74" s="15" t="n">
        <v>46317</v>
      </c>
      <c r="H74" s="15" t="n">
        <v>46317</v>
      </c>
      <c r="I74" s="37" t="inlineStr">
        <is>
          <t>Hoàn thành</t>
        </is>
      </c>
    </row>
    <row r="75" ht="15.75" customHeight="1">
      <c r="A75" s="90" t="n"/>
      <c r="B75" s="90" t="n"/>
      <c r="C75" s="90" t="n"/>
      <c r="D75" s="90" t="n"/>
      <c r="E75" s="37" t="inlineStr">
        <is>
          <t>Công ty TNHH PA Việt Nam</t>
        </is>
      </c>
      <c r="F75" s="50" t="inlineStr">
        <is>
          <t>0302431595</t>
        </is>
      </c>
      <c r="G75" s="15" t="n">
        <v>46317</v>
      </c>
      <c r="H75" s="15" t="n">
        <v>46317</v>
      </c>
      <c r="I75" s="37" t="inlineStr">
        <is>
          <t>Hoàn thành</t>
        </is>
      </c>
    </row>
    <row r="76" ht="15.75" customHeight="1">
      <c r="A76" s="90" t="n"/>
      <c r="B76" s="90" t="n"/>
      <c r="C76" s="90" t="n"/>
      <c r="D76" s="90" t="n"/>
      <c r="E76" s="37" t="inlineStr">
        <is>
          <t>Công ty Cổ phần chữ ký số VI NA</t>
        </is>
      </c>
      <c r="F76" s="50" t="inlineStr">
        <is>
          <t>0309612872</t>
        </is>
      </c>
      <c r="G76" s="15" t="n">
        <v>46317</v>
      </c>
      <c r="H76" s="15" t="n">
        <v>46317</v>
      </c>
      <c r="I76" s="37" t="inlineStr">
        <is>
          <t>Hoàn thành</t>
        </is>
      </c>
    </row>
    <row r="77" ht="15.75" customHeight="1">
      <c r="A77" s="90" t="n"/>
      <c r="B77" s="90" t="n"/>
      <c r="C77" s="90" t="n"/>
      <c r="D77" s="90" t="n"/>
      <c r="E77" s="37" t="inlineStr">
        <is>
          <t>Công ty Cổ phần thương mại Visnam</t>
        </is>
      </c>
      <c r="F77" s="50" t="inlineStr">
        <is>
          <t>0401486901</t>
        </is>
      </c>
      <c r="G77" s="15" t="n">
        <v>46318</v>
      </c>
      <c r="H77" s="15" t="n">
        <v>46318</v>
      </c>
      <c r="I77" s="37" t="inlineStr">
        <is>
          <t>Hoàn thành</t>
        </is>
      </c>
    </row>
    <row r="78" ht="15.75" customHeight="1">
      <c r="A78" s="90" t="n"/>
      <c r="B78" s="90" t="n"/>
      <c r="C78" s="90" t="n"/>
      <c r="D78" s="90" t="n"/>
      <c r="E78" s="37" t="inlineStr">
        <is>
          <t>Công ty Cổ phần Hóa đơn điện tử VININVOICE</t>
        </is>
      </c>
      <c r="F78" s="50" t="inlineStr">
        <is>
          <t>0109282176</t>
        </is>
      </c>
      <c r="G78" s="15" t="n">
        <v>46318</v>
      </c>
      <c r="H78" s="15" t="n">
        <v>46318</v>
      </c>
      <c r="I78" s="37" t="inlineStr">
        <is>
          <t>Hoàn thành</t>
        </is>
      </c>
    </row>
    <row r="79" ht="15.75" customHeight="1">
      <c r="A79" s="90" t="n"/>
      <c r="B79" s="90" t="n"/>
      <c r="C79" s="90" t="n"/>
      <c r="D79" s="90" t="n"/>
      <c r="E79" s="37" t="inlineStr">
        <is>
          <t>Công ty Cổ phần Mắt Bão</t>
        </is>
      </c>
      <c r="F79" s="50" t="inlineStr">
        <is>
          <t>0302712571</t>
        </is>
      </c>
      <c r="G79" s="15" t="n">
        <v>46318</v>
      </c>
      <c r="H79" s="15" t="n">
        <v>46318</v>
      </c>
      <c r="I79" s="37" t="inlineStr">
        <is>
          <t>Hoàn thành</t>
        </is>
      </c>
    </row>
    <row r="80" ht="15.75" customHeight="1">
      <c r="A80" s="90" t="n"/>
      <c r="B80" s="90" t="n"/>
      <c r="C80" s="90" t="n"/>
      <c r="D80" s="90" t="n"/>
      <c r="E80" s="37" t="inlineStr">
        <is>
          <t>Công ty TNHH Thương Mại dịch vụ Online VI NA</t>
        </is>
      </c>
      <c r="F80" s="50" t="inlineStr">
        <is>
          <t>0314185087</t>
        </is>
      </c>
      <c r="G80" s="15" t="n">
        <v>46318</v>
      </c>
      <c r="H80" s="15" t="n">
        <v>46318</v>
      </c>
      <c r="I80" s="37" t="inlineStr">
        <is>
          <t>Hoàn thành</t>
        </is>
      </c>
    </row>
    <row r="81" ht="15.75" customHeight="1">
      <c r="A81" s="90" t="n"/>
      <c r="B81" s="90" t="n"/>
      <c r="C81" s="90" t="n"/>
      <c r="D81" s="90" t="n"/>
      <c r="E81" s="37" t="inlineStr">
        <is>
          <t>Công ty TNHH Công nghệ và tư vấn Phương Nam</t>
        </is>
      </c>
      <c r="F81" s="50" t="inlineStr">
        <is>
          <t>0316642395</t>
        </is>
      </c>
      <c r="G81" s="15" t="n">
        <v>46318</v>
      </c>
      <c r="H81" s="15" t="n">
        <v>46318</v>
      </c>
      <c r="I81" s="37" t="inlineStr">
        <is>
          <t>Hoàn thành</t>
        </is>
      </c>
    </row>
    <row r="82" ht="15.75" customHeight="1">
      <c r="A82" s="90" t="n"/>
      <c r="B82" s="90" t="n"/>
      <c r="C82" s="90" t="n"/>
      <c r="D82" s="90" t="n"/>
      <c r="E82" s="37" t="inlineStr">
        <is>
          <t>Công ty Cổ phần Hai Bốn Bảy (247Express) – cổng riêng</t>
        </is>
      </c>
      <c r="F82" s="50" t="inlineStr">
        <is>
          <t>0304043037</t>
        </is>
      </c>
      <c r="G82" s="15" t="n">
        <v>46318</v>
      </c>
      <c r="H82" s="15" t="n">
        <v>46318</v>
      </c>
      <c r="I82" s="37" t="inlineStr">
        <is>
          <t>Hoàn thành</t>
        </is>
      </c>
    </row>
    <row r="83" ht="15.75" customHeight="1">
      <c r="A83" s="90" t="n"/>
      <c r="B83" s="90" t="n"/>
      <c r="C83" s="90" t="n"/>
      <c r="D83" s="90" t="n"/>
      <c r="E83" s="37" t="inlineStr">
        <is>
          <t>Công ty Cổ phần phát triển phần mềm ASIA</t>
        </is>
      </c>
      <c r="F83" s="50" t="inlineStr">
        <is>
          <t>0101162173</t>
        </is>
      </c>
      <c r="G83" s="15" t="n">
        <v>46321</v>
      </c>
      <c r="H83" s="15" t="n">
        <v>46321</v>
      </c>
      <c r="I83" s="37" t="inlineStr">
        <is>
          <t>Hoàn thành</t>
        </is>
      </c>
    </row>
    <row r="84" ht="15.75" customHeight="1">
      <c r="A84" s="90" t="n"/>
      <c r="B84" s="90" t="n"/>
      <c r="C84" s="90" t="n"/>
      <c r="D84" s="90" t="n"/>
      <c r="E84" s="37" t="inlineStr">
        <is>
          <t>Công ty Cổ phần phần mềm Rosy</t>
        </is>
      </c>
      <c r="F84" s="50" t="inlineStr">
        <is>
          <t>0305142231</t>
        </is>
      </c>
      <c r="G84" s="15" t="n">
        <v>46321</v>
      </c>
      <c r="H84" s="15" t="n">
        <v>46321</v>
      </c>
      <c r="I84" s="37" t="inlineStr">
        <is>
          <t>Hoàn thành – link mail xử lý xong, chờ lấy HĐ tháng cũ để khớp</t>
        </is>
      </c>
    </row>
    <row r="85" ht="15.75" customHeight="1">
      <c r="A85" s="91" t="n"/>
      <c r="B85" s="91" t="n"/>
      <c r="C85" s="91" t="n"/>
      <c r="D85" s="91" t="n"/>
      <c r="E85" s="37" t="inlineStr">
        <is>
          <t>Fahasa – cổng FPT tự cài riêng (người bán 0304132047)</t>
        </is>
      </c>
      <c r="F85" s="50" t="inlineStr">
        <is>
          <t>0304132047</t>
        </is>
      </c>
      <c r="G85" s="15" t="n">
        <v>46321</v>
      </c>
      <c r="H85" s="15" t="n">
        <v>46321</v>
      </c>
      <c r="I85" s="37" t="inlineStr">
        <is>
          <t>Hoàn thành – link mail xử lý xong, chờ lấy HĐ tháng cũ để khớp</t>
        </is>
      </c>
    </row>
    <row r="86" ht="15.75" customHeight="1">
      <c r="A86" s="51" t="inlineStr">
        <is>
          <t>P1</t>
        </is>
      </c>
      <c r="B86" s="53" t="inlineStr">
        <is>
          <t>Tổng quan</t>
        </is>
      </c>
      <c r="C86" s="32" t="n"/>
      <c r="D86" s="32" t="n"/>
      <c r="E86" s="54" t="n"/>
      <c r="F86" s="54" t="n"/>
      <c r="G86" s="55" t="n"/>
      <c r="H86" s="55" t="n"/>
      <c r="I86" s="55" t="n"/>
    </row>
    <row r="87" ht="15.75" customHeight="1">
      <c r="A87" s="51" t="inlineStr">
        <is>
          <t>P1</t>
        </is>
      </c>
      <c r="B87" s="53" t="inlineStr">
        <is>
          <t>Hoá đơn</t>
        </is>
      </c>
      <c r="C87" s="53" t="inlineStr">
        <is>
          <t>Hoá đơn mua vào</t>
        </is>
      </c>
      <c r="D87" s="53" t="inlineStr">
        <is>
          <t>Nhận diện NCC phát hành + mở cổng tự lấy hóa đơn gốc</t>
        </is>
      </c>
      <c r="E87" s="57" t="inlineStr">
        <is>
          <t>Webcash + Misa</t>
        </is>
      </c>
      <c r="F87" s="57" t="n"/>
      <c r="G87" s="39" t="n"/>
      <c r="H87" s="39" t="n"/>
      <c r="I87" s="39" t="n"/>
    </row>
    <row r="88" ht="15.75" customHeight="1">
      <c r="A88" s="51" t="inlineStr">
        <is>
          <t>P1</t>
        </is>
      </c>
      <c r="B88" s="32" t="n"/>
      <c r="C88" s="53" t="inlineStr">
        <is>
          <t>Hoá đơn bán ra</t>
        </is>
      </c>
      <c r="D88" s="53" t="inlineStr">
        <is>
          <t>Nhận diện NCC phát hành + mở cổng tự lấy hóa đơn gốc</t>
        </is>
      </c>
      <c r="E88" s="57" t="inlineStr">
        <is>
          <t>Webcash + Misa</t>
        </is>
      </c>
      <c r="F88" s="57" t="n"/>
      <c r="G88" s="39" t="n"/>
      <c r="H88" s="39" t="n"/>
      <c r="I88" s="39" t="n"/>
    </row>
    <row r="89" ht="15.75" customHeight="1">
      <c r="A89" s="51" t="inlineStr">
        <is>
          <t>P1</t>
        </is>
      </c>
      <c r="B89" s="53" t="inlineStr">
        <is>
          <t>Nguồn hoá đơn</t>
        </is>
      </c>
      <c r="C89" s="53" t="inlineStr">
        <is>
          <t>Kết nối Cục Thuế (MST)</t>
        </is>
      </c>
      <c r="D89" s="32" t="n"/>
      <c r="E89" s="32" t="n"/>
      <c r="F89" s="32" t="n"/>
      <c r="G89" s="39" t="n"/>
      <c r="H89" s="39" t="n"/>
      <c r="I89" s="39" t="n"/>
    </row>
    <row r="90" ht="15.75" customHeight="1">
      <c r="A90" s="51" t="inlineStr">
        <is>
          <t>P1</t>
        </is>
      </c>
      <c r="B90" s="32" t="n"/>
      <c r="C90" s="53" t="inlineStr">
        <is>
          <t>Tải lên hoá đơn</t>
        </is>
      </c>
      <c r="D90" s="32" t="n"/>
      <c r="E90" s="32" t="n"/>
      <c r="F90" s="32" t="n"/>
      <c r="G90" s="39" t="n"/>
      <c r="H90" s="39" t="n"/>
      <c r="I90" s="39" t="n"/>
    </row>
    <row r="91" ht="15.75" customHeight="1">
      <c r="A91" s="51" t="inlineStr">
        <is>
          <t>P1</t>
        </is>
      </c>
      <c r="B91" s="32" t="n"/>
      <c r="C91" s="53" t="inlineStr">
        <is>
          <t>Hoá đơn từ email</t>
        </is>
      </c>
      <c r="D91" s="32" t="n"/>
      <c r="E91" s="32" t="n"/>
      <c r="F91" s="32" t="n"/>
      <c r="G91" s="39" t="n"/>
      <c r="H91" s="39" t="n"/>
      <c r="I91" s="39" t="n"/>
    </row>
    <row r="92" ht="15.75" customHeight="1">
      <c r="A92" s="51" t="inlineStr">
        <is>
          <t>P1</t>
        </is>
      </c>
      <c r="B92" s="53" t="inlineStr">
        <is>
          <t>Đồng bộ</t>
        </is>
      </c>
      <c r="C92" s="53" t="inlineStr">
        <is>
          <t>Lịch sử đồng bộ</t>
        </is>
      </c>
      <c r="D92" s="32" t="n"/>
      <c r="E92" s="32" t="n"/>
      <c r="F92" s="32" t="n"/>
      <c r="G92" s="39" t="n"/>
      <c r="H92" s="39" t="n"/>
      <c r="I92" s="39" t="n"/>
    </row>
    <row r="93" ht="15.75" customHeight="1">
      <c r="A93" s="51" t="inlineStr">
        <is>
          <t>P1</t>
        </is>
      </c>
      <c r="B93" s="32" t="n"/>
      <c r="C93" s="53" t="inlineStr">
        <is>
          <t>Đồng bộ hàng loạt</t>
        </is>
      </c>
      <c r="D93" s="32" t="n"/>
      <c r="E93" s="32" t="n"/>
      <c r="F93" s="32" t="n"/>
      <c r="G93" s="39" t="n"/>
      <c r="H93" s="39" t="n"/>
      <c r="I93" s="39" t="n"/>
    </row>
    <row r="94" ht="15.75" customHeight="1">
      <c r="I94" s="62" t="n"/>
    </row>
    <row r="95" ht="15.75" customHeight="1">
      <c r="I95" s="62" t="n"/>
    </row>
    <row r="96" ht="15.75" customHeight="1">
      <c r="I96" s="62" t="n"/>
    </row>
    <row r="97" ht="15.75" customHeight="1">
      <c r="I97" s="62" t="n"/>
    </row>
    <row r="98" ht="15.75" customHeight="1">
      <c r="I98" s="62" t="n"/>
    </row>
    <row r="99" ht="15.75" customHeight="1">
      <c r="I99" s="62" t="n"/>
    </row>
    <row r="100" ht="15.75" customHeight="1">
      <c r="I100" s="62" t="n"/>
    </row>
    <row r="101" ht="15.75" customHeight="1">
      <c r="I101" s="62" t="n"/>
    </row>
    <row r="102" ht="15.75" customHeight="1">
      <c r="I102" s="62" t="n"/>
    </row>
    <row r="103" ht="15.75" customHeight="1">
      <c r="I103" s="62" t="n"/>
    </row>
    <row r="104" ht="15.75" customHeight="1">
      <c r="I104" s="62" t="n"/>
    </row>
    <row r="105" ht="15.75" customHeight="1">
      <c r="I105" s="62" t="n"/>
    </row>
    <row r="106" ht="15.75" customHeight="1">
      <c r="I106" s="62" t="n"/>
    </row>
    <row r="107" ht="15.75" customHeight="1">
      <c r="I107" s="62" t="n"/>
    </row>
    <row r="108" ht="15.75" customHeight="1">
      <c r="I108" s="62" t="n"/>
    </row>
    <row r="109" ht="15.75" customHeight="1">
      <c r="I109" s="62" t="n"/>
    </row>
    <row r="110" ht="15.75" customHeight="1">
      <c r="I110" s="62" t="n"/>
    </row>
    <row r="111" ht="15.75" customHeight="1">
      <c r="I111" s="62" t="n"/>
    </row>
    <row r="112" ht="15.75" customHeight="1">
      <c r="I112" s="62" t="n"/>
    </row>
    <row r="113" ht="15.75" customHeight="1">
      <c r="I113" s="62" t="n"/>
    </row>
    <row r="114" ht="15.75" customHeight="1">
      <c r="I114" s="62" t="n"/>
    </row>
    <row r="115" ht="15.75" customHeight="1">
      <c r="I115" s="62" t="n"/>
    </row>
    <row r="116" ht="15.75" customHeight="1">
      <c r="I116" s="62" t="n"/>
    </row>
    <row r="117" ht="15.75" customHeight="1">
      <c r="I117" s="62" t="n"/>
    </row>
    <row r="118" ht="15.75" customHeight="1">
      <c r="I118" s="62" t="n"/>
    </row>
    <row r="119" ht="15.75" customHeight="1">
      <c r="I119" s="62" t="n"/>
    </row>
    <row r="120" ht="15.75" customHeight="1">
      <c r="I120" s="62" t="n"/>
    </row>
    <row r="121" ht="15.75" customHeight="1">
      <c r="I121" s="62" t="n"/>
    </row>
    <row r="122" ht="15.75" customHeight="1">
      <c r="I122" s="62" t="n"/>
    </row>
    <row r="123" ht="15.75" customHeight="1">
      <c r="I123" s="62" t="n"/>
    </row>
    <row r="124" ht="15.75" customHeight="1">
      <c r="I124" s="62" t="n"/>
    </row>
    <row r="125" ht="15.75" customHeight="1">
      <c r="I125" s="62" t="n"/>
    </row>
    <row r="126" ht="15.75" customHeight="1">
      <c r="I126" s="62" t="n"/>
    </row>
    <row r="127" ht="15.75" customHeight="1">
      <c r="I127" s="62" t="n"/>
    </row>
    <row r="128" ht="15.75" customHeight="1">
      <c r="I128" s="62" t="n"/>
    </row>
    <row r="129" ht="15.75" customHeight="1">
      <c r="I129" s="62" t="n"/>
    </row>
    <row r="130" ht="15.75" customHeight="1">
      <c r="I130" s="62" t="n"/>
    </row>
    <row r="131" ht="15.75" customHeight="1">
      <c r="I131" s="62" t="n"/>
    </row>
    <row r="132" ht="15.75" customHeight="1">
      <c r="I132" s="62" t="n"/>
    </row>
    <row r="133" ht="15.75" customHeight="1">
      <c r="I133" s="62" t="n"/>
    </row>
    <row r="134" ht="15.75" customHeight="1">
      <c r="I134" s="62" t="n"/>
    </row>
    <row r="135" ht="15.75" customHeight="1">
      <c r="I135" s="62" t="n"/>
    </row>
    <row r="136" ht="15.75" customHeight="1">
      <c r="I136" s="62" t="n"/>
    </row>
    <row r="137" ht="15.75" customHeight="1">
      <c r="I137" s="62" t="n"/>
    </row>
    <row r="138" ht="15.75" customHeight="1">
      <c r="I138" s="62" t="n"/>
    </row>
    <row r="139" ht="15.75" customHeight="1">
      <c r="I139" s="62" t="n"/>
    </row>
    <row r="140" ht="15.75" customHeight="1">
      <c r="I140" s="62" t="n"/>
    </row>
    <row r="141" ht="15.75" customHeight="1">
      <c r="I141" s="62" t="n"/>
    </row>
    <row r="142" ht="15.75" customHeight="1">
      <c r="I142" s="62" t="n"/>
    </row>
    <row r="143" ht="15.75" customHeight="1">
      <c r="I143" s="62" t="n"/>
    </row>
    <row r="144" ht="15.75" customHeight="1">
      <c r="I144" s="62" t="n"/>
    </row>
    <row r="145" ht="15.75" customHeight="1">
      <c r="I145" s="62" t="n"/>
    </row>
    <row r="146" ht="15.75" customHeight="1">
      <c r="I146" s="62" t="n"/>
    </row>
    <row r="147" ht="15.75" customHeight="1">
      <c r="I147" s="62" t="n"/>
    </row>
    <row r="148" ht="15.75" customHeight="1">
      <c r="I148" s="62" t="n"/>
    </row>
    <row r="149" ht="15.75" customHeight="1">
      <c r="I149" s="62" t="n"/>
    </row>
    <row r="150" ht="15.75" customHeight="1">
      <c r="I150" s="62" t="n"/>
    </row>
    <row r="151" ht="15.75" customHeight="1">
      <c r="I151" s="62" t="n"/>
    </row>
    <row r="152" ht="15.75" customHeight="1">
      <c r="I152" s="62" t="n"/>
    </row>
    <row r="153" ht="15.75" customHeight="1">
      <c r="I153" s="62" t="n"/>
    </row>
    <row r="154" ht="15.75" customHeight="1">
      <c r="I154" s="62" t="n"/>
    </row>
    <row r="155" ht="15.75" customHeight="1">
      <c r="I155" s="62" t="n"/>
    </row>
    <row r="156" ht="15.75" customHeight="1">
      <c r="I156" s="62" t="n"/>
    </row>
    <row r="157" ht="15.75" customHeight="1">
      <c r="I157" s="62" t="n"/>
    </row>
    <row r="158" ht="15.75" customHeight="1">
      <c r="I158" s="62" t="n"/>
    </row>
    <row r="159" ht="15.75" customHeight="1">
      <c r="I159" s="62" t="n"/>
    </row>
    <row r="160" ht="15.75" customHeight="1">
      <c r="I160" s="62" t="n"/>
    </row>
    <row r="161" ht="15.75" customHeight="1">
      <c r="I161" s="62" t="n"/>
    </row>
    <row r="162" ht="15.75" customHeight="1">
      <c r="I162" s="62" t="n"/>
    </row>
    <row r="163" ht="15.75" customHeight="1">
      <c r="I163" s="62" t="n"/>
    </row>
    <row r="164" ht="15.75" customHeight="1">
      <c r="I164" s="62" t="n"/>
    </row>
    <row r="165" ht="15.75" customHeight="1">
      <c r="I165" s="62" t="n"/>
    </row>
    <row r="166" ht="15.75" customHeight="1">
      <c r="I166" s="62" t="n"/>
    </row>
    <row r="167" ht="15.75" customHeight="1">
      <c r="I167" s="62" t="n"/>
    </row>
    <row r="168" ht="15.75" customHeight="1">
      <c r="I168" s="62" t="n"/>
    </row>
    <row r="169" ht="15.75" customHeight="1">
      <c r="I169" s="62" t="n"/>
    </row>
    <row r="170" ht="15.75" customHeight="1">
      <c r="I170" s="62" t="n"/>
    </row>
    <row r="171" ht="15.75" customHeight="1">
      <c r="I171" s="62" t="n"/>
    </row>
    <row r="172" ht="15.75" customHeight="1">
      <c r="I172" s="62" t="n"/>
    </row>
    <row r="173" ht="15.75" customHeight="1">
      <c r="I173" s="62" t="n"/>
    </row>
    <row r="174" ht="15.75" customHeight="1">
      <c r="I174" s="62" t="n"/>
    </row>
    <row r="175" ht="15.75" customHeight="1">
      <c r="I175" s="62" t="n"/>
    </row>
    <row r="176" ht="15.75" customHeight="1">
      <c r="I176" s="62" t="n"/>
    </row>
    <row r="177" ht="15.75" customHeight="1">
      <c r="I177" s="62" t="n"/>
    </row>
    <row r="178" ht="15.75" customHeight="1">
      <c r="I178" s="62" t="n"/>
    </row>
    <row r="179" ht="15.75" customHeight="1">
      <c r="I179" s="62" t="n"/>
    </row>
    <row r="180" ht="15.75" customHeight="1">
      <c r="I180" s="62" t="n"/>
    </row>
    <row r="181" ht="15.75" customHeight="1">
      <c r="I181" s="62" t="n"/>
    </row>
    <row r="182" ht="15.75" customHeight="1">
      <c r="I182" s="62" t="n"/>
    </row>
    <row r="183" ht="15.75" customHeight="1">
      <c r="I183" s="62" t="n"/>
    </row>
    <row r="184" ht="15.75" customHeight="1">
      <c r="I184" s="62" t="n"/>
    </row>
    <row r="185" ht="15.75" customHeight="1">
      <c r="I185" s="62" t="n"/>
    </row>
    <row r="186" ht="15.75" customHeight="1">
      <c r="I186" s="62" t="n"/>
    </row>
    <row r="187" ht="15.75" customHeight="1">
      <c r="I187" s="62" t="n"/>
    </row>
    <row r="188" ht="15.75" customHeight="1">
      <c r="I188" s="62" t="n"/>
    </row>
    <row r="189" ht="15.75" customHeight="1">
      <c r="I189" s="62" t="n"/>
    </row>
    <row r="190" ht="15.75" customHeight="1">
      <c r="I190" s="62" t="n"/>
    </row>
    <row r="191" ht="15.75" customHeight="1">
      <c r="I191" s="62" t="n"/>
    </row>
    <row r="192" ht="15.75" customHeight="1">
      <c r="I192" s="62" t="n"/>
    </row>
    <row r="193" ht="15.75" customHeight="1">
      <c r="I193" s="62" t="n"/>
    </row>
    <row r="194" ht="15.75" customHeight="1">
      <c r="I194" s="62" t="n"/>
    </row>
    <row r="195" ht="15.75" customHeight="1">
      <c r="I195" s="62" t="n"/>
    </row>
    <row r="196" ht="15.75" customHeight="1">
      <c r="I196" s="62" t="n"/>
    </row>
    <row r="197" ht="15.75" customHeight="1">
      <c r="I197" s="62" t="n"/>
    </row>
    <row r="198" ht="15.75" customHeight="1">
      <c r="I198" s="62" t="n"/>
    </row>
    <row r="199" ht="15.75" customHeight="1">
      <c r="I199" s="62" t="n"/>
    </row>
    <row r="200" ht="15.75" customHeight="1">
      <c r="I200" s="62" t="n"/>
    </row>
    <row r="201" ht="15.75" customHeight="1">
      <c r="I201" s="62" t="n"/>
    </row>
    <row r="202" ht="15.75" customHeight="1">
      <c r="I202" s="62" t="n"/>
    </row>
    <row r="203" ht="15.75" customHeight="1">
      <c r="I203" s="62" t="n"/>
    </row>
    <row r="204" ht="15.75" customHeight="1">
      <c r="I204" s="62" t="n"/>
    </row>
    <row r="205" ht="15.75" customHeight="1">
      <c r="I205" s="62" t="n"/>
    </row>
    <row r="206" ht="15.75" customHeight="1">
      <c r="I206" s="62" t="n"/>
    </row>
    <row r="207" ht="15.75" customHeight="1">
      <c r="I207" s="62" t="n"/>
    </row>
    <row r="208" ht="15.75" customHeight="1">
      <c r="I208" s="62" t="n"/>
    </row>
    <row r="209" ht="15.75" customHeight="1">
      <c r="I209" s="62" t="n"/>
    </row>
    <row r="210" ht="15.75" customHeight="1">
      <c r="I210" s="62" t="n"/>
    </row>
    <row r="211" ht="15.75" customHeight="1">
      <c r="I211" s="62" t="n"/>
    </row>
    <row r="212" ht="15.75" customHeight="1">
      <c r="I212" s="62" t="n"/>
    </row>
    <row r="213" ht="15.75" customHeight="1">
      <c r="I213" s="62" t="n"/>
    </row>
    <row r="214" ht="15.75" customHeight="1">
      <c r="I214" s="62" t="n"/>
    </row>
    <row r="215" ht="15.75" customHeight="1">
      <c r="I215" s="62" t="n"/>
    </row>
    <row r="216" ht="15.75" customHeight="1">
      <c r="I216" s="62" t="n"/>
    </row>
    <row r="217" ht="15.75" customHeight="1">
      <c r="I217" s="62" t="n"/>
    </row>
    <row r="218" ht="15.75" customHeight="1">
      <c r="I218" s="62" t="n"/>
    </row>
    <row r="219" ht="15.75" customHeight="1">
      <c r="I219" s="62" t="n"/>
    </row>
    <row r="220" ht="15.75" customHeight="1">
      <c r="I220" s="62" t="n"/>
    </row>
    <row r="221" ht="15.75" customHeight="1">
      <c r="I221" s="62" t="n"/>
    </row>
    <row r="222" ht="15.75" customHeight="1">
      <c r="I222" s="62" t="n"/>
    </row>
    <row r="223" ht="15.75" customHeight="1">
      <c r="I223" s="62" t="n"/>
    </row>
    <row r="224" ht="15.75" customHeight="1">
      <c r="I224" s="62" t="n"/>
    </row>
    <row r="225" ht="15.75" customHeight="1">
      <c r="I225" s="62" t="n"/>
    </row>
    <row r="226" ht="15.75" customHeight="1">
      <c r="I226" s="62" t="n"/>
    </row>
    <row r="227" ht="15.75" customHeight="1">
      <c r="I227" s="62" t="n"/>
    </row>
    <row r="228" ht="15.75" customHeight="1">
      <c r="I228" s="62" t="n"/>
    </row>
    <row r="229" ht="15.75" customHeight="1">
      <c r="I229" s="62" t="n"/>
    </row>
    <row r="230" ht="15.75" customHeight="1">
      <c r="I230" s="62" t="n"/>
    </row>
    <row r="231" ht="15.75" customHeight="1">
      <c r="I231" s="62" t="n"/>
    </row>
    <row r="232" ht="15.75" customHeight="1">
      <c r="I232" s="62" t="n"/>
    </row>
    <row r="233" ht="15.75" customHeight="1">
      <c r="I233" s="62" t="n"/>
    </row>
    <row r="234" ht="15.75" customHeight="1">
      <c r="I234" s="62" t="n"/>
    </row>
    <row r="235" ht="15.75" customHeight="1">
      <c r="I235" s="62" t="n"/>
    </row>
    <row r="236" ht="15.75" customHeight="1">
      <c r="I236" s="62" t="n"/>
    </row>
    <row r="237" ht="15.75" customHeight="1">
      <c r="I237" s="62" t="n"/>
    </row>
    <row r="238" ht="15.75" customHeight="1">
      <c r="I238" s="62" t="n"/>
    </row>
    <row r="239" ht="15.75" customHeight="1">
      <c r="I239" s="62" t="n"/>
    </row>
    <row r="240" ht="15.75" customHeight="1">
      <c r="I240" s="62" t="n"/>
    </row>
    <row r="241" ht="15.75" customHeight="1">
      <c r="I241" s="62" t="n"/>
    </row>
    <row r="242" ht="15.75" customHeight="1">
      <c r="I242" s="62" t="n"/>
    </row>
    <row r="243" ht="15.75" customHeight="1">
      <c r="I243" s="62" t="n"/>
    </row>
    <row r="244" ht="15.75" customHeight="1">
      <c r="I244" s="62" t="n"/>
    </row>
    <row r="245" ht="15.75" customHeight="1">
      <c r="I245" s="62" t="n"/>
    </row>
    <row r="246" ht="15.75" customHeight="1">
      <c r="I246" s="62" t="n"/>
    </row>
    <row r="247" ht="15.75" customHeight="1">
      <c r="I247" s="62" t="n"/>
    </row>
    <row r="248" ht="15.75" customHeight="1">
      <c r="I248" s="62" t="n"/>
    </row>
    <row r="249" ht="15.75" customHeight="1">
      <c r="I249" s="62" t="n"/>
    </row>
    <row r="250" ht="15.75" customHeight="1">
      <c r="I250" s="62" t="n"/>
    </row>
    <row r="251" ht="15.75" customHeight="1">
      <c r="I251" s="62" t="n"/>
    </row>
    <row r="252" ht="15.75" customHeight="1">
      <c r="I252" s="62" t="n"/>
    </row>
    <row r="253" ht="15.75" customHeight="1">
      <c r="I253" s="62" t="n"/>
    </row>
    <row r="254" ht="15.75" customHeight="1">
      <c r="I254" s="62" t="n"/>
    </row>
    <row r="255" ht="15.75" customHeight="1">
      <c r="I255" s="62" t="n"/>
    </row>
    <row r="256" ht="15.75" customHeight="1">
      <c r="I256" s="62" t="n"/>
    </row>
    <row r="257" ht="15.75" customHeight="1">
      <c r="I257" s="62" t="n"/>
    </row>
    <row r="258" ht="15.75" customHeight="1">
      <c r="I258" s="62" t="n"/>
    </row>
    <row r="259" ht="15.75" customHeight="1">
      <c r="I259" s="62" t="n"/>
    </row>
    <row r="260" ht="15.75" customHeight="1">
      <c r="I260" s="62" t="n"/>
    </row>
    <row r="261" ht="15.75" customHeight="1">
      <c r="I261" s="62" t="n"/>
    </row>
    <row r="262" ht="15.75" customHeight="1">
      <c r="I262" s="62" t="n"/>
    </row>
    <row r="263" ht="15.75" customHeight="1">
      <c r="I263" s="62" t="n"/>
    </row>
    <row r="264" ht="15.75" customHeight="1">
      <c r="I264" s="62" t="n"/>
    </row>
    <row r="265" ht="15.75" customHeight="1">
      <c r="I265" s="62" t="n"/>
    </row>
    <row r="266" ht="15.75" customHeight="1">
      <c r="I266" s="62" t="n"/>
    </row>
    <row r="267" ht="15.75" customHeight="1">
      <c r="I267" s="62" t="n"/>
    </row>
    <row r="268" ht="15.75" customHeight="1">
      <c r="I268" s="62" t="n"/>
    </row>
    <row r="269" ht="15.75" customHeight="1">
      <c r="I269" s="62" t="n"/>
    </row>
    <row r="270" ht="15.75" customHeight="1">
      <c r="I270" s="62" t="n"/>
    </row>
    <row r="271" ht="15.75" customHeight="1">
      <c r="I271" s="62" t="n"/>
    </row>
    <row r="272" ht="15.75" customHeight="1">
      <c r="I272" s="62" t="n"/>
    </row>
    <row r="273" ht="15.75" customHeight="1">
      <c r="I273" s="62" t="n"/>
    </row>
    <row r="274" ht="15.75" customHeight="1">
      <c r="I274" s="62" t="n"/>
    </row>
    <row r="275" ht="15.75" customHeight="1">
      <c r="I275" s="62" t="n"/>
    </row>
    <row r="276" ht="15.75" customHeight="1">
      <c r="I276" s="62" t="n"/>
    </row>
    <row r="277" ht="15.75" customHeight="1">
      <c r="I277" s="62" t="n"/>
    </row>
    <row r="278" ht="15.75" customHeight="1">
      <c r="I278" s="62" t="n"/>
    </row>
    <row r="279" ht="15.75" customHeight="1">
      <c r="I279" s="62" t="n"/>
    </row>
    <row r="280" ht="15.75" customHeight="1">
      <c r="I280" s="62" t="n"/>
    </row>
    <row r="281" ht="15.75" customHeight="1">
      <c r="I281" s="62" t="n"/>
    </row>
    <row r="282" ht="15.75" customHeight="1">
      <c r="I282" s="62" t="n"/>
    </row>
    <row r="283" ht="15.75" customHeight="1">
      <c r="I283" s="62" t="n"/>
    </row>
    <row r="284" ht="15.75" customHeight="1">
      <c r="I284" s="62" t="n"/>
    </row>
    <row r="285" ht="15.75" customHeight="1">
      <c r="I285" s="62" t="n"/>
    </row>
    <row r="286" ht="15.75" customHeight="1">
      <c r="I286" s="62" t="n"/>
    </row>
    <row r="287" ht="15.75" customHeight="1">
      <c r="I287" s="62" t="n"/>
    </row>
    <row r="288" ht="15.75" customHeight="1">
      <c r="I288" s="62" t="n"/>
    </row>
    <row r="289" ht="15.75" customHeight="1">
      <c r="I289" s="62" t="n"/>
    </row>
    <row r="290" ht="15.75" customHeight="1">
      <c r="I290" s="62" t="n"/>
    </row>
    <row r="291" ht="15.75" customHeight="1">
      <c r="I291" s="62" t="n"/>
    </row>
    <row r="292" ht="15.75" customHeight="1">
      <c r="I292" s="62" t="n"/>
    </row>
    <row r="293" ht="15.75" customHeight="1">
      <c r="I293" s="62" t="n"/>
    </row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D27:D59"/>
    <mergeCell ref="A2:A25"/>
    <mergeCell ref="C60:C85"/>
    <mergeCell ref="A60:A85"/>
    <mergeCell ref="D60:D85"/>
    <mergeCell ref="B60:B85"/>
    <mergeCell ref="B27:B59"/>
    <mergeCell ref="C27:C59"/>
    <mergeCell ref="C2:C25"/>
    <mergeCell ref="B2:B25"/>
    <mergeCell ref="D2:D25"/>
    <mergeCell ref="A27:A59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J1238"/>
  <sheetViews>
    <sheetView tabSelected="1" topLeftCell="C265" workbookViewId="0">
      <selection activeCell="J113" sqref="J113"/>
    </sheetView>
  </sheetViews>
  <sheetFormatPr baseColWidth="8" defaultColWidth="14.453125" defaultRowHeight="15" customHeight="1"/>
  <cols>
    <col width="14.453125" customWidth="1" min="1" max="1"/>
    <col width="36.08984375" customWidth="1" min="2" max="2"/>
    <col width="47.453125" customWidth="1" min="3" max="3"/>
    <col width="48.08984375" customWidth="1" min="4" max="4"/>
    <col width="56.26953125" customWidth="1" min="5" max="5"/>
    <col width="11.54296875" customWidth="1" min="6" max="6"/>
    <col width="16.26953125" customWidth="1" min="9" max="9"/>
    <col width="60" customWidth="1" min="10" max="10"/>
  </cols>
  <sheetData>
    <row r="1" ht="14.5" customHeight="1">
      <c r="A1" s="4" t="inlineStr">
        <is>
          <t>Phase</t>
        </is>
      </c>
      <c r="B1" s="4" t="inlineStr">
        <is>
          <t>Nội dung</t>
        </is>
      </c>
      <c r="C1" s="4" t="inlineStr">
        <is>
          <t>Nội dung</t>
        </is>
      </c>
      <c r="D1" s="4" t="inlineStr">
        <is>
          <t>Mốc hoàn thành</t>
        </is>
      </c>
      <c r="E1" s="4" t="inlineStr">
        <is>
          <t>Company</t>
        </is>
      </c>
      <c r="F1" s="9" t="inlineStr">
        <is>
          <t>Taxcode</t>
        </is>
      </c>
      <c r="G1" s="9" t="inlineStr">
        <is>
          <t>From Date</t>
        </is>
      </c>
      <c r="H1" s="9" t="inlineStr">
        <is>
          <t>To Date</t>
        </is>
      </c>
      <c r="I1" s="9" t="inlineStr">
        <is>
          <t>Status</t>
        </is>
      </c>
      <c r="J1" s="9" t="inlineStr">
        <is>
          <t>Ghi chú</t>
        </is>
      </c>
    </row>
    <row r="2" ht="14.5" customHeight="1">
      <c r="A2" s="94" t="inlineStr">
        <is>
          <t>P0</t>
        </is>
      </c>
      <c r="B2" s="92" t="inlineStr">
        <is>
          <t>Training Captcha cho Công ty cung cấp hóa đơn điện tử</t>
        </is>
      </c>
      <c r="C2" s="92" t="inlineStr">
        <is>
          <t>Lấy mẫu captcha trong link tra cứu của các công ty rồi đêm về training cho AI để sau này phục vụ lấy và xử lý dữ liệu</t>
        </is>
      </c>
      <c r="D2" s="95" t="inlineStr">
        <is>
          <t xml:space="preserve">Hoàn thành (&gt; 90%): 12/23
Giải bằng ddddocr, không cần model: 4/23 (ASIA, VI NA, PA Việt Nam, VNISC)
Đang training: 7/23 (Thái Sơn, VNInvoice, Ngô Gia Phát, Bitware, VDSG, Lạc Việt, dịch vụ công)
Còn lại: 0/23
</t>
        </is>
      </c>
      <c r="E2" s="13" t="inlineStr">
        <is>
          <t>Công ty Cổ phần Đầu tư công nghệ và thương mại Softdreams</t>
        </is>
      </c>
      <c r="F2" s="14" t="inlineStr">
        <is>
          <t>0105987432</t>
        </is>
      </c>
      <c r="G2" s="15" t="n">
        <v>46307</v>
      </c>
      <c r="H2" s="15" t="n">
        <v>46311</v>
      </c>
      <c r="I2" s="16" t="inlineStr">
        <is>
          <t>Hoàn thành</t>
        </is>
      </c>
      <c r="J2" s="33" t="n"/>
    </row>
    <row r="3" ht="14.5" customHeight="1">
      <c r="A3" s="90" t="n"/>
      <c r="B3" s="90" t="n"/>
      <c r="C3" s="90" t="n"/>
      <c r="D3" s="90" t="n"/>
      <c r="E3" s="17" t="inlineStr">
        <is>
          <t>Công ty Cổ phần CyberLotus</t>
        </is>
      </c>
      <c r="F3" s="14" t="inlineStr">
        <is>
          <t>0105232093</t>
        </is>
      </c>
      <c r="G3" s="15" t="n">
        <v>46300</v>
      </c>
      <c r="H3" s="15" t="n">
        <v>46304</v>
      </c>
      <c r="I3" s="16" t="inlineStr">
        <is>
          <t>Hoàn thành</t>
        </is>
      </c>
      <c r="J3" s="33" t="n"/>
    </row>
    <row r="4" ht="14.5" customHeight="1">
      <c r="A4" s="90" t="n"/>
      <c r="B4" s="90" t="n"/>
      <c r="C4" s="90" t="n"/>
      <c r="D4" s="90" t="n"/>
      <c r="E4" s="13" t="inlineStr">
        <is>
          <t>Công ty TNHH Giải pháp công nghệ Ngô Gia Phát</t>
        </is>
      </c>
      <c r="F4" s="14" t="inlineStr">
        <is>
          <t>0311942758</t>
        </is>
      </c>
      <c r="G4" s="15" t="n">
        <v>46300</v>
      </c>
      <c r="H4" s="19" t="n">
        <v>46300</v>
      </c>
      <c r="I4" s="21" t="inlineStr">
        <is>
          <t>Hoàn thành</t>
        </is>
      </c>
      <c r="J4" s="33" t="n"/>
    </row>
    <row r="5" ht="14.5" customHeight="1">
      <c r="A5" s="90" t="n"/>
      <c r="B5" s="90" t="n"/>
      <c r="C5" s="90" t="n"/>
      <c r="D5" s="90" t="n"/>
      <c r="E5" s="13" t="inlineStr">
        <is>
          <t>Công ty Cổ phần Megabiz Việt Nam</t>
        </is>
      </c>
      <c r="F5" s="14" t="inlineStr">
        <is>
          <t>0105844836</t>
        </is>
      </c>
      <c r="G5" s="15" t="n">
        <v>46300</v>
      </c>
      <c r="H5" s="15" t="n">
        <v>46304</v>
      </c>
      <c r="I5" s="16" t="inlineStr">
        <is>
          <t>Hoàn thành</t>
        </is>
      </c>
      <c r="J5" s="33" t="n"/>
    </row>
    <row r="6" ht="14.5" customHeight="1">
      <c r="A6" s="90" t="n"/>
      <c r="B6" s="90" t="n"/>
      <c r="C6" s="90" t="n"/>
      <c r="D6" s="90" t="n"/>
      <c r="E6" s="13" t="inlineStr">
        <is>
          <t>Công ty TNHH Phát triển công nghệ Thái Sơn</t>
        </is>
      </c>
      <c r="F6" s="14" t="inlineStr">
        <is>
          <t>0101300842</t>
        </is>
      </c>
      <c r="G6" s="22" t="n">
        <v>46314</v>
      </c>
      <c r="H6" s="24" t="n">
        <v>46318</v>
      </c>
      <c r="I6" s="25" t="inlineStr">
        <is>
          <t>Hoàn thành</t>
        </is>
      </c>
      <c r="J6" s="33" t="n"/>
    </row>
    <row r="7" ht="14.5" customHeight="1">
      <c r="A7" s="90" t="n"/>
      <c r="B7" s="90" t="n"/>
      <c r="C7" s="90" t="n"/>
      <c r="D7" s="90" t="n"/>
      <c r="E7" s="13" t="inlineStr">
        <is>
          <t>Công ty Cổ phần Công nghệ thông tin Đông Nam Á</t>
        </is>
      </c>
      <c r="F7" s="14" t="inlineStr">
        <is>
          <t>0102454468</t>
        </is>
      </c>
      <c r="G7" s="15" t="n">
        <v>46307</v>
      </c>
      <c r="H7" s="15" t="n">
        <v>46311</v>
      </c>
      <c r="I7" s="16" t="inlineStr">
        <is>
          <t>Hoàn thành</t>
        </is>
      </c>
      <c r="J7" s="33" t="n"/>
    </row>
    <row r="8" ht="14.5" customHeight="1">
      <c r="A8" s="90" t="n"/>
      <c r="B8" s="90" t="n"/>
      <c r="C8" s="90" t="n"/>
      <c r="D8" s="90" t="n"/>
      <c r="E8" s="13" t="inlineStr">
        <is>
          <t>Công ty Cổ phần phát triển phần mềm ASIA</t>
        </is>
      </c>
      <c r="F8" s="14" t="inlineStr">
        <is>
          <t>0101162173</t>
        </is>
      </c>
      <c r="G8" s="19" t="n">
        <v>46321</v>
      </c>
      <c r="H8" s="19" t="n">
        <v>46326</v>
      </c>
      <c r="I8" s="25" t="inlineStr">
        <is>
          <t>Đang training</t>
        </is>
      </c>
      <c r="J8" s="33" t="n"/>
    </row>
    <row r="9" ht="14.5" customHeight="1">
      <c r="A9" s="90" t="n"/>
      <c r="B9" s="90" t="n"/>
      <c r="C9" s="90" t="n"/>
      <c r="D9" s="90" t="n"/>
      <c r="E9" s="13" t="inlineStr">
        <is>
          <t>Công ty Cổ phần thương mại Visnam</t>
        </is>
      </c>
      <c r="F9" s="14" t="inlineStr">
        <is>
          <t>0401486901</t>
        </is>
      </c>
      <c r="G9" s="15" t="n">
        <v>46307</v>
      </c>
      <c r="H9" s="15" t="n">
        <v>46311</v>
      </c>
      <c r="I9" s="16" t="inlineStr">
        <is>
          <t>Hoàn thành</t>
        </is>
      </c>
      <c r="J9" s="33" t="n"/>
    </row>
    <row r="10" ht="14.5" customHeight="1">
      <c r="A10" s="90" t="n"/>
      <c r="B10" s="90" t="n"/>
      <c r="C10" s="90" t="n"/>
      <c r="D10" s="90" t="n"/>
      <c r="E10" s="13" t="inlineStr">
        <is>
          <t>Tập Đoàn Bưu chính viễn thông Việt Nam</t>
        </is>
      </c>
      <c r="F10" s="14" t="inlineStr">
        <is>
          <t>0100684378</t>
        </is>
      </c>
      <c r="G10" s="15" t="n">
        <v>46308</v>
      </c>
      <c r="H10" s="15" t="n">
        <v>46309</v>
      </c>
      <c r="I10" s="16" t="inlineStr">
        <is>
          <t>Hoàn thành</t>
        </is>
      </c>
      <c r="J10" s="33" t="n"/>
    </row>
    <row r="11" ht="14.5" customHeight="1">
      <c r="A11" s="90" t="n"/>
      <c r="B11" s="90" t="n"/>
      <c r="C11" s="90" t="n"/>
      <c r="D11" s="90" t="n"/>
      <c r="E11" s="13" t="inlineStr">
        <is>
          <t>Công ty Cổ phần Giải pháp hóa đơn điện tử Việt Nam</t>
        </is>
      </c>
      <c r="F11" s="14" t="inlineStr">
        <is>
          <t>0101352495</t>
        </is>
      </c>
      <c r="G11" s="19" t="n">
        <v>46321</v>
      </c>
      <c r="H11" s="19" t="n">
        <v>46326</v>
      </c>
      <c r="I11" s="25" t="inlineStr">
        <is>
          <t>Đang training</t>
        </is>
      </c>
      <c r="J11" s="33" t="n"/>
    </row>
    <row r="12" ht="14.5" customHeight="1">
      <c r="A12" s="90" t="n"/>
      <c r="B12" s="90" t="n"/>
      <c r="C12" s="90" t="n"/>
      <c r="D12" s="90" t="n"/>
      <c r="E12" s="13" t="inlineStr">
        <is>
          <t>Công ty Cổ phần chữ ký số VI NA</t>
        </is>
      </c>
      <c r="F12" s="14" t="inlineStr">
        <is>
          <t>0309612872</t>
        </is>
      </c>
      <c r="G12" s="19" t="n">
        <v>46321</v>
      </c>
      <c r="H12" s="19" t="n">
        <v>46326</v>
      </c>
      <c r="I12" s="25" t="inlineStr">
        <is>
          <t>Đang training</t>
        </is>
      </c>
      <c r="J12" s="33" t="n"/>
    </row>
    <row r="13" ht="14.5" customHeight="1">
      <c r="A13" s="90" t="n"/>
      <c r="B13" s="90" t="n"/>
      <c r="C13" s="90" t="n"/>
      <c r="D13" s="90" t="n"/>
      <c r="E13" s="13" t="inlineStr">
        <is>
          <t>Công ty TNHH PA Việt Nam</t>
        </is>
      </c>
      <c r="F13" s="14" t="inlineStr">
        <is>
          <t>0302431595</t>
        </is>
      </c>
      <c r="G13" s="19" t="n">
        <v>46321</v>
      </c>
      <c r="H13" s="19" t="n">
        <v>46326</v>
      </c>
      <c r="I13" s="25" t="inlineStr">
        <is>
          <t>Đang training</t>
        </is>
      </c>
      <c r="J13" s="33" t="n"/>
    </row>
    <row r="14" ht="14.5" customHeight="1">
      <c r="A14" s="90" t="n"/>
      <c r="B14" s="90" t="n"/>
      <c r="C14" s="90" t="n"/>
      <c r="D14" s="90" t="n"/>
      <c r="E14" s="13" t="inlineStr">
        <is>
          <t>Công ty Cổ phần tích hợp công nghệ VNISC</t>
        </is>
      </c>
      <c r="F14" s="14" t="inlineStr">
        <is>
          <t>0103018807</t>
        </is>
      </c>
      <c r="G14" s="19" t="n">
        <v>46318</v>
      </c>
      <c r="H14" s="19" t="n">
        <v>46326</v>
      </c>
      <c r="I14" s="25" t="inlineStr">
        <is>
          <t>Đang training</t>
        </is>
      </c>
      <c r="J14" s="33" t="n"/>
    </row>
    <row r="15" ht="14.5" customHeight="1">
      <c r="A15" s="90" t="n"/>
      <c r="B15" s="90" t="n"/>
      <c r="C15" s="90" t="n"/>
      <c r="D15" s="90" t="n"/>
      <c r="E15" s="13" t="inlineStr">
        <is>
          <t>Công ty TNHH Giải pháp hóa đơn điện tử My – Invoice</t>
        </is>
      </c>
      <c r="F15" s="14" t="inlineStr">
        <is>
          <t>0106820789</t>
        </is>
      </c>
      <c r="G15" s="15" t="n">
        <v>46300</v>
      </c>
      <c r="H15" s="15" t="n">
        <v>46304</v>
      </c>
      <c r="I15" s="16" t="inlineStr">
        <is>
          <t>Hoàn thành</t>
        </is>
      </c>
      <c r="J15" s="33" t="n"/>
    </row>
    <row r="16" ht="14.5" customHeight="1">
      <c r="A16" s="90" t="n"/>
      <c r="B16" s="90" t="n"/>
      <c r="C16" s="90" t="n"/>
      <c r="D16" s="90" t="n"/>
      <c r="E16" s="13" t="inlineStr">
        <is>
          <t>Công ty TNHH Giấy vi tính Liên Sơn</t>
        </is>
      </c>
      <c r="F16" s="14" t="inlineStr">
        <is>
          <t>0301452923</t>
        </is>
      </c>
      <c r="G16" s="15" t="n">
        <v>46300</v>
      </c>
      <c r="H16" s="15" t="n">
        <v>46304</v>
      </c>
      <c r="I16" s="16" t="inlineStr">
        <is>
          <t>Hoàn thành</t>
        </is>
      </c>
      <c r="J16" s="33" t="n"/>
    </row>
    <row r="17" ht="14.5" customHeight="1">
      <c r="A17" s="90" t="n"/>
      <c r="B17" s="90" t="n"/>
      <c r="C17" s="90" t="n"/>
      <c r="D17" s="90" t="n"/>
      <c r="E17" s="13" t="inlineStr">
        <is>
          <t>Công ty Cổ phần phát triển phần mềm và công nghệ Bitware</t>
        </is>
      </c>
      <c r="F17" s="14" t="inlineStr">
        <is>
          <t>0103770970</t>
        </is>
      </c>
      <c r="G17" s="19" t="n">
        <v>46321</v>
      </c>
      <c r="H17" s="19" t="n">
        <v>46326</v>
      </c>
      <c r="I17" s="21" t="inlineStr">
        <is>
          <t>Đang training</t>
        </is>
      </c>
      <c r="J17" s="33" t="n"/>
    </row>
    <row r="18" ht="14.5" customHeight="1">
      <c r="A18" s="90" t="n"/>
      <c r="B18" s="90" t="n"/>
      <c r="C18" s="90" t="n"/>
      <c r="D18" s="90" t="n"/>
      <c r="E18" s="13" t="inlineStr">
        <is>
          <t>Công ty TNHH Viễn thông Đông Sài Gòn</t>
        </is>
      </c>
      <c r="F18" s="14" t="inlineStr">
        <is>
          <t>0314058603</t>
        </is>
      </c>
      <c r="G18" s="19" t="n">
        <v>46321</v>
      </c>
      <c r="H18" s="19" t="n">
        <v>46326</v>
      </c>
      <c r="I18" s="21" t="inlineStr">
        <is>
          <t>Đang training</t>
        </is>
      </c>
      <c r="J18" s="33" t="n"/>
    </row>
    <row r="19" ht="14.5" customHeight="1">
      <c r="A19" s="90" t="n"/>
      <c r="B19" s="90" t="n"/>
      <c r="C19" s="90" t="n"/>
      <c r="D19" s="90" t="n"/>
      <c r="E19" s="13" t="inlineStr">
        <is>
          <t>Công ty Cổ phần Tin học Lạc Việt</t>
        </is>
      </c>
      <c r="F19" s="14" t="inlineStr">
        <is>
          <t>0301448733</t>
        </is>
      </c>
      <c r="G19" s="19" t="n">
        <v>46321</v>
      </c>
      <c r="H19" s="19" t="n">
        <v>46326</v>
      </c>
      <c r="I19" s="21" t="inlineStr">
        <is>
          <t>Đang training</t>
        </is>
      </c>
      <c r="J19" s="33" t="n"/>
    </row>
    <row r="20" ht="14.5" customHeight="1">
      <c r="A20" s="90" t="n"/>
      <c r="B20" s="90" t="n"/>
      <c r="C20" s="90" t="n"/>
      <c r="D20" s="90" t="n"/>
      <c r="E20" s="27" t="inlineStr">
        <is>
          <t>Công ty TNHH WEBCASH Việt Nam</t>
        </is>
      </c>
      <c r="F20" s="14" t="inlineStr">
        <is>
          <t>1201496252</t>
        </is>
      </c>
      <c r="G20" s="15" t="n">
        <v>46300</v>
      </c>
      <c r="H20" s="15" t="n">
        <v>46304</v>
      </c>
      <c r="I20" s="16" t="inlineStr">
        <is>
          <t>Hoàn thành</t>
        </is>
      </c>
      <c r="J20" s="33" t="n"/>
    </row>
    <row r="21" ht="15.75" customHeight="1">
      <c r="A21" s="90" t="n"/>
      <c r="B21" s="90" t="n"/>
      <c r="C21" s="90" t="n"/>
      <c r="D21" s="90" t="n"/>
      <c r="E21" s="13" t="inlineStr">
        <is>
          <t>Công ty TNHH Nhóm Mây</t>
        </is>
      </c>
      <c r="F21" s="14" t="inlineStr">
        <is>
          <t>0312617990</t>
        </is>
      </c>
      <c r="G21" s="15" t="n">
        <v>46307</v>
      </c>
      <c r="H21" s="15" t="n">
        <v>46311</v>
      </c>
      <c r="I21" s="16" t="inlineStr">
        <is>
          <t>Hoàn thành</t>
        </is>
      </c>
      <c r="J21" s="33" t="n"/>
    </row>
    <row r="22" ht="15.75" customHeight="1">
      <c r="A22" s="90" t="n"/>
      <c r="B22" s="90" t="n"/>
      <c r="C22" s="90" t="n"/>
      <c r="D22" s="90" t="n"/>
      <c r="E22" s="28" t="inlineStr">
        <is>
          <t>Công ty Cổ phần Technology Convergence Corporation</t>
        </is>
      </c>
      <c r="F22" s="14" t="inlineStr">
        <is>
          <t>0109045760</t>
        </is>
      </c>
      <c r="G22" s="15" t="n">
        <v>46300</v>
      </c>
      <c r="H22" s="15" t="n">
        <v>46300</v>
      </c>
      <c r="I22" s="16" t="inlineStr">
        <is>
          <t>Hoàn thành</t>
        </is>
      </c>
      <c r="J22" s="33" t="n"/>
    </row>
    <row r="23" ht="15.75" customHeight="1">
      <c r="A23" s="90" t="n"/>
      <c r="B23" s="90" t="n"/>
      <c r="C23" s="90" t="n"/>
      <c r="D23" s="90" t="n"/>
      <c r="E23" s="28" t="inlineStr">
        <is>
          <t>Tổng Công ty Dầu Việt Nam - CTCP (PVOIL)</t>
        </is>
      </c>
      <c r="F23" s="14" t="inlineStr">
        <is>
          <t>0305795054</t>
        </is>
      </c>
      <c r="G23" s="15" t="n">
        <v>46300</v>
      </c>
      <c r="H23" s="15" t="n">
        <v>46304</v>
      </c>
      <c r="I23" s="16" t="inlineStr">
        <is>
          <t>Hoàn thành</t>
        </is>
      </c>
      <c r="J23" s="33" t="n"/>
    </row>
    <row r="24" ht="15.75" customHeight="1">
      <c r="A24" s="90" t="n"/>
      <c r="B24" s="90" t="n"/>
      <c r="C24" s="90" t="n"/>
      <c r="D24" s="90" t="n"/>
      <c r="E24" s="17" t="inlineStr">
        <is>
          <t>Tỗng cục Thuế</t>
        </is>
      </c>
      <c r="F24" s="14" t="n"/>
      <c r="G24" s="22" t="n">
        <v>46314</v>
      </c>
      <c r="H24" s="22" t="n">
        <v>46318</v>
      </c>
      <c r="I24" s="16" t="inlineStr">
        <is>
          <t>Hoàn thành</t>
        </is>
      </c>
      <c r="J24" s="33" t="n"/>
    </row>
    <row r="25" ht="15.75" customHeight="1">
      <c r="A25" s="91" t="n"/>
      <c r="B25" s="91" t="n"/>
      <c r="C25" s="91" t="n"/>
      <c r="D25" s="91" t="n"/>
      <c r="E25" s="28" t="inlineStr">
        <is>
          <t>dich vụ công</t>
        </is>
      </c>
      <c r="F25" s="14" t="n"/>
      <c r="G25" s="19" t="n">
        <v>46321</v>
      </c>
      <c r="H25" s="19" t="n">
        <v>46326</v>
      </c>
      <c r="I25" s="21" t="inlineStr">
        <is>
          <t>Đang training</t>
        </is>
      </c>
      <c r="J25" s="33" t="n"/>
    </row>
    <row r="26" ht="15.75" customHeight="1">
      <c r="A26" s="94" t="inlineStr">
        <is>
          <t>P0</t>
        </is>
      </c>
      <c r="B26" s="95" t="inlineStr">
        <is>
          <t>Lấy dữ liệu XML từ Thuế</t>
        </is>
      </c>
      <c r="C26" s="31" t="inlineStr">
        <is>
          <t>Đã lấy dữ liệu XML từ Thuế về parse XML vào DB và xử lý các bước tiếp theo</t>
        </is>
      </c>
      <c r="D26" s="31" t="inlineStr">
        <is>
          <t>Từ danh mục hóa đơn từ Thuế đã lấy được dữ liệu</t>
        </is>
      </c>
      <c r="E26" s="32" t="n"/>
      <c r="F26" s="32" t="n"/>
      <c r="G26" s="15" t="n">
        <v>46307</v>
      </c>
      <c r="H26" s="15" t="n">
        <v>46315</v>
      </c>
      <c r="I26" s="46" t="inlineStr">
        <is>
          <t>Hoàn thành</t>
        </is>
      </c>
      <c r="J26" s="33" t="n"/>
    </row>
    <row r="27" ht="15.75" customHeight="1">
      <c r="A27" s="97" t="inlineStr">
        <is>
          <t>P0</t>
        </is>
      </c>
      <c r="B27" s="96" t="inlineStr">
        <is>
          <t>Lấy dữ liệu PDF từ NCC thông qua XML</t>
        </is>
      </c>
      <c r="C27" s="89" t="inlineStr">
        <is>
          <t>Từ dữ liệu XML lấy ra thông tin NCC rồi lấy thông tin tra cứu hd PDF và lấy hd gốc về.</t>
        </is>
      </c>
      <c r="D27" s="89" t="inlineStr">
        <is>
          <t>Đã lấy được PDF gốc từ 28 NCC (27/10)
Sẵn sàng (có adapter, chưa có HĐ thật để thử): 44 NCC
Chỉ tra được bằng mã trong mail: PA Việt Nam, ASIA, Fahasa, MobiFone, KiotViet, WeTax
Bị chặn reCAPTCHA/Turnstile → lấy qua mail: HT, EFY, FPT, CMC, TS24</t>
        </is>
      </c>
      <c r="E27" s="13" t="inlineStr">
        <is>
          <t>Công ty TNHH Công nghệ Vĩnh Hy</t>
        </is>
      </c>
      <c r="F27" s="14" t="inlineStr">
        <is>
          <t>0314743623</t>
        </is>
      </c>
      <c r="G27" s="15" t="n">
        <v>46318</v>
      </c>
      <c r="H27" s="15" t="n">
        <v>46318</v>
      </c>
      <c r="I27" s="16" t="inlineStr">
        <is>
          <t>Hoàn thành</t>
        </is>
      </c>
      <c r="J27" s="33" t="n"/>
    </row>
    <row r="28" ht="15.75" customHeight="1">
      <c r="A28" s="90" t="n"/>
      <c r="B28" s="90" t="n"/>
      <c r="C28" s="90" t="n"/>
      <c r="D28" s="90" t="n"/>
      <c r="E28" s="13" t="inlineStr">
        <is>
          <t>Công ty TNHH Hệ thống thông tin FPT</t>
        </is>
      </c>
      <c r="F28" s="14" t="inlineStr">
        <is>
          <t>0104128565</t>
        </is>
      </c>
      <c r="G28" s="15" t="n">
        <v>46357</v>
      </c>
      <c r="H28" s="15" t="n">
        <v>46387</v>
      </c>
      <c r="I28" s="21" t="inlineStr">
        <is>
          <t>Chưa hoàn thành</t>
        </is>
      </c>
      <c r="J28" s="88" t="inlineStr">
        <is>
          <t>bị chặn bởi reCAPTCHA, lấy qua mail. dính reCAPTCHA v3</t>
        </is>
      </c>
    </row>
    <row r="29" ht="15.75" customHeight="1">
      <c r="A29" s="90" t="n"/>
      <c r="B29" s="90" t="n"/>
      <c r="C29" s="90" t="n"/>
      <c r="D29" s="90" t="n"/>
      <c r="E29" s="13" t="inlineStr">
        <is>
          <t>Công ty Cổ phần Công nghệ tin học EFY Việt Nam</t>
        </is>
      </c>
      <c r="F29" s="14" t="inlineStr">
        <is>
          <t>0102519041</t>
        </is>
      </c>
      <c r="G29" s="15" t="n">
        <v>46357</v>
      </c>
      <c r="H29" s="15" t="n">
        <v>46387</v>
      </c>
      <c r="I29" s="16" t="inlineStr">
        <is>
          <t>Chưa hoàn thành</t>
        </is>
      </c>
      <c r="J29" s="88" t="inlineStr">
        <is>
          <t>bị chặn bởi reCAPTCHA, lấy qua mail. dính reCAPTCHA v3</t>
        </is>
      </c>
    </row>
    <row r="30" ht="15.75" customHeight="1">
      <c r="A30" s="90" t="n"/>
      <c r="B30" s="90" t="n"/>
      <c r="C30" s="90" t="n"/>
      <c r="D30" s="90" t="n"/>
      <c r="E30" s="13" t="inlineStr">
        <is>
          <t>Công ty Cổ phần Đầu tư công nghệ và thương mại Softdreams</t>
        </is>
      </c>
      <c r="F30" s="14" t="inlineStr">
        <is>
          <t>0105987432</t>
        </is>
      </c>
      <c r="G30" s="15" t="n">
        <v>46308</v>
      </c>
      <c r="H30" s="15" t="n">
        <v>46308</v>
      </c>
      <c r="I30" s="16" t="inlineStr">
        <is>
          <t>Hoàn thành</t>
        </is>
      </c>
      <c r="J30" s="33" t="n"/>
    </row>
    <row r="31" ht="15.75" customHeight="1">
      <c r="A31" s="90" t="n"/>
      <c r="B31" s="90" t="n"/>
      <c r="C31" s="90" t="n"/>
      <c r="D31" s="90" t="n"/>
      <c r="E31" s="13" t="inlineStr">
        <is>
          <t>Công ty TNHH L.C.S</t>
        </is>
      </c>
      <c r="F31" s="14" t="inlineStr">
        <is>
          <t>0302999571</t>
        </is>
      </c>
      <c r="G31" s="15" t="n">
        <v>46357</v>
      </c>
      <c r="H31" s="15" t="n">
        <v>46387</v>
      </c>
      <c r="I31" s="16" t="inlineStr">
        <is>
          <t>Chưa hoàn thành</t>
        </is>
      </c>
      <c r="J31" s="33" t="inlineStr">
        <is>
          <t>Không làm được qua link tra cứu – bị chặn bởi reCAPTCHA v2 (server kiểm), lấy qua mail. eip.lcssoft.com.vn</t>
        </is>
      </c>
    </row>
    <row r="32" ht="15.75" customHeight="1">
      <c r="A32" s="90" t="n"/>
      <c r="B32" s="90" t="n"/>
      <c r="C32" s="90" t="n"/>
      <c r="D32" s="90" t="n"/>
      <c r="E32" s="13" t="inlineStr">
        <is>
          <t>Công ty TNHH Soft Ware KK VAT</t>
        </is>
      </c>
      <c r="F32" s="14" t="inlineStr">
        <is>
          <t>0313963672</t>
        </is>
      </c>
      <c r="G32" s="15" t="n">
        <v>46327</v>
      </c>
      <c r="H32" s="15" t="n">
        <v>46356</v>
      </c>
      <c r="I32" s="16" t="inlineStr">
        <is>
          <t>Sẵn sàng</t>
        </is>
      </c>
      <c r="J32" s="33" t="n"/>
    </row>
    <row r="33" ht="15.75" customHeight="1">
      <c r="A33" s="90" t="n"/>
      <c r="B33" s="90" t="n"/>
      <c r="C33" s="90" t="n"/>
      <c r="D33" s="90" t="n"/>
      <c r="E33" s="17" t="inlineStr">
        <is>
          <t>Công ty Cổ phần CyberLotus</t>
        </is>
      </c>
      <c r="F33" s="14" t="inlineStr">
        <is>
          <t>0105232093</t>
        </is>
      </c>
      <c r="G33" s="15" t="n">
        <v>46318</v>
      </c>
      <c r="H33" s="15" t="n">
        <v>46318</v>
      </c>
      <c r="I33" s="16" t="inlineStr">
        <is>
          <t>Hoàn thành</t>
        </is>
      </c>
      <c r="J33" s="33" t="n"/>
    </row>
    <row r="34" ht="15.75" customHeight="1">
      <c r="A34" s="90" t="n"/>
      <c r="B34" s="90" t="n"/>
      <c r="C34" s="90" t="n"/>
      <c r="D34" s="90" t="n"/>
      <c r="E34" s="13" t="inlineStr">
        <is>
          <t>Công ty TNHH Giải pháp công nghệ Ngô Gia Phát</t>
        </is>
      </c>
      <c r="F34" s="14" t="inlineStr">
        <is>
          <t>0311942758</t>
        </is>
      </c>
      <c r="G34" s="15" t="n">
        <v>46327</v>
      </c>
      <c r="H34" s="15" t="n">
        <v>46356</v>
      </c>
      <c r="I34" s="16" t="inlineStr">
        <is>
          <t>Chưa hoàn thành</t>
        </is>
      </c>
      <c r="J34" s="33" t="n"/>
    </row>
    <row r="35" ht="15.75" customHeight="1">
      <c r="A35" s="90" t="n"/>
      <c r="B35" s="90" t="n"/>
      <c r="C35" s="90" t="n"/>
      <c r="D35" s="90" t="n"/>
      <c r="E35" s="13" t="inlineStr">
        <is>
          <t>Công ty Cổ phần Mắt Bão</t>
        </is>
      </c>
      <c r="F35" s="14" t="inlineStr">
        <is>
          <t>0302712571</t>
        </is>
      </c>
      <c r="G35" s="15" t="n">
        <v>46321</v>
      </c>
      <c r="H35" s="15" t="n">
        <v>46321</v>
      </c>
      <c r="I35" s="16" t="inlineStr">
        <is>
          <t>Hoàn thành</t>
        </is>
      </c>
      <c r="J35" s="33" t="n"/>
    </row>
    <row r="36" ht="15.75" customHeight="1">
      <c r="A36" s="90" t="n"/>
      <c r="B36" s="90" t="n"/>
      <c r="C36" s="90" t="n"/>
      <c r="D36" s="90" t="n"/>
      <c r="E36" s="13" t="inlineStr">
        <is>
          <t>Công ty Cổ phần công nghệ thẻ Nacencomm</t>
        </is>
      </c>
      <c r="F36" s="14" t="inlineStr">
        <is>
          <t>0103930279</t>
        </is>
      </c>
      <c r="G36" s="15" t="n">
        <v>46327</v>
      </c>
      <c r="H36" s="15" t="n">
        <v>46356</v>
      </c>
      <c r="I36" s="16" t="inlineStr">
        <is>
          <t>Sẵn sàng</t>
        </is>
      </c>
      <c r="J36" s="33" t="n"/>
    </row>
    <row r="37" ht="15.75" customHeight="1">
      <c r="A37" s="90" t="n"/>
      <c r="B37" s="90" t="n"/>
      <c r="C37" s="90" t="n"/>
      <c r="D37" s="90" t="n"/>
      <c r="E37" s="13" t="inlineStr">
        <is>
          <t>Công ty Cổ phần Megabiz Việt Nam</t>
        </is>
      </c>
      <c r="F37" s="14" t="inlineStr">
        <is>
          <t>0105844836</t>
        </is>
      </c>
      <c r="G37" s="15" t="n">
        <v>46327</v>
      </c>
      <c r="H37" s="15" t="n">
        <v>46356</v>
      </c>
      <c r="I37" s="16" t="inlineStr">
        <is>
          <t>Sẵn sàng</t>
        </is>
      </c>
      <c r="J37" s="33" t="n"/>
    </row>
    <row r="38" ht="15.75" customHeight="1">
      <c r="A38" s="90" t="n"/>
      <c r="B38" s="90" t="n"/>
      <c r="C38" s="90" t="n"/>
      <c r="D38" s="90" t="n"/>
      <c r="E38" s="13" t="inlineStr">
        <is>
          <t>Công ty TNHH Công nghệ LCD Việt Nam</t>
        </is>
      </c>
      <c r="F38" s="14" t="inlineStr">
        <is>
          <t>0312483391</t>
        </is>
      </c>
      <c r="G38" s="15" t="n">
        <v>46357</v>
      </c>
      <c r="H38" s="15" t="n">
        <v>46387</v>
      </c>
      <c r="I38" s="16" t="inlineStr">
        <is>
          <t>Chưa hoàn thành</t>
        </is>
      </c>
      <c r="J38" s="33" t="inlineStr">
        <is>
          <t>Không làm được qua link tra cứu – cổng lỗi. azinvoice.vn (khảo sát 14/10: Faile)</t>
        </is>
      </c>
    </row>
    <row r="39" ht="15.75" customHeight="1">
      <c r="A39" s="90" t="n"/>
      <c r="B39" s="90" t="n"/>
      <c r="C39" s="90" t="n"/>
      <c r="D39" s="90" t="n"/>
      <c r="E39" s="13" t="inlineStr">
        <is>
          <t>Công ty Cổ phần MISA</t>
        </is>
      </c>
      <c r="F39" s="14" t="inlineStr">
        <is>
          <t>0101243150</t>
        </is>
      </c>
      <c r="G39" s="15" t="n">
        <v>46308</v>
      </c>
      <c r="H39" s="15" t="n">
        <v>46309</v>
      </c>
      <c r="I39" s="16" t="inlineStr">
        <is>
          <t>Hoàn thành</t>
        </is>
      </c>
      <c r="J39" s="33" t="n"/>
    </row>
    <row r="40" ht="15.75" customHeight="1">
      <c r="A40" s="90" t="n"/>
      <c r="B40" s="90" t="n"/>
      <c r="C40" s="90" t="n"/>
      <c r="D40" s="90" t="n"/>
      <c r="E40" s="13" t="inlineStr">
        <is>
          <t>Công ty TNHH Hóa đơn điện tử M-INVOICE</t>
        </is>
      </c>
      <c r="F40" s="14" t="inlineStr">
        <is>
          <t>0106026495</t>
        </is>
      </c>
      <c r="G40" s="15" t="n">
        <v>46308</v>
      </c>
      <c r="H40" s="15" t="n">
        <v>46322</v>
      </c>
      <c r="I40" s="16" t="inlineStr">
        <is>
          <t>Hoàn thành</t>
        </is>
      </c>
      <c r="J40" s="33" t="n"/>
    </row>
    <row r="41" ht="15.75" customHeight="1">
      <c r="A41" s="90" t="n"/>
      <c r="B41" s="90" t="n"/>
      <c r="C41" s="90" t="n"/>
      <c r="D41" s="90" t="n"/>
      <c r="E41" s="13" t="inlineStr">
        <is>
          <t>Công ty Cổ phần Phát triển công nghệ Nguyễn Minh</t>
        </is>
      </c>
      <c r="F41" s="14" t="inlineStr">
        <is>
          <t>0313906508</t>
        </is>
      </c>
      <c r="G41" s="15" t="n">
        <v>46357</v>
      </c>
      <c r="H41" s="15" t="n">
        <v>46387</v>
      </c>
      <c r="I41" s="16" t="inlineStr">
        <is>
          <t>Chưa hoàn thành</t>
        </is>
      </c>
      <c r="J41" s="33" t="inlineStr">
        <is>
          <t>Chưa làm – danh sách chưa có link tra cứu, chưa có HĐ thật</t>
        </is>
      </c>
    </row>
    <row r="42" ht="15.75" customHeight="1">
      <c r="A42" s="90" t="n"/>
      <c r="B42" s="90" t="n"/>
      <c r="C42" s="90" t="n"/>
      <c r="D42" s="90" t="n"/>
      <c r="E42" s="13" t="inlineStr">
        <is>
          <t>Công ty TNHH Phát triển công nghệ Thái Sơn</t>
        </is>
      </c>
      <c r="F42" s="14" t="inlineStr">
        <is>
          <t>0101300842</t>
        </is>
      </c>
      <c r="G42" s="15" t="n">
        <v>46318</v>
      </c>
      <c r="H42" s="15" t="n">
        <v>46318</v>
      </c>
      <c r="I42" s="21" t="inlineStr">
        <is>
          <t>Hoàn thành</t>
        </is>
      </c>
      <c r="J42" s="33" t="inlineStr">
        <is>
          <t>lấy được đa số, Grab không lấy được</t>
        </is>
      </c>
    </row>
    <row r="43" ht="15.75" customHeight="1">
      <c r="A43" s="90" t="n"/>
      <c r="B43" s="90" t="n"/>
      <c r="C43" s="90" t="n"/>
      <c r="D43" s="90" t="n"/>
      <c r="E43" s="13" t="inlineStr">
        <is>
          <t>Công ty TNHH Máy tính và truyền thông công nghệ kết nối</t>
        </is>
      </c>
      <c r="F43" s="14" t="inlineStr">
        <is>
          <t>0306784030</t>
        </is>
      </c>
      <c r="G43" s="15" t="n">
        <v>46357</v>
      </c>
      <c r="H43" s="15" t="n">
        <v>46387</v>
      </c>
      <c r="I43" s="16" t="inlineStr">
        <is>
          <t>Chưa hoàn thành</t>
        </is>
      </c>
      <c r="J43" s="33" t="inlineStr">
        <is>
          <t>Không làm được qua link tra cứu – bị chặn bởi reCAPTCHA v2 (server kiểm), lấy qua mail. dính reCAPTCHA Enterprise</t>
        </is>
      </c>
    </row>
    <row r="44" ht="15.75" customHeight="1">
      <c r="A44" s="90" t="n"/>
      <c r="B44" s="90" t="n"/>
      <c r="C44" s="90" t="n"/>
      <c r="D44" s="90" t="n"/>
      <c r="E44" s="13" t="inlineStr">
        <is>
          <t>Công ty Cổ phần công nghệ số và in đồ họa</t>
        </is>
      </c>
      <c r="F44" s="14" t="inlineStr">
        <is>
          <t>0200638946</t>
        </is>
      </c>
      <c r="G44" s="15" t="n">
        <v>46357</v>
      </c>
      <c r="H44" s="15" t="n">
        <v>46387</v>
      </c>
      <c r="I44" s="16" t="inlineStr">
        <is>
          <t>Chưa hoàn thành</t>
        </is>
      </c>
      <c r="J44" s="33" t="inlineStr">
        <is>
          <t>Không làm được qua link tra cứu – đại lý cổng FPT (reCAPTCHA v3), lấy qua mail. oinvoice.vn chuyển sang tracuuhoadon.fpt.com.vn; /api/search trả 500 invalid-input-response</t>
        </is>
      </c>
    </row>
    <row r="45" ht="15.75" customHeight="1">
      <c r="A45" s="90" t="n"/>
      <c r="B45" s="90" t="n"/>
      <c r="C45" s="90" t="n"/>
      <c r="D45" s="90" t="n"/>
      <c r="E45" s="13" t="inlineStr">
        <is>
          <t>Công ty TNHH Win Tech Solution</t>
        </is>
      </c>
      <c r="F45" s="14" t="inlineStr">
        <is>
          <t>0312303803</t>
        </is>
      </c>
      <c r="G45" s="15" t="n">
        <v>46321</v>
      </c>
      <c r="H45" s="15" t="n">
        <v>46321</v>
      </c>
      <c r="I45" s="16" t="inlineStr">
        <is>
          <t>Hoàn thành</t>
        </is>
      </c>
      <c r="J45" s="33" t="n"/>
    </row>
    <row r="46" ht="15.75" customHeight="1">
      <c r="A46" s="90" t="n"/>
      <c r="B46" s="90" t="n"/>
      <c r="C46" s="90" t="n"/>
      <c r="D46" s="90" t="n"/>
      <c r="E46" s="13" t="inlineStr">
        <is>
          <t>Tập đoàn Công nghiệp - Viễn thông quân đội</t>
        </is>
      </c>
      <c r="F46" s="14" t="inlineStr">
        <is>
          <t>0100109106</t>
        </is>
      </c>
      <c r="G46" s="15" t="n">
        <v>46308</v>
      </c>
      <c r="H46" s="15" t="n">
        <v>46309</v>
      </c>
      <c r="I46" s="16" t="inlineStr">
        <is>
          <t>Hoàn thành</t>
        </is>
      </c>
      <c r="J46" s="33" t="n"/>
    </row>
    <row r="47" ht="15.75" customHeight="1">
      <c r="A47" s="90" t="n"/>
      <c r="B47" s="90" t="n"/>
      <c r="C47" s="90" t="n"/>
      <c r="D47" s="90" t="n"/>
      <c r="E47" s="13" t="inlineStr">
        <is>
          <t>Công ty Cổ phần Công nghệ thông tin Đông Nam Á</t>
        </is>
      </c>
      <c r="F47" s="14" t="inlineStr">
        <is>
          <t>0102454468</t>
        </is>
      </c>
      <c r="G47" s="15" t="n">
        <v>46357</v>
      </c>
      <c r="H47" s="15" t="n">
        <v>46387</v>
      </c>
      <c r="I47" s="16" t="inlineStr">
        <is>
          <t>Chưa hoàn thành</t>
        </is>
      </c>
      <c r="J47" s="33" t="inlineStr">
        <is>
          <t>Không làm được qua link tra cứu – phải đăng nhập. tax24.com.vn/einvoice là cổng đăng nhập doanh nghiệp, không có tra cứu công khai</t>
        </is>
      </c>
    </row>
    <row r="48" ht="15.75" customHeight="1">
      <c r="A48" s="90" t="n"/>
      <c r="B48" s="90" t="n"/>
      <c r="C48" s="90" t="n"/>
      <c r="D48" s="90" t="n"/>
      <c r="E48" s="13" t="inlineStr">
        <is>
          <t>Công ty Cổ phần hóa đơn điện tử New-Invoice</t>
        </is>
      </c>
      <c r="F48" s="14" t="inlineStr">
        <is>
          <t>0105937449</t>
        </is>
      </c>
      <c r="G48" s="15" t="n">
        <v>46357</v>
      </c>
      <c r="H48" s="15" t="n">
        <v>46387</v>
      </c>
      <c r="I48" s="16" t="inlineStr">
        <is>
          <t>Chưa hoàn thành</t>
        </is>
      </c>
      <c r="J48" s="33" t="inlineStr">
        <is>
          <t>Không làm được qua link tra cứu – bị chặn bởi reCAPTCHA v2 (server kiểm), lấy qua mail. newinvoice.com.vn</t>
        </is>
      </c>
    </row>
    <row r="49" ht="15.75" customHeight="1">
      <c r="A49" s="90" t="n"/>
      <c r="B49" s="90" t="n"/>
      <c r="C49" s="90" t="n"/>
      <c r="D49" s="90" t="n"/>
      <c r="E49" s="13" t="inlineStr">
        <is>
          <t>Công ty Cổ phần Giải pháp phần mềm 3A</t>
        </is>
      </c>
      <c r="F49" s="14" t="inlineStr">
        <is>
          <t>0108516079</t>
        </is>
      </c>
      <c r="G49" s="15" t="n">
        <v>46327</v>
      </c>
      <c r="H49" s="15" t="n">
        <v>46356</v>
      </c>
      <c r="I49" s="16" t="inlineStr">
        <is>
          <t>Chưa hoàn thành</t>
        </is>
      </c>
      <c r="J49" s="33" t="inlineStr">
        <is>
          <t>Chưa làm. hddt.3asoft.vn: mtk + shd + mst, không captcha</t>
        </is>
      </c>
    </row>
    <row r="50" ht="15.75" customHeight="1">
      <c r="A50" s="90" t="n"/>
      <c r="B50" s="90" t="n"/>
      <c r="C50" s="90" t="n"/>
      <c r="D50" s="90" t="n"/>
      <c r="E50" s="13" t="inlineStr">
        <is>
          <t>Tổng công ty Viễn thông Mobifone</t>
        </is>
      </c>
      <c r="F50" s="14" t="inlineStr">
        <is>
          <t>0100686209</t>
        </is>
      </c>
      <c r="G50" s="15" t="n">
        <v>46322</v>
      </c>
      <c r="H50" s="15" t="n">
        <v>46322</v>
      </c>
      <c r="I50" s="16" t="inlineStr">
        <is>
          <t>Hoàn thành</t>
        </is>
      </c>
      <c r="J50" s="33" t="n"/>
    </row>
    <row r="51" ht="15.75" customHeight="1">
      <c r="A51" s="90" t="n"/>
      <c r="B51" s="90" t="n"/>
      <c r="C51" s="90" t="n"/>
      <c r="D51" s="90" t="n"/>
      <c r="E51" s="13" t="inlineStr">
        <is>
          <t>Công ty Cổ phần BKAV</t>
        </is>
      </c>
      <c r="F51" s="14" t="inlineStr">
        <is>
          <t>0101360697</t>
        </is>
      </c>
      <c r="G51" s="15" t="n">
        <v>46308</v>
      </c>
      <c r="H51" s="15" t="n">
        <v>46309</v>
      </c>
      <c r="I51" s="16" t="inlineStr">
        <is>
          <t>Hoàn thành</t>
        </is>
      </c>
      <c r="J51" s="33" t="n"/>
    </row>
    <row r="52" ht="15.75" customHeight="1">
      <c r="A52" s="90" t="n"/>
      <c r="B52" s="90" t="n"/>
      <c r="C52" s="90" t="n"/>
      <c r="D52" s="90" t="n"/>
      <c r="E52" s="13" t="inlineStr">
        <is>
          <t>Công ty Cổ phần phát triển phần mềm ASIA</t>
        </is>
      </c>
      <c r="F52" s="14" t="inlineStr">
        <is>
          <t>0101162173</t>
        </is>
      </c>
      <c r="G52" s="15" t="n">
        <v>46321</v>
      </c>
      <c r="H52" s="15" t="n">
        <v>46321</v>
      </c>
      <c r="I52" s="16" t="inlineStr">
        <is>
          <t>Hoàn thành</t>
        </is>
      </c>
      <c r="J52" s="33" t="n"/>
    </row>
    <row r="53" ht="15.75" customHeight="1">
      <c r="A53" s="90" t="n"/>
      <c r="B53" s="90" t="n"/>
      <c r="C53" s="90" t="n"/>
      <c r="D53" s="90" t="n"/>
      <c r="E53" s="13" t="inlineStr">
        <is>
          <t>Công ty Cổ phần thương mại Visnam</t>
        </is>
      </c>
      <c r="F53" s="14" t="inlineStr">
        <is>
          <t>0401486901</t>
        </is>
      </c>
      <c r="G53" s="15" t="n">
        <v>46308</v>
      </c>
      <c r="H53" s="15" t="n">
        <v>46309</v>
      </c>
      <c r="I53" s="16" t="inlineStr">
        <is>
          <t>Hoàn thành</t>
        </is>
      </c>
      <c r="J53" s="33" t="n"/>
    </row>
    <row r="54" ht="15.75" customHeight="1">
      <c r="A54" s="90" t="n"/>
      <c r="B54" s="90" t="n"/>
      <c r="C54" s="90" t="n"/>
      <c r="D54" s="90" t="n"/>
      <c r="E54" s="13" t="inlineStr">
        <is>
          <t>Công ty Cổ phần Thiết bị điện - Điện tử Bách Khoa</t>
        </is>
      </c>
      <c r="F54" s="14" t="inlineStr">
        <is>
          <t>0200784873</t>
        </is>
      </c>
      <c r="G54" s="15" t="n">
        <v>46327</v>
      </c>
      <c r="H54" s="15" t="n">
        <v>46356</v>
      </c>
      <c r="I54" s="16" t="inlineStr">
        <is>
          <t>Sẵn sàng</t>
        </is>
      </c>
      <c r="J54" s="33" t="inlineStr">
        <is>
          <t>pmbk – không captcha</t>
        </is>
      </c>
    </row>
    <row r="55" ht="15.75" customHeight="1">
      <c r="A55" s="90" t="n"/>
      <c r="B55" s="90" t="n"/>
      <c r="C55" s="90" t="n"/>
      <c r="D55" s="90" t="n"/>
      <c r="E55" s="13" t="inlineStr">
        <is>
          <t>Tập Đoàn Bưu chính viễn thông Việt Nam</t>
        </is>
      </c>
      <c r="F55" s="14" t="inlineStr">
        <is>
          <t>0100684378</t>
        </is>
      </c>
      <c r="G55" s="15" t="n">
        <v>46308</v>
      </c>
      <c r="H55" s="15" t="n">
        <v>46322</v>
      </c>
      <c r="I55" s="16" t="inlineStr">
        <is>
          <t>Hoàn thành</t>
        </is>
      </c>
      <c r="J55" s="33" t="inlineStr">
        <is>
          <t>27/10: thêm cổng Nội Bài invoice-noibai.vietnamairport.vn → han-tt78.vnpt-invoice.com.vn (Fkey trong link mail, thật 1/1); host -tt78 có dấu '_' cũng nhận</t>
        </is>
      </c>
    </row>
    <row r="56" ht="15.75" customHeight="1">
      <c r="A56" s="90" t="n"/>
      <c r="B56" s="90" t="n"/>
      <c r="C56" s="90" t="n"/>
      <c r="D56" s="90" t="n"/>
      <c r="E56" s="13" t="inlineStr">
        <is>
          <t>Công ty Cổ phần dịch vụ T-VAN HILO</t>
        </is>
      </c>
      <c r="F56" s="14" t="inlineStr">
        <is>
          <t>0106713804</t>
        </is>
      </c>
      <c r="G56" s="15" t="n">
        <v>46308</v>
      </c>
      <c r="H56" s="15" t="n">
        <v>46309</v>
      </c>
      <c r="I56" s="16" t="inlineStr">
        <is>
          <t>Hoàn thành</t>
        </is>
      </c>
      <c r="J56" s="33" t="n"/>
    </row>
    <row r="57" ht="15.75" customHeight="1">
      <c r="A57" s="90" t="n"/>
      <c r="B57" s="90" t="n"/>
      <c r="C57" s="90" t="n"/>
      <c r="D57" s="90" t="n"/>
      <c r="E57" s="13" t="inlineStr">
        <is>
          <t>Công ty Cổ phần Minh Khang Group</t>
        </is>
      </c>
      <c r="F57" s="14" t="inlineStr">
        <is>
          <t>0314209362</t>
        </is>
      </c>
      <c r="G57" s="15" t="n">
        <v>46318</v>
      </c>
      <c r="H57" s="15" t="n">
        <v>46318</v>
      </c>
      <c r="I57" s="16" t="inlineStr">
        <is>
          <t>Hoàn thành</t>
        </is>
      </c>
      <c r="J57" s="33" t="n"/>
    </row>
    <row r="58" ht="15.75" customHeight="1">
      <c r="A58" s="90" t="n"/>
      <c r="B58" s="90" t="n"/>
      <c r="C58" s="90" t="n"/>
      <c r="D58" s="90" t="n"/>
      <c r="E58" s="13" t="inlineStr">
        <is>
          <t>Công ty Cổ phần Giải pháp hóa đơn điện tử Việt Nam</t>
        </is>
      </c>
      <c r="F58" s="14" t="inlineStr">
        <is>
          <t>0101352495</t>
        </is>
      </c>
      <c r="G58" s="15" t="n">
        <v>46327</v>
      </c>
      <c r="H58" s="15" t="n">
        <v>46356</v>
      </c>
      <c r="I58" s="16" t="inlineStr">
        <is>
          <t>Chưa hoàn thành</t>
        </is>
      </c>
      <c r="J58" s="33" t="inlineStr">
        <is>
          <t>Chưa làm được – model captcha g_180x50_vn còn sai hoa/thường. tracuu.v50.vninvoice.vn, không reCAPTCHA; cần gán lại nhãn + train</t>
        </is>
      </c>
    </row>
    <row r="59" ht="15.75" customHeight="1">
      <c r="A59" s="90" t="n"/>
      <c r="B59" s="90" t="n"/>
      <c r="C59" s="90" t="n"/>
      <c r="D59" s="90" t="n"/>
      <c r="E59" s="13" t="inlineStr">
        <is>
          <t>Công ty Cổ phần giải pháp thanh toán Việt Nam</t>
        </is>
      </c>
      <c r="F59" s="14" t="inlineStr">
        <is>
          <t>0102182292</t>
        </is>
      </c>
      <c r="G59" s="15" t="n">
        <v>46357</v>
      </c>
      <c r="H59" s="15" t="n">
        <v>46387</v>
      </c>
      <c r="I59" s="16" t="inlineStr">
        <is>
          <t>Chưa hoàn thành</t>
        </is>
      </c>
      <c r="J59" s="33" t="inlineStr">
        <is>
          <t>Không làm được qua link tra cứu – reCAPTCHA v3 (khảo sát 14/10), lấy qua mail. portal.vnpayinvoice.vn</t>
        </is>
      </c>
    </row>
    <row r="60" ht="15.75" customHeight="1">
      <c r="A60" s="90" t="n"/>
      <c r="B60" s="90" t="n"/>
      <c r="C60" s="90" t="n"/>
      <c r="D60" s="90" t="n"/>
      <c r="E60" s="13" t="inlineStr">
        <is>
          <t>Công ty Cổ phần ICORP</t>
        </is>
      </c>
      <c r="F60" s="14" t="inlineStr">
        <is>
          <t>0106870211</t>
        </is>
      </c>
      <c r="G60" s="15" t="n">
        <v>46327</v>
      </c>
      <c r="H60" s="15" t="n">
        <v>46356</v>
      </c>
      <c r="I60" s="16" t="inlineStr">
        <is>
          <t>Sẵn sàng</t>
        </is>
      </c>
      <c r="J60" s="33" t="inlineStr">
        <is>
          <t>vietinvoice – 2 cổng, không captcha</t>
        </is>
      </c>
    </row>
    <row r="61" ht="15.75" customHeight="1">
      <c r="A61" s="90" t="n"/>
      <c r="B61" s="90" t="n"/>
      <c r="C61" s="90" t="n"/>
      <c r="D61" s="90" t="n"/>
      <c r="E61" s="13" t="inlineStr">
        <is>
          <t>Công ty Cổ phần đầu tư và công nghệ idocNet</t>
        </is>
      </c>
      <c r="F61" s="14" t="inlineStr">
        <is>
          <t>0104614692</t>
        </is>
      </c>
      <c r="G61" s="15" t="n">
        <v>46357</v>
      </c>
      <c r="H61" s="15" t="n">
        <v>46387</v>
      </c>
      <c r="I61" s="16" t="inlineStr">
        <is>
          <t>Chưa hoàn thành</t>
        </is>
      </c>
      <c r="J61" s="33" t="inlineStr">
        <is>
          <t>Không làm được qua link tra cứu – bị chặn bởi reCAPTCHA v2 (server kiểm), lấy qua mail. hoadontvan.com</t>
        </is>
      </c>
    </row>
    <row r="62" ht="15.75" customHeight="1">
      <c r="A62" s="90" t="n"/>
      <c r="B62" s="90" t="n"/>
      <c r="C62" s="90" t="n"/>
      <c r="D62" s="90" t="n"/>
      <c r="E62" s="13" t="inlineStr">
        <is>
          <t>Công ty Cổ phần chữ ký số VI NA</t>
        </is>
      </c>
      <c r="F62" s="14" t="inlineStr">
        <is>
          <t>0309612872</t>
        </is>
      </c>
      <c r="G62" s="15" t="n">
        <v>46318</v>
      </c>
      <c r="H62" s="15" t="n">
        <v>46318</v>
      </c>
      <c r="I62" s="16" t="inlineStr">
        <is>
          <t>Hoàn thành</t>
        </is>
      </c>
      <c r="J62" s="33" t="n"/>
    </row>
    <row r="63" ht="15.75" customHeight="1">
      <c r="A63" s="90" t="n"/>
      <c r="B63" s="90" t="n"/>
      <c r="C63" s="90" t="n"/>
      <c r="D63" s="90" t="n"/>
      <c r="E63" s="13" t="inlineStr">
        <is>
          <t>Công ty Cổ phần TS24</t>
        </is>
      </c>
      <c r="F63" s="14" t="inlineStr">
        <is>
          <t>0309478306</t>
        </is>
      </c>
      <c r="G63" s="15" t="n">
        <v>46357</v>
      </c>
      <c r="H63" s="15" t="n">
        <v>46387</v>
      </c>
      <c r="I63" s="16" t="inlineStr">
        <is>
          <t>Chưa hoàn thành</t>
        </is>
      </c>
      <c r="J63" s="33" t="inlineStr">
        <is>
          <t>bị chặn bởi Cloudflare Turnstile, lấy qua mail. tracuu.xuathoadon.vn</t>
        </is>
      </c>
    </row>
    <row r="64" ht="15.75" customHeight="1">
      <c r="A64" s="90" t="n"/>
      <c r="B64" s="90" t="n"/>
      <c r="C64" s="90" t="n"/>
      <c r="D64" s="90" t="n"/>
      <c r="E64" s="13" t="inlineStr">
        <is>
          <t>Công ty TNHH Hóa đơn điện tử TCT</t>
        </is>
      </c>
      <c r="F64" s="14" t="inlineStr">
        <is>
          <t>0315298333</t>
        </is>
      </c>
      <c r="G64" s="15" t="n">
        <v>46357</v>
      </c>
      <c r="H64" s="15" t="n">
        <v>46387</v>
      </c>
      <c r="I64" s="16" t="inlineStr">
        <is>
          <t>Chưa hoàn thành</t>
        </is>
      </c>
      <c r="J64" s="33" t="inlineStr">
        <is>
          <t>Không làm được qua link tra cứu – site đã đổi chủ</t>
        </is>
      </c>
    </row>
    <row r="65" ht="15.75" customHeight="1">
      <c r="A65" s="90" t="n"/>
      <c r="B65" s="90" t="n"/>
      <c r="C65" s="90" t="n"/>
      <c r="D65" s="90" t="n"/>
      <c r="E65" s="13" t="inlineStr">
        <is>
          <t>Công ty TNHH Tin học Tia lửa Việt</t>
        </is>
      </c>
      <c r="F65" s="14" t="inlineStr">
        <is>
          <t>0303609305</t>
        </is>
      </c>
      <c r="G65" s="15" t="n">
        <v>46327</v>
      </c>
      <c r="H65" s="15" t="n">
        <v>46356</v>
      </c>
      <c r="I65" s="16" t="inlineStr">
        <is>
          <t>Sẵn sàng</t>
        </is>
      </c>
      <c r="J65" s="33" t="inlineStr">
        <is>
          <t>tialuaviet – phần mềm Vĩnh Hy, không captcha</t>
        </is>
      </c>
    </row>
    <row r="66" ht="15.75" customHeight="1">
      <c r="A66" s="90" t="n"/>
      <c r="B66" s="90" t="n"/>
      <c r="C66" s="90" t="n"/>
      <c r="D66" s="90" t="n"/>
      <c r="E66" s="13" t="inlineStr">
        <is>
          <t>Công ty Cổ phần phần mềm quản lý doanh nghiệp</t>
        </is>
      </c>
      <c r="F66" s="14" t="inlineStr">
        <is>
          <t>0100727825</t>
        </is>
      </c>
      <c r="G66" s="15" t="n">
        <v>46318</v>
      </c>
      <c r="H66" s="15" t="n">
        <v>46318</v>
      </c>
      <c r="I66" s="21" t="inlineStr">
        <is>
          <t>Hoàn thành</t>
        </is>
      </c>
      <c r="J66" s="33" t="n"/>
    </row>
    <row r="67" ht="15.75" customHeight="1">
      <c r="A67" s="90" t="n"/>
      <c r="B67" s="90" t="n"/>
      <c r="C67" s="90" t="n"/>
      <c r="D67" s="90" t="n"/>
      <c r="E67" s="13" t="inlineStr">
        <is>
          <t>Công ty TNHH ACCONLINE.VN</t>
        </is>
      </c>
      <c r="F67" s="14" t="inlineStr">
        <is>
          <t>0315467091</t>
        </is>
      </c>
      <c r="G67" s="15" t="n">
        <v>46357</v>
      </c>
      <c r="H67" s="15" t="n">
        <v>46387</v>
      </c>
      <c r="I67" s="16" t="inlineStr">
        <is>
          <t>Chưa hoàn thành</t>
        </is>
      </c>
      <c r="J67" s="33" t="inlineStr">
        <is>
          <t>Không làm được qua link tra cứu – bị chặn bởi reCAPTCHA v2 (server kiểm), lấy qua mail. acconline.vn</t>
        </is>
      </c>
    </row>
    <row r="68" ht="15.75" customHeight="1">
      <c r="A68" s="90" t="n"/>
      <c r="B68" s="90" t="n"/>
      <c r="C68" s="90" t="n"/>
      <c r="D68" s="90" t="n"/>
      <c r="E68" s="13" t="inlineStr">
        <is>
          <t>Công ty Cổ phần công nghệ hóa đơn điện tử HT</t>
        </is>
      </c>
      <c r="F68" s="14" t="inlineStr">
        <is>
          <t>0315638251</t>
        </is>
      </c>
      <c r="G68" s="15" t="n">
        <v>46357</v>
      </c>
      <c r="H68" s="15" t="n">
        <v>46387</v>
      </c>
      <c r="I68" s="16" t="inlineStr">
        <is>
          <t>Chưa hoàn thành</t>
        </is>
      </c>
      <c r="J68" s="33" t="inlineStr">
        <is>
          <t>bị chặn bởi reCAPTCHA, lấy qua mail. laphoadon.htinvoice.vn: 'Xác thực không thành công. Recaptcha'</t>
        </is>
      </c>
    </row>
    <row r="69" ht="15.75" customHeight="1">
      <c r="A69" s="90" t="n"/>
      <c r="B69" s="90" t="n"/>
      <c r="C69" s="90" t="n"/>
      <c r="D69" s="90" t="n"/>
      <c r="E69" s="13" t="inlineStr">
        <is>
          <t>Công ty Cổ phần công nghệ ITT</t>
        </is>
      </c>
      <c r="F69" s="14" t="inlineStr">
        <is>
          <t>0105958921</t>
        </is>
      </c>
      <c r="G69" s="15" t="n">
        <v>46327</v>
      </c>
      <c r="H69" s="15" t="n">
        <v>46356</v>
      </c>
      <c r="I69" s="16" t="inlineStr">
        <is>
          <t>Chưa hoàn thành</t>
        </is>
      </c>
      <c r="J69" s="33" t="inlineStr">
        <is>
          <t>Chưa làm – chưa có HĐ thật. tracuu.cloudinvoice.vn: 1 ô mã tra cứu, không captcha</t>
        </is>
      </c>
    </row>
    <row r="70" ht="15.75" customHeight="1">
      <c r="A70" s="90" t="n"/>
      <c r="B70" s="90" t="n"/>
      <c r="C70" s="90" t="n"/>
      <c r="D70" s="90" t="n"/>
      <c r="E70" s="13" t="inlineStr">
        <is>
          <t>Công ty TNHH PA Việt Nam</t>
        </is>
      </c>
      <c r="F70" s="14" t="inlineStr">
        <is>
          <t>0302431595</t>
        </is>
      </c>
      <c r="G70" s="15" t="n">
        <v>46318</v>
      </c>
      <c r="H70" s="15" t="n">
        <v>46318</v>
      </c>
      <c r="I70" s="16" t="inlineStr">
        <is>
          <t>Hoàn thành</t>
        </is>
      </c>
      <c r="J70" s="33" t="n"/>
    </row>
    <row r="71" ht="15.75" customHeight="1">
      <c r="A71" s="90" t="n"/>
      <c r="B71" s="90" t="n"/>
      <c r="C71" s="90" t="n"/>
      <c r="D71" s="90" t="n"/>
      <c r="E71" s="13" t="inlineStr">
        <is>
          <t>Công ty Cổ phần tích hợp công nghệ VNISC</t>
        </is>
      </c>
      <c r="F71" s="14" t="inlineStr">
        <is>
          <t>0103018807</t>
        </is>
      </c>
      <c r="G71" s="15" t="n">
        <v>46318</v>
      </c>
      <c r="H71" s="15" t="n">
        <v>46318</v>
      </c>
      <c r="I71" s="21" t="inlineStr">
        <is>
          <t>Hoàn thành</t>
        </is>
      </c>
      <c r="J71" s="33" t="n"/>
    </row>
    <row r="72" ht="15.75" customHeight="1">
      <c r="A72" s="90" t="n"/>
      <c r="B72" s="90" t="n"/>
      <c r="C72" s="90" t="n"/>
      <c r="D72" s="90" t="n"/>
      <c r="E72" s="13" t="inlineStr">
        <is>
          <t>Công ty TNHH Giải pháp hóa đơn điện tử My – Invoice</t>
        </is>
      </c>
      <c r="F72" s="14" t="inlineStr">
        <is>
          <t>0106820789</t>
        </is>
      </c>
      <c r="G72" s="15" t="n">
        <v>46327</v>
      </c>
      <c r="H72" s="15" t="n">
        <v>46356</v>
      </c>
      <c r="I72" s="16" t="inlineStr">
        <is>
          <t>Sẵn sàng</t>
        </is>
      </c>
      <c r="J72" s="33" t="inlineStr">
        <is>
          <t>myinvoicevn – xcyber bill2app, captcha g_300x75; 27/10 cổng tracuu.hoadondientuvn.info không truy cập được</t>
        </is>
      </c>
    </row>
    <row r="73" ht="15.75" customHeight="1">
      <c r="A73" s="90" t="n"/>
      <c r="B73" s="90" t="n"/>
      <c r="C73" s="90" t="n"/>
      <c r="D73" s="90" t="n"/>
      <c r="E73" s="13" t="inlineStr">
        <is>
          <t>Công ty Cổ phần Chứng số An toàn</t>
        </is>
      </c>
      <c r="F73" s="14" t="inlineStr">
        <is>
          <t>0310151055</t>
        </is>
      </c>
      <c r="G73" s="15" t="n">
        <v>46357</v>
      </c>
      <c r="H73" s="15" t="n">
        <v>46387</v>
      </c>
      <c r="I73" s="16" t="inlineStr">
        <is>
          <t>Chưa hoàn thành</t>
        </is>
      </c>
      <c r="J73" s="33" t="inlineStr">
        <is>
          <t>Không làm được qua link tra cứu – bị chặn bởi reCAPTCHA v2 (server kiểm), lấy qua mail. safecert.com.vn</t>
        </is>
      </c>
    </row>
    <row r="74" ht="15.75" customHeight="1">
      <c r="A74" s="90" t="n"/>
      <c r="B74" s="90" t="n"/>
      <c r="C74" s="90" t="n"/>
      <c r="D74" s="90" t="n"/>
      <c r="E74" s="13" t="inlineStr">
        <is>
          <t>Công ty Cổ phần công nghệ San Phú</t>
        </is>
      </c>
      <c r="F74" s="14" t="inlineStr">
        <is>
          <t>0303430876</t>
        </is>
      </c>
      <c r="G74" s="15" t="n">
        <v>46357</v>
      </c>
      <c r="H74" s="15" t="n">
        <v>46387</v>
      </c>
      <c r="I74" s="16" t="inlineStr">
        <is>
          <t>Chưa hoàn thành</t>
        </is>
      </c>
      <c r="J74" s="33" t="inlineStr">
        <is>
          <t>Không làm được qua link tra cứu – chỉ là công cụ đọc XML. dailychukyso.com.vn/read-xml.php</t>
        </is>
      </c>
    </row>
    <row r="75" ht="15.75" customHeight="1">
      <c r="A75" s="90" t="n"/>
      <c r="B75" s="90" t="n"/>
      <c r="C75" s="90" t="n"/>
      <c r="D75" s="90" t="n"/>
      <c r="E75" s="13" t="inlineStr">
        <is>
          <t>Công ty TNHH Giấy vi tính Liên Sơn</t>
        </is>
      </c>
      <c r="F75" s="14" t="inlineStr">
        <is>
          <t>0301452923</t>
        </is>
      </c>
      <c r="G75" s="15" t="n">
        <v>46327</v>
      </c>
      <c r="H75" s="15" t="n">
        <v>46356</v>
      </c>
      <c r="I75" s="16" t="inlineStr">
        <is>
          <t>Sẵn sàng</t>
        </is>
      </c>
      <c r="J75" s="33" t="inlineStr">
        <is>
          <t>lienson – nền xcyber, captcha g_300x75 (server nhận)</t>
        </is>
      </c>
    </row>
    <row r="76" ht="15.75" customHeight="1">
      <c r="A76" s="90" t="n"/>
      <c r="B76" s="90" t="n"/>
      <c r="C76" s="90" t="n"/>
      <c r="D76" s="90" t="n"/>
      <c r="E76" s="13" t="inlineStr">
        <is>
          <t>Công ty TNHH Thương Mại dịch vụ Online VI NA</t>
        </is>
      </c>
      <c r="F76" s="14" t="inlineStr">
        <is>
          <t>0314185087</t>
        </is>
      </c>
      <c r="G76" s="15" t="n">
        <v>46321</v>
      </c>
      <c r="H76" s="15" t="n">
        <v>46321</v>
      </c>
      <c r="I76" s="16" t="inlineStr">
        <is>
          <t>Hoàn thành</t>
        </is>
      </c>
      <c r="J76" s="33" t="n"/>
    </row>
    <row r="77" ht="15.75" customHeight="1">
      <c r="A77" s="90" t="n"/>
      <c r="B77" s="90" t="n"/>
      <c r="C77" s="90" t="n"/>
      <c r="D77" s="90" t="n"/>
      <c r="E77" s="13" t="inlineStr">
        <is>
          <t>Công ty Cổ phần dịch vụ viễn thông và in Bưu điện</t>
        </is>
      </c>
      <c r="F77" s="14" t="inlineStr">
        <is>
          <t>0100687474</t>
        </is>
      </c>
      <c r="G77" s="15" t="n">
        <v>46327</v>
      </c>
      <c r="H77" s="15" t="n">
        <v>46356</v>
      </c>
      <c r="I77" s="16" t="inlineStr">
        <is>
          <t>Sẵn sàng</t>
        </is>
      </c>
      <c r="J77" s="33" t="inlineStr">
        <is>
          <t>ptp – MST bán + số bảo mật</t>
        </is>
      </c>
    </row>
    <row r="78" ht="15.75" customHeight="1">
      <c r="A78" s="90" t="n"/>
      <c r="B78" s="90" t="n"/>
      <c r="C78" s="90" t="n"/>
      <c r="D78" s="90" t="n"/>
      <c r="E78" s="13" t="inlineStr">
        <is>
          <t>Công ty TNHH Tuần Châu</t>
        </is>
      </c>
      <c r="F78" s="14" t="inlineStr">
        <is>
          <t>0400462489</t>
        </is>
      </c>
      <c r="G78" s="15" t="n">
        <v>46327</v>
      </c>
      <c r="H78" s="15" t="n">
        <v>46356</v>
      </c>
      <c r="I78" s="16" t="inlineStr">
        <is>
          <t>Sẵn sàng</t>
        </is>
      </c>
      <c r="J78" s="33" t="inlineStr">
        <is>
          <t>tuanchau – phần mềm Vĩnh Hy, không captcha</t>
        </is>
      </c>
    </row>
    <row r="79" ht="15.75" customHeight="1">
      <c r="A79" s="90" t="n"/>
      <c r="B79" s="90" t="n"/>
      <c r="C79" s="90" t="n"/>
      <c r="D79" s="90" t="n"/>
      <c r="E79" s="13" t="inlineStr">
        <is>
          <t>Công ty TNHH Minh Thư</t>
        </is>
      </c>
      <c r="F79" s="14" t="inlineStr">
        <is>
          <t>3500456910</t>
        </is>
      </c>
      <c r="G79" s="15" t="n">
        <v>46327</v>
      </c>
      <c r="H79" s="15" t="n">
        <v>46356</v>
      </c>
      <c r="I79" s="16" t="inlineStr">
        <is>
          <t>Sẵn sàng</t>
        </is>
      </c>
      <c r="J79" s="33" t="inlineStr">
        <is>
          <t>minhthu – phần mềm Vĩnh Hy, không captcha</t>
        </is>
      </c>
    </row>
    <row r="80" ht="15.75" customHeight="1">
      <c r="A80" s="90" t="n"/>
      <c r="B80" s="90" t="n"/>
      <c r="C80" s="90" t="n"/>
      <c r="D80" s="90" t="n"/>
      <c r="E80" s="13" t="inlineStr">
        <is>
          <t>Công ty Cổ phần phát triển công nghệ ACMAN</t>
        </is>
      </c>
      <c r="F80" s="14" t="inlineStr">
        <is>
          <t>0104908371</t>
        </is>
      </c>
      <c r="G80" s="15" t="n">
        <v>46327</v>
      </c>
      <c r="H80" s="15" t="n">
        <v>46356</v>
      </c>
      <c r="I80" s="16" t="inlineStr">
        <is>
          <t>Sẵn sàng</t>
        </is>
      </c>
      <c r="J80" s="33" t="inlineStr">
        <is>
          <t>acman – form WebForms</t>
        </is>
      </c>
    </row>
    <row r="81" ht="15.75" customHeight="1">
      <c r="A81" s="90" t="n"/>
      <c r="B81" s="90" t="n"/>
      <c r="C81" s="90" t="n"/>
      <c r="D81" s="90" t="n"/>
      <c r="E81" s="13" t="inlineStr">
        <is>
          <t>Công ty TNHH Tư vấn thương mại Trí Việt Luật</t>
        </is>
      </c>
      <c r="F81" s="14" t="inlineStr">
        <is>
          <t>0315191291</t>
        </is>
      </c>
      <c r="G81" s="15" t="n">
        <v>46327</v>
      </c>
      <c r="H81" s="15" t="n">
        <v>46356</v>
      </c>
      <c r="I81" s="16" t="inlineStr">
        <is>
          <t>Sẵn sàng</t>
        </is>
      </c>
      <c r="J81" s="33" t="inlineStr">
        <is>
          <t>evat – hoadonsovn.evat.vn, không captcha</t>
        </is>
      </c>
    </row>
    <row r="82" ht="15.75" customHeight="1">
      <c r="A82" s="90" t="n"/>
      <c r="B82" s="90" t="n"/>
      <c r="C82" s="90" t="n"/>
      <c r="D82" s="90" t="n"/>
      <c r="E82" s="13" t="inlineStr">
        <is>
          <t>Công ty TNHH Đầu tư Hòn Ngọc Việt</t>
        </is>
      </c>
      <c r="F82" s="14" t="inlineStr">
        <is>
          <t>0313844107</t>
        </is>
      </c>
      <c r="G82" s="15" t="n">
        <v>46357</v>
      </c>
      <c r="H82" s="15" t="n">
        <v>46387</v>
      </c>
      <c r="I82" s="16" t="inlineStr">
        <is>
          <t>Chưa hoàn thành</t>
        </is>
      </c>
      <c r="J82" s="33" t="inlineStr">
        <is>
          <t>Không làm được qua link tra cứu – cổng không có tra cứu HĐ. voice.hoadondientu.net.vn: chỉ ô tìm kiếm tin tức</t>
        </is>
      </c>
    </row>
    <row r="83" ht="15.75" customHeight="1">
      <c r="A83" s="90" t="n"/>
      <c r="B83" s="90" t="n"/>
      <c r="C83" s="90" t="n"/>
      <c r="D83" s="90" t="n"/>
      <c r="E83" s="13" t="inlineStr">
        <is>
          <t>Công ty TNHH Dịch vụ Trí Việt Luật</t>
        </is>
      </c>
      <c r="F83" s="14" t="inlineStr">
        <is>
          <t>0311622035</t>
        </is>
      </c>
      <c r="G83" s="15" t="n">
        <v>46327</v>
      </c>
      <c r="H83" s="15" t="n">
        <v>46356</v>
      </c>
      <c r="I83" s="16" t="inlineStr">
        <is>
          <t>Sẵn sàng</t>
        </is>
      </c>
      <c r="J83" s="33" t="inlineStr">
        <is>
          <t>evat – tvl.evat.vn, không captcha (không cần đăng nhập)</t>
        </is>
      </c>
    </row>
    <row r="84" ht="15.75" customHeight="1">
      <c r="A84" s="90" t="n"/>
      <c r="B84" s="90" t="n"/>
      <c r="C84" s="90" t="n"/>
      <c r="D84" s="90" t="n"/>
      <c r="E84" s="13" t="inlineStr">
        <is>
          <t>Công ty Cổ phần truyền số liệu Việt Nam</t>
        </is>
      </c>
      <c r="F84" s="14" t="inlineStr">
        <is>
          <t>0106361479</t>
        </is>
      </c>
      <c r="G84" s="15" t="n">
        <v>46357</v>
      </c>
      <c r="H84" s="15" t="n">
        <v>46387</v>
      </c>
      <c r="I84" s="16" t="inlineStr">
        <is>
          <t>Chưa hoàn thành</t>
        </is>
      </c>
      <c r="J84" s="33" t="inlineStr">
        <is>
          <t>Chưa có thông tin</t>
        </is>
      </c>
    </row>
    <row r="85" ht="15.75" customHeight="1">
      <c r="A85" s="90" t="n"/>
      <c r="B85" s="90" t="n"/>
      <c r="C85" s="90" t="n"/>
      <c r="D85" s="90" t="n"/>
      <c r="E85" s="13" t="inlineStr">
        <is>
          <t>Công ty TNHH NC9 Việt Nam</t>
        </is>
      </c>
      <c r="F85" s="14" t="inlineStr">
        <is>
          <t>0312270160</t>
        </is>
      </c>
      <c r="G85" s="15" t="n">
        <v>46357</v>
      </c>
      <c r="H85" s="15" t="n">
        <v>46387</v>
      </c>
      <c r="I85" s="16" t="inlineStr">
        <is>
          <t>Chưa hoàn thành</t>
        </is>
      </c>
      <c r="J85" s="33" t="inlineStr">
        <is>
          <t>Chưa có thông tin</t>
        </is>
      </c>
    </row>
    <row r="86" ht="15.75" customHeight="1">
      <c r="A86" s="90" t="n"/>
      <c r="B86" s="90" t="n"/>
      <c r="C86" s="90" t="n"/>
      <c r="D86" s="90" t="n"/>
      <c r="E86" s="13" t="inlineStr">
        <is>
          <t>Công ty Cổ phần giải pháp First Trust</t>
        </is>
      </c>
      <c r="F86" s="14" t="inlineStr">
        <is>
          <t>0104493085</t>
        </is>
      </c>
      <c r="G86" s="15" t="n">
        <v>46327</v>
      </c>
      <c r="H86" s="15" t="n">
        <v>46356</v>
      </c>
      <c r="I86" s="16" t="inlineStr">
        <is>
          <t>Chưa hoàn thành</t>
        </is>
      </c>
      <c r="J86" s="33" t="inlineStr">
        <is>
          <t>Chưa làm. Link trỏ về cổng FAST (invoice.fast.com.vn); có HĐ thật thì thử gán adapter fast (set-provider)</t>
        </is>
      </c>
    </row>
    <row r="87" ht="15.75" customHeight="1">
      <c r="A87" s="90" t="n"/>
      <c r="B87" s="90" t="n"/>
      <c r="C87" s="90" t="n"/>
      <c r="D87" s="90" t="n"/>
      <c r="E87" s="13" t="inlineStr">
        <is>
          <t>Công ty TNHH Phần mềm Nhân Hòa</t>
        </is>
      </c>
      <c r="F87" s="14" t="inlineStr">
        <is>
          <t>0101289966</t>
        </is>
      </c>
      <c r="G87" s="15" t="n">
        <v>46357</v>
      </c>
      <c r="H87" s="15" t="n">
        <v>46387</v>
      </c>
      <c r="I87" s="16" t="inlineStr">
        <is>
          <t>Chưa hoàn thành</t>
        </is>
      </c>
      <c r="J87" s="33" t="inlineStr">
        <is>
          <t>Không làm được qua link tra cứu – reCAPTCHA v3 (khảo sát 14/10), lấy qua mail. tracuu.e-hoadon.cloud</t>
        </is>
      </c>
    </row>
    <row r="88" ht="15.75" customHeight="1">
      <c r="A88" s="90" t="n"/>
      <c r="B88" s="90" t="n"/>
      <c r="C88" s="90" t="n"/>
      <c r="D88" s="90" t="n"/>
      <c r="E88" s="13" t="inlineStr">
        <is>
          <t>Công ty TNHH Kế toán và tư vấn V.L.C</t>
        </is>
      </c>
      <c r="F88" s="14" t="inlineStr">
        <is>
          <t>0303211948</t>
        </is>
      </c>
      <c r="G88" s="15" t="n">
        <v>46327</v>
      </c>
      <c r="H88" s="15" t="n">
        <v>46356</v>
      </c>
      <c r="I88" s="16" t="inlineStr">
        <is>
          <t>Sẵn sàng</t>
        </is>
      </c>
      <c r="J88" s="33" t="inlineStr">
        <is>
          <t>evat – vlc.evat.vn, không captcha</t>
        </is>
      </c>
    </row>
    <row r="89" ht="15.75" customHeight="1">
      <c r="A89" s="90" t="n"/>
      <c r="B89" s="90" t="n"/>
      <c r="C89" s="90" t="n"/>
      <c r="D89" s="90" t="n"/>
      <c r="E89" s="13" t="inlineStr">
        <is>
          <t>Công ty Cổ phần Công nghệ và giải pháp Tâm Việt</t>
        </is>
      </c>
      <c r="F89" s="14" t="inlineStr">
        <is>
          <t>0101622374</t>
        </is>
      </c>
      <c r="G89" s="15" t="n">
        <v>46357</v>
      </c>
      <c r="H89" s="15" t="n">
        <v>46387</v>
      </c>
      <c r="I89" s="16" t="inlineStr">
        <is>
          <t>Chưa hoàn thành</t>
        </is>
      </c>
      <c r="J89" s="33" t="inlineStr">
        <is>
          <t>Chưa làm – danh sách chưa có link tra cứu, chưa có HĐ thật</t>
        </is>
      </c>
    </row>
    <row r="90" ht="15.75" customHeight="1">
      <c r="A90" s="90" t="n"/>
      <c r="B90" s="90" t="n"/>
      <c r="C90" s="90" t="n"/>
      <c r="D90" s="90" t="n"/>
      <c r="E90" s="13" t="inlineStr">
        <is>
          <t>Công ty TNHH Dịch vụ phần mềm AVSE</t>
        </is>
      </c>
      <c r="F90" s="14" t="inlineStr">
        <is>
          <t>0310768095</t>
        </is>
      </c>
      <c r="G90" s="15" t="n">
        <v>46327</v>
      </c>
      <c r="H90" s="15" t="n">
        <v>46356</v>
      </c>
      <c r="I90" s="16" t="inlineStr">
        <is>
          <t>Sẵn sàng</t>
        </is>
      </c>
      <c r="J90" s="33" t="inlineStr">
        <is>
          <t>avse</t>
        </is>
      </c>
    </row>
    <row r="91" ht="15.75" customHeight="1">
      <c r="A91" s="90" t="n"/>
      <c r="B91" s="90" t="n"/>
      <c r="C91" s="90" t="n"/>
      <c r="D91" s="90" t="n"/>
      <c r="E91" s="13" t="inlineStr">
        <is>
          <t>Công ty TNHH MTV in Bến Thành</t>
        </is>
      </c>
      <c r="F91" s="14" t="inlineStr">
        <is>
          <t>0312961577</t>
        </is>
      </c>
      <c r="G91" s="15" t="n">
        <v>46357</v>
      </c>
      <c r="H91" s="15" t="n">
        <v>46387</v>
      </c>
      <c r="I91" s="16" t="inlineStr">
        <is>
          <t>Chưa hoàn thành</t>
        </is>
      </c>
      <c r="J91" s="33" t="inlineStr">
        <is>
          <t>Không làm được qua link tra cứu – cổng lỗi. tracuuhoadon.benthanhvoice.vn</t>
        </is>
      </c>
    </row>
    <row r="92" ht="15.75" customHeight="1">
      <c r="A92" s="90" t="n"/>
      <c r="B92" s="90" t="n"/>
      <c r="C92" s="90" t="n"/>
      <c r="D92" s="90" t="n"/>
      <c r="E92" s="13" t="inlineStr">
        <is>
          <t>Công ty TNHH ZAMO</t>
        </is>
      </c>
      <c r="F92" s="14" t="inlineStr">
        <is>
          <t>0313950909</t>
        </is>
      </c>
      <c r="G92" s="15" t="n">
        <v>46327</v>
      </c>
      <c r="H92" s="15" t="n">
        <v>46356</v>
      </c>
      <c r="I92" s="16" t="inlineStr">
        <is>
          <t>Sẵn sàng</t>
        </is>
      </c>
      <c r="J92" s="33" t="inlineStr">
        <is>
          <t>koffi – mã trong mail</t>
        </is>
      </c>
    </row>
    <row r="93" ht="15.75" customHeight="1">
      <c r="A93" s="90" t="n"/>
      <c r="B93" s="90" t="n"/>
      <c r="C93" s="90" t="n"/>
      <c r="D93" s="90" t="n"/>
      <c r="E93" s="13" t="inlineStr">
        <is>
          <t>Công ty Cổ phần công nghệ VIETINFO</t>
        </is>
      </c>
      <c r="F93" s="14" t="inlineStr">
        <is>
          <t>0311928954</t>
        </is>
      </c>
      <c r="G93" s="15" t="n">
        <v>46327</v>
      </c>
      <c r="H93" s="15" t="n">
        <v>46356</v>
      </c>
      <c r="I93" s="16" t="inlineStr">
        <is>
          <t>Sẵn sàng</t>
        </is>
      </c>
      <c r="J93" s="33" t="inlineStr">
        <is>
          <t>vietinfo – mã + ngày lập</t>
        </is>
      </c>
    </row>
    <row r="94" ht="15.75" customHeight="1">
      <c r="A94" s="90" t="n"/>
      <c r="B94" s="90" t="n"/>
      <c r="C94" s="90" t="n"/>
      <c r="D94" s="90" t="n"/>
      <c r="E94" s="13" t="inlineStr">
        <is>
          <t>Công ty Cổ phần phát triển phần mềm và công nghệ Bitware</t>
        </is>
      </c>
      <c r="F94" s="14" t="inlineStr">
        <is>
          <t>0103770970</t>
        </is>
      </c>
      <c r="G94" s="15" t="n">
        <v>46327</v>
      </c>
      <c r="H94" s="15" t="n">
        <v>46356</v>
      </c>
      <c r="I94" s="16" t="inlineStr">
        <is>
          <t>Chưa hoàn thành</t>
        </is>
      </c>
      <c r="J94" s="33" t="inlineStr">
        <is>
          <t>Chưa làm được – model captcha g_70x23 chưa dùng được. bitware.vn/tracuuhoadon</t>
        </is>
      </c>
    </row>
    <row r="95" ht="15.75" customHeight="1">
      <c r="A95" s="90" t="n"/>
      <c r="B95" s="90" t="n"/>
      <c r="C95" s="90" t="n"/>
      <c r="D95" s="90" t="n"/>
      <c r="E95" s="13" t="inlineStr">
        <is>
          <t>Công ty Cổ phần phần mềm Rosy</t>
        </is>
      </c>
      <c r="F95" s="14" t="inlineStr">
        <is>
          <t>0305142231</t>
        </is>
      </c>
      <c r="G95" s="15" t="n">
        <v>46321</v>
      </c>
      <c r="H95" s="15" t="n">
        <v>46321</v>
      </c>
      <c r="I95" s="16" t="inlineStr">
        <is>
          <t>Hoàn thành</t>
        </is>
      </c>
      <c r="J95" s="33" t="n"/>
    </row>
    <row r="96" ht="15.75" customHeight="1">
      <c r="A96" s="90" t="n"/>
      <c r="B96" s="90" t="n"/>
      <c r="C96" s="90" t="n"/>
      <c r="D96" s="90" t="n"/>
      <c r="E96" s="13" t="inlineStr">
        <is>
          <t>Công ty TNHH MTV thương mại dịch vụ Trần Đình Tùng</t>
        </is>
      </c>
      <c r="F96" s="14" t="inlineStr">
        <is>
          <t>3702037020</t>
        </is>
      </c>
      <c r="G96" s="15" t="n">
        <v>46327</v>
      </c>
      <c r="H96" s="15" t="n">
        <v>46356</v>
      </c>
      <c r="I96" s="16" t="inlineStr">
        <is>
          <t>Sẵn sàng</t>
        </is>
      </c>
      <c r="J96" s="33" t="inlineStr">
        <is>
          <t>evat – trandinhtung.evat.vn, không captcha</t>
        </is>
      </c>
    </row>
    <row r="97" ht="15.75" customHeight="1">
      <c r="A97" s="90" t="n"/>
      <c r="B97" s="90" t="n"/>
      <c r="C97" s="90" t="n"/>
      <c r="D97" s="90" t="n"/>
      <c r="E97" s="13" t="inlineStr">
        <is>
          <t>Công ty TNHH Tổng công ty Công nghệ và Giải pháp CMC</t>
        </is>
      </c>
      <c r="F97" s="14" t="inlineStr">
        <is>
          <t>0101925883</t>
        </is>
      </c>
      <c r="G97" s="15" t="n">
        <v>46357</v>
      </c>
      <c r="H97" s="15" t="n">
        <v>46387</v>
      </c>
      <c r="I97" s="21" t="inlineStr">
        <is>
          <t>Chưa hoàn thành</t>
        </is>
      </c>
      <c r="J97" s="33" t="inlineStr">
        <is>
          <t>bị chặn bởi reCAPTCHA, lấy qua mail. dính reCAPTCHA Enterprise</t>
        </is>
      </c>
    </row>
    <row r="98" ht="15.75" customHeight="1">
      <c r="A98" s="90" t="n"/>
      <c r="B98" s="90" t="n"/>
      <c r="C98" s="90" t="n"/>
      <c r="D98" s="90" t="n"/>
      <c r="E98" s="13" t="inlineStr">
        <is>
          <t>Công ty TNHH Công nghệ và tư vấn Phương Nam</t>
        </is>
      </c>
      <c r="F98" s="14" t="inlineStr">
        <is>
          <t>0316642395</t>
        </is>
      </c>
      <c r="G98" s="15" t="n">
        <v>46321</v>
      </c>
      <c r="H98" s="15" t="n">
        <v>46321</v>
      </c>
      <c r="I98" s="16" t="inlineStr">
        <is>
          <t>Hoàn thành</t>
        </is>
      </c>
      <c r="J98" s="33" t="n"/>
    </row>
    <row r="99" ht="15.75" customHeight="1">
      <c r="A99" s="90" t="n"/>
      <c r="B99" s="90" t="n"/>
      <c r="C99" s="90" t="n"/>
      <c r="D99" s="90" t="n"/>
      <c r="E99" s="13" t="inlineStr">
        <is>
          <t>Công ty TNHH Dịch vụ kế toán - Tư vấn thuế TTL</t>
        </is>
      </c>
      <c r="F99" s="14" t="inlineStr">
        <is>
          <t>0315194912</t>
        </is>
      </c>
      <c r="G99" s="15" t="n">
        <v>46327</v>
      </c>
      <c r="H99" s="15" t="n">
        <v>46356</v>
      </c>
      <c r="I99" s="16" t="inlineStr">
        <is>
          <t>Sẵn sàng</t>
        </is>
      </c>
      <c r="J99" s="33" t="inlineStr">
        <is>
          <t>evat – tracuu.ttltax.com, không captcha</t>
        </is>
      </c>
    </row>
    <row r="100" ht="15.75" customHeight="1">
      <c r="A100" s="90" t="n"/>
      <c r="B100" s="90" t="n"/>
      <c r="C100" s="90" t="n"/>
      <c r="D100" s="90" t="n"/>
      <c r="E100" s="13" t="inlineStr">
        <is>
          <t>Công ty Cô phần Công nghệ Phát triển hóa đơn điện tử Việt Nam</t>
        </is>
      </c>
      <c r="F100" s="14" t="inlineStr">
        <is>
          <t>0315983667</t>
        </is>
      </c>
      <c r="G100" s="15" t="n">
        <v>46357</v>
      </c>
      <c r="H100" s="15" t="n">
        <v>46387</v>
      </c>
      <c r="I100" s="16" t="inlineStr">
        <is>
          <t>Chưa hoàn thành</t>
        </is>
      </c>
      <c r="J100" s="33" t="inlineStr">
        <is>
          <t>Chưa làm – cổng lỗi máy chủ, chưa có HĐ thật</t>
        </is>
      </c>
    </row>
    <row r="101" ht="15.75" customHeight="1">
      <c r="A101" s="90" t="n"/>
      <c r="B101" s="90" t="n"/>
      <c r="C101" s="90" t="n"/>
      <c r="D101" s="90" t="n"/>
      <c r="E101" s="13" t="inlineStr">
        <is>
          <t>Công ty TNHH Phần mềm kế toán và dịch vụ thủ tục thuế Sài Gòn</t>
        </is>
      </c>
      <c r="F101" s="14" t="inlineStr">
        <is>
          <t>0310926922</t>
        </is>
      </c>
      <c r="G101" s="15" t="n">
        <v>46327</v>
      </c>
      <c r="H101" s="15" t="n">
        <v>46356</v>
      </c>
      <c r="I101" s="16" t="inlineStr">
        <is>
          <t>Sẵn sàng</t>
        </is>
      </c>
      <c r="J101" s="33" t="inlineStr">
        <is>
          <t>ehcm</t>
        </is>
      </c>
    </row>
    <row r="102" ht="15.75" customHeight="1">
      <c r="A102" s="90" t="n"/>
      <c r="B102" s="90" t="n"/>
      <c r="C102" s="90" t="n"/>
      <c r="D102" s="90" t="n"/>
      <c r="E102" s="13" t="inlineStr">
        <is>
          <t>Công ty Cổ phần Phần mềm Thăng Long</t>
        </is>
      </c>
      <c r="F102" s="14" t="inlineStr">
        <is>
          <t>0101010702</t>
        </is>
      </c>
      <c r="G102" s="15" t="n">
        <v>46357</v>
      </c>
      <c r="H102" s="15" t="n">
        <v>46387</v>
      </c>
      <c r="I102" s="16" t="inlineStr">
        <is>
          <t>Chưa hoàn thành</t>
        </is>
      </c>
      <c r="J102" s="33" t="inlineStr">
        <is>
          <t>Chưa làm – danh sách chưa có link tra cứu, chưa có HĐ thật</t>
        </is>
      </c>
    </row>
    <row r="103" ht="15.75" customHeight="1">
      <c r="A103" s="90" t="n"/>
      <c r="B103" s="90" t="n"/>
      <c r="C103" s="90" t="n"/>
      <c r="D103" s="90" t="n"/>
      <c r="E103" s="13" t="inlineStr">
        <is>
          <t>Công ty Cổ phần Hóa đơn điện tử TIG Thăng Long</t>
        </is>
      </c>
      <c r="F103" s="14" t="inlineStr">
        <is>
          <t>0102720409</t>
        </is>
      </c>
      <c r="G103" s="15" t="n">
        <v>46357</v>
      </c>
      <c r="H103" s="15" t="n">
        <v>46387</v>
      </c>
      <c r="I103" s="16" t="inlineStr">
        <is>
          <t>Chưa hoàn thành</t>
        </is>
      </c>
      <c r="J103" s="33" t="inlineStr">
        <is>
          <t>Chưa làm – danh sách chưa có link tra cứu, chưa có HĐ thật</t>
        </is>
      </c>
    </row>
    <row r="104" ht="15.75" customHeight="1">
      <c r="A104" s="90" t="n"/>
      <c r="B104" s="90" t="n"/>
      <c r="C104" s="90" t="n"/>
      <c r="D104" s="90" t="n"/>
      <c r="E104" s="13" t="inlineStr">
        <is>
          <t>Công ty TNHH Viễn thông Đông Sài Gòn</t>
        </is>
      </c>
      <c r="F104" s="14" t="inlineStr">
        <is>
          <t>0314058603</t>
        </is>
      </c>
      <c r="G104" s="15" t="n">
        <v>46357</v>
      </c>
      <c r="H104" s="15" t="n">
        <v>46387</v>
      </c>
      <c r="I104" s="16" t="inlineStr">
        <is>
          <t>Chưa hoàn thành</t>
        </is>
      </c>
      <c r="J104" s="33" t="inlineStr">
        <is>
          <t>Không làm được qua link tra cứu – phải đăng nhập. vdsg-invoice.vn, BotDetect trên form đăng nhập</t>
        </is>
      </c>
    </row>
    <row r="105" ht="15.75" customHeight="1">
      <c r="A105" s="90" t="n"/>
      <c r="B105" s="90" t="n"/>
      <c r="C105" s="90" t="n"/>
      <c r="D105" s="90" t="n"/>
      <c r="E105" s="13" t="inlineStr">
        <is>
          <t>Công ty Cổ phần Tin học Lạc Việt</t>
        </is>
      </c>
      <c r="F105" s="14" t="inlineStr">
        <is>
          <t>0301448733</t>
        </is>
      </c>
      <c r="G105" s="15" t="n">
        <v>46327</v>
      </c>
      <c r="H105" s="15" t="n">
        <v>46356</v>
      </c>
      <c r="I105" s="16" t="inlineStr">
        <is>
          <t>Chưa hoàn thành</t>
        </is>
      </c>
      <c r="J105" s="33" t="inlineStr">
        <is>
          <t>Chưa làm được – chưa có model captcha (g_150x32). accnet.vn / lacviet.hdtt.vn</t>
        </is>
      </c>
    </row>
    <row r="106" ht="15.75" customHeight="1">
      <c r="A106" s="90" t="n"/>
      <c r="B106" s="90" t="n"/>
      <c r="C106" s="90" t="n"/>
      <c r="D106" s="90" t="n"/>
      <c r="E106" s="13" t="inlineStr">
        <is>
          <t>Công ty Cổ phần Công nghệ TADU</t>
        </is>
      </c>
      <c r="F106" s="14" t="inlineStr">
        <is>
          <t>0313253288</t>
        </is>
      </c>
      <c r="G106" s="15" t="n">
        <v>46327</v>
      </c>
      <c r="H106" s="15" t="n">
        <v>46356</v>
      </c>
      <c r="I106" s="16" t="inlineStr">
        <is>
          <t>Chưa hoàn thành</t>
        </is>
      </c>
      <c r="J106" s="33" t="inlineStr">
        <is>
          <t>Chưa làm. tracuu.autoinvoice.vn: ZK framework (/zkau), không captcha</t>
        </is>
      </c>
    </row>
    <row r="107" ht="15.75" customHeight="1">
      <c r="A107" s="90" t="n"/>
      <c r="B107" s="90" t="n"/>
      <c r="C107" s="90" t="n"/>
      <c r="D107" s="90" t="n"/>
      <c r="E107" s="13" t="inlineStr">
        <is>
          <t>Công ty Cổ phần Công nghệ UNIT</t>
        </is>
      </c>
      <c r="F107" s="14" t="inlineStr">
        <is>
          <t>0309889835</t>
        </is>
      </c>
      <c r="G107" s="15" t="n">
        <v>46357</v>
      </c>
      <c r="H107" s="15" t="n">
        <v>46387</v>
      </c>
      <c r="I107" s="16" t="inlineStr">
        <is>
          <t>Chưa hoàn thành</t>
        </is>
      </c>
      <c r="J107" s="33" t="inlineStr">
        <is>
          <t>Chưa làm</t>
        </is>
      </c>
    </row>
    <row r="108" ht="15.75" customHeight="1">
      <c r="A108" s="90" t="n"/>
      <c r="B108" s="90" t="n"/>
      <c r="C108" s="90" t="n"/>
      <c r="D108" s="90" t="n"/>
      <c r="E108" s="13" t="inlineStr">
        <is>
          <t>Công ty Cổ phần phát triển và ứng dụng phần mềm Bách Khoa</t>
        </is>
      </c>
      <c r="F108" s="14" t="inlineStr">
        <is>
          <t>0202029650</t>
        </is>
      </c>
      <c r="G108" s="15" t="n">
        <v>46327</v>
      </c>
      <c r="H108" s="15" t="n">
        <v>46356</v>
      </c>
      <c r="I108" s="16" t="inlineStr">
        <is>
          <t>Sẵn sàng</t>
        </is>
      </c>
      <c r="J108" s="33" t="n"/>
    </row>
    <row r="109" ht="15.75" customHeight="1">
      <c r="A109" s="90" t="n"/>
      <c r="B109" s="90" t="n"/>
      <c r="C109" s="90" t="n"/>
      <c r="D109" s="90" t="n"/>
      <c r="E109" s="13" t="inlineStr">
        <is>
          <t>Công ty Cổ phần My Software</t>
        </is>
      </c>
      <c r="F109" s="14" t="inlineStr">
        <is>
          <t>0108971656</t>
        </is>
      </c>
      <c r="G109" s="15" t="n">
        <v>46308</v>
      </c>
      <c r="H109" s="15" t="n">
        <v>46317</v>
      </c>
      <c r="I109" s="16" t="inlineStr">
        <is>
          <t>Hoàn thành</t>
        </is>
      </c>
      <c r="J109" s="33" t="n"/>
    </row>
    <row r="110" ht="15.75" customHeight="1">
      <c r="A110" s="90" t="n"/>
      <c r="B110" s="90" t="n"/>
      <c r="C110" s="90" t="n"/>
      <c r="D110" s="90" t="n"/>
      <c r="E110" s="13" t="inlineStr">
        <is>
          <t>Công ty TNHH Công nghệ HT Sài Gòn</t>
        </is>
      </c>
      <c r="F110" s="14" t="inlineStr">
        <is>
          <t>0312942260</t>
        </is>
      </c>
      <c r="G110" s="15" t="n">
        <v>46327</v>
      </c>
      <c r="H110" s="15" t="n">
        <v>46356</v>
      </c>
      <c r="I110" s="16" t="inlineStr">
        <is>
          <t>Sẵn sàng</t>
        </is>
      </c>
      <c r="J110" s="33" t="n"/>
    </row>
    <row r="111" ht="15.75" customHeight="1">
      <c r="A111" s="90" t="n"/>
      <c r="B111" s="90" t="n"/>
      <c r="C111" s="90" t="n"/>
      <c r="D111" s="90" t="n"/>
      <c r="E111" s="27" t="inlineStr">
        <is>
          <t>Công ty TNHH WEBCASH Việt Nam</t>
        </is>
      </c>
      <c r="F111" s="14" t="inlineStr">
        <is>
          <t>1201496252</t>
        </is>
      </c>
      <c r="G111" s="15" t="n">
        <v>46322</v>
      </c>
      <c r="H111" s="15" t="n">
        <v>46322</v>
      </c>
      <c r="I111" s="16" t="inlineStr">
        <is>
          <t>Hoàn thành</t>
        </is>
      </c>
      <c r="J111" s="33" t="n"/>
    </row>
    <row r="112" ht="15.75" customHeight="1">
      <c r="A112" s="90" t="n"/>
      <c r="B112" s="90" t="n"/>
      <c r="C112" s="90" t="n"/>
      <c r="D112" s="90" t="n"/>
      <c r="E112" s="13" t="inlineStr">
        <is>
          <t>Công ty TNHH Phần mềm và Tư vấn Kim Tự Tháp</t>
        </is>
      </c>
      <c r="F112" s="14" t="inlineStr">
        <is>
          <t>0303549303</t>
        </is>
      </c>
      <c r="G112" s="15" t="n">
        <v>46327</v>
      </c>
      <c r="H112" s="15" t="n">
        <v>46356</v>
      </c>
      <c r="I112" s="16" t="inlineStr">
        <is>
          <t>Sẵn sàng</t>
        </is>
      </c>
      <c r="J112" s="33" t="inlineStr">
        <is>
          <t>kimtuthap – mã bí mật GUID</t>
        </is>
      </c>
    </row>
    <row r="113" ht="15.75" customHeight="1">
      <c r="A113" s="90" t="n"/>
      <c r="B113" s="90" t="n"/>
      <c r="C113" s="90" t="n"/>
      <c r="D113" s="90" t="n"/>
      <c r="E113" s="13" t="inlineStr">
        <is>
          <t>Công ty TNHH Phần mềm BRB</t>
        </is>
      </c>
      <c r="F113" s="14" t="inlineStr">
        <is>
          <t>0311914694</t>
        </is>
      </c>
      <c r="G113" s="15" t="n">
        <v>46357</v>
      </c>
      <c r="H113" s="15" t="n">
        <v>46387</v>
      </c>
      <c r="I113" s="16" t="inlineStr">
        <is>
          <t>Chưa hoàn thành</t>
        </is>
      </c>
      <c r="J113" s="33" t="inlineStr">
        <is>
          <t>Chưa làm</t>
        </is>
      </c>
    </row>
    <row r="114" ht="15.75" customHeight="1">
      <c r="A114" s="90" t="n"/>
      <c r="B114" s="90" t="n"/>
      <c r="C114" s="90" t="n"/>
      <c r="D114" s="90" t="n"/>
      <c r="E114" s="13" t="inlineStr">
        <is>
          <t>Công ty TNHH Nhóm Mây</t>
        </is>
      </c>
      <c r="F114" s="14" t="inlineStr">
        <is>
          <t>0312617990</t>
        </is>
      </c>
      <c r="G114" s="15" t="n">
        <v>46327</v>
      </c>
      <c r="H114" s="15" t="n">
        <v>46356</v>
      </c>
      <c r="I114" s="16" t="inlineStr">
        <is>
          <t>Sẵn sàng</t>
        </is>
      </c>
      <c r="J114" s="33" t="n"/>
    </row>
    <row r="115" ht="15.75" customHeight="1">
      <c r="A115" s="90" t="n"/>
      <c r="B115" s="90" t="n"/>
      <c r="C115" s="90" t="n"/>
      <c r="D115" s="90" t="n"/>
      <c r="E115" s="13" t="inlineStr">
        <is>
          <t>Công ty Cổ phần Hóa đơn điện tử VININVOICE</t>
        </is>
      </c>
      <c r="F115" s="14" t="inlineStr">
        <is>
          <t>0109282176</t>
        </is>
      </c>
      <c r="G115" s="15" t="n">
        <v>46321</v>
      </c>
      <c r="H115" s="15" t="n">
        <v>46321</v>
      </c>
      <c r="I115" s="16" t="inlineStr">
        <is>
          <t>Hoàn thành</t>
        </is>
      </c>
      <c r="J115" s="33" t="n"/>
    </row>
    <row r="116" ht="15.75" customHeight="1">
      <c r="A116" s="90" t="n"/>
      <c r="B116" s="90" t="n"/>
      <c r="C116" s="90" t="n"/>
      <c r="D116" s="90" t="n"/>
      <c r="E116" s="13" t="inlineStr">
        <is>
          <t>Trung tâm Tin học và Công nghệ số</t>
        </is>
      </c>
      <c r="F116" s="14" t="inlineStr">
        <is>
          <t>0102723181</t>
        </is>
      </c>
      <c r="G116" s="15" t="n">
        <v>46357</v>
      </c>
      <c r="H116" s="15" t="n">
        <v>46387</v>
      </c>
      <c r="I116" s="16" t="inlineStr">
        <is>
          <t>Chưa hoàn thành</t>
        </is>
      </c>
      <c r="J116" s="33" t="inlineStr">
        <is>
          <t>Chưa làm</t>
        </is>
      </c>
    </row>
    <row r="117" ht="15.75" customHeight="1">
      <c r="A117" s="90" t="n"/>
      <c r="B117" s="90" t="n"/>
      <c r="C117" s="90" t="n"/>
      <c r="D117" s="90" t="n"/>
      <c r="E117" s="13" t="inlineStr">
        <is>
          <t>Công ty Cổ phần VETC</t>
        </is>
      </c>
      <c r="F117" s="14" t="inlineStr">
        <is>
          <t>0106858609</t>
        </is>
      </c>
      <c r="G117" s="15" t="n">
        <v>46308</v>
      </c>
      <c r="H117" s="15" t="n">
        <v>46309</v>
      </c>
      <c r="I117" s="16" t="inlineStr">
        <is>
          <t>Hoàn thành</t>
        </is>
      </c>
      <c r="J117" s="33" t="n"/>
    </row>
    <row r="118" ht="15.75" customHeight="1">
      <c r="A118" s="90" t="n"/>
      <c r="B118" s="90" t="n"/>
      <c r="C118" s="90" t="n"/>
      <c r="D118" s="90" t="n"/>
      <c r="E118" s="13" t="inlineStr">
        <is>
          <t>Công ty TNHH Phần mềm PVS</t>
        </is>
      </c>
      <c r="F118" s="14" t="inlineStr">
        <is>
          <t>0315151651</t>
        </is>
      </c>
      <c r="G118" s="15" t="n">
        <v>46357</v>
      </c>
      <c r="H118" s="15" t="n">
        <v>46387</v>
      </c>
      <c r="I118" s="16" t="inlineStr">
        <is>
          <t>Chưa hoàn thành</t>
        </is>
      </c>
      <c r="J118" s="33" t="inlineStr">
        <is>
          <t>Không làm được qua link tra cứu – cổng lỗi. invoice.pvssolution.com</t>
        </is>
      </c>
    </row>
    <row r="119" ht="15.75" customHeight="1">
      <c r="A119" s="90" t="n"/>
      <c r="B119" s="90" t="n"/>
      <c r="C119" s="90" t="n"/>
      <c r="D119" s="90" t="n"/>
      <c r="E119" s="13" t="inlineStr">
        <is>
          <t>Công ty Cổ phần Dịch vụ Thương mại Việt Nam trực tuyến</t>
        </is>
      </c>
      <c r="F119" s="14" t="inlineStr">
        <is>
          <t>0310151739</t>
        </is>
      </c>
      <c r="G119" s="15" t="n">
        <v>46357</v>
      </c>
      <c r="H119" s="15" t="n">
        <v>46387</v>
      </c>
      <c r="I119" s="16" t="inlineStr">
        <is>
          <t>Chưa hoàn thành</t>
        </is>
      </c>
      <c r="J119" s="33" t="inlineStr">
        <is>
          <t>Chưa làm</t>
        </is>
      </c>
    </row>
    <row r="120" ht="15.75" customHeight="1">
      <c r="A120" s="90" t="n"/>
      <c r="B120" s="90" t="n"/>
      <c r="C120" s="90" t="n"/>
      <c r="D120" s="90" t="n"/>
      <c r="E120" s="13" t="inlineStr">
        <is>
          <t>Công ty TNHH Ecount Việt Nam</t>
        </is>
      </c>
      <c r="F120" s="14" t="inlineStr">
        <is>
          <t>0312575123</t>
        </is>
      </c>
      <c r="G120" s="15" t="n">
        <v>46357</v>
      </c>
      <c r="H120" s="15" t="n">
        <v>46387</v>
      </c>
      <c r="I120" s="16" t="inlineStr">
        <is>
          <t>Chưa hoàn thành</t>
        </is>
      </c>
      <c r="J120" s="33" t="inlineStr">
        <is>
          <t>Chưa làm</t>
        </is>
      </c>
    </row>
    <row r="121" ht="15.75" customHeight="1">
      <c r="A121" s="90" t="n"/>
      <c r="B121" s="90" t="n"/>
      <c r="C121" s="90" t="n"/>
      <c r="D121" s="90" t="n"/>
      <c r="E121" s="13" t="inlineStr">
        <is>
          <t>Công ty Cổ phần ATIS</t>
        </is>
      </c>
      <c r="F121" s="14" t="inlineStr">
        <is>
          <t>0107732197</t>
        </is>
      </c>
      <c r="G121" s="15" t="n">
        <v>46327</v>
      </c>
      <c r="H121" s="15" t="n">
        <v>46356</v>
      </c>
      <c r="I121" s="16" t="inlineStr">
        <is>
          <t>Sẵn sàng</t>
        </is>
      </c>
      <c r="J121" s="33" t="n"/>
    </row>
    <row r="122" ht="15.75" customHeight="1">
      <c r="A122" s="90" t="n"/>
      <c r="B122" s="90" t="n"/>
      <c r="C122" s="90" t="n"/>
      <c r="D122" s="90" t="n"/>
      <c r="E122" s="28" t="inlineStr">
        <is>
          <t>Công ty Cổ phần GMO-Z.com RUNSYSTEM</t>
        </is>
      </c>
      <c r="F122" s="14" t="inlineStr">
        <is>
          <t>0101659906</t>
        </is>
      </c>
      <c r="G122" s="15" t="n">
        <v>46357</v>
      </c>
      <c r="H122" s="15" t="n">
        <v>46387</v>
      </c>
      <c r="I122" s="16" t="inlineStr">
        <is>
          <t>Chưa hoàn thành</t>
        </is>
      </c>
      <c r="J122" s="33" t="inlineStr">
        <is>
          <t>Không làm được qua link tra cứu – cổng lỗi. tracuu.kaike.vn</t>
        </is>
      </c>
    </row>
    <row r="123" ht="15.75" customHeight="1">
      <c r="A123" s="90" t="n"/>
      <c r="B123" s="90" t="n"/>
      <c r="C123" s="90" t="n"/>
      <c r="D123" s="90" t="n"/>
      <c r="E123" s="13" t="inlineStr">
        <is>
          <t>Công ty Cổ phần Tin học - Viễn thông Hàng không</t>
        </is>
      </c>
      <c r="F123" s="14" t="inlineStr">
        <is>
          <t>0103019524</t>
        </is>
      </c>
      <c r="G123" s="15" t="n">
        <v>46327</v>
      </c>
      <c r="H123" s="15" t="n">
        <v>46356</v>
      </c>
      <c r="I123" s="16" t="inlineStr">
        <is>
          <t>Sẵn sàng</t>
        </is>
      </c>
      <c r="J123" s="33" t="n"/>
    </row>
    <row r="124" ht="15.75" customHeight="1">
      <c r="A124" s="90" t="n"/>
      <c r="B124" s="90" t="n"/>
      <c r="C124" s="90" t="n"/>
      <c r="D124" s="90" t="n"/>
      <c r="E124" s="13" t="inlineStr">
        <is>
          <t>Công ty TNHH Bizzi VietNam</t>
        </is>
      </c>
      <c r="F124" s="14" t="inlineStr">
        <is>
          <t>0316114998</t>
        </is>
      </c>
      <c r="G124" s="15" t="n">
        <v>46357</v>
      </c>
      <c r="H124" s="15" t="n">
        <v>46387</v>
      </c>
      <c r="I124" s="16" t="inlineStr">
        <is>
          <t>Chưa hoàn thành</t>
        </is>
      </c>
      <c r="J124" s="33" t="inlineStr">
        <is>
          <t>Không làm được qua link tra cứu – bị chặn bởi Cloudflare Turnstile, lấy qua mail. tchd.bizzi.vn</t>
        </is>
      </c>
    </row>
    <row r="125" ht="15.75" customHeight="1">
      <c r="A125" s="90" t="n"/>
      <c r="B125" s="90" t="n"/>
      <c r="C125" s="90" t="n"/>
      <c r="D125" s="90" t="n"/>
      <c r="E125" s="13" t="inlineStr">
        <is>
          <t>Công ty Cổ phần Công nghệ BEE</t>
        </is>
      </c>
      <c r="F125" s="14" t="inlineStr">
        <is>
          <t>0316636497</t>
        </is>
      </c>
      <c r="G125" s="15" t="n">
        <v>46357</v>
      </c>
      <c r="H125" s="15" t="n">
        <v>46387</v>
      </c>
      <c r="I125" s="16" t="inlineStr">
        <is>
          <t>Chưa hoàn thành</t>
        </is>
      </c>
      <c r="J125" s="33" t="inlineStr">
        <is>
          <t>Chưa làm – danh sách chưa có link tra cứu, chưa có HĐ thật</t>
        </is>
      </c>
    </row>
    <row r="126" ht="15.75" customHeight="1">
      <c r="A126" s="90" t="n"/>
      <c r="B126" s="90" t="n"/>
      <c r="C126" s="90" t="n"/>
      <c r="D126" s="90" t="n"/>
      <c r="E126" s="13" t="inlineStr">
        <is>
          <t>Công ty Cổ phần MONT-E</t>
        </is>
      </c>
      <c r="F126" s="14" t="inlineStr">
        <is>
          <t>0106249501</t>
        </is>
      </c>
      <c r="G126" s="15" t="n">
        <v>46357</v>
      </c>
      <c r="H126" s="15" t="n">
        <v>46387</v>
      </c>
      <c r="I126" s="16" t="inlineStr">
        <is>
          <t>Chưa hoàn thành</t>
        </is>
      </c>
      <c r="J126" s="33" t="inlineStr">
        <is>
          <t>Chưa làm – danh sách chưa có link tra cứu, chưa có HĐ thật</t>
        </is>
      </c>
    </row>
    <row r="127" ht="15.75" customHeight="1">
      <c r="A127" s="90" t="n"/>
      <c r="B127" s="90" t="n"/>
      <c r="C127" s="90" t="n"/>
      <c r="D127" s="90" t="n"/>
      <c r="E127" s="13" t="inlineStr">
        <is>
          <t>Công ty TNHH Tư vấn và Dịch vụ Home Casta</t>
        </is>
      </c>
      <c r="F127" s="14" t="inlineStr">
        <is>
          <t>0201802839</t>
        </is>
      </c>
      <c r="G127" s="15" t="n">
        <v>46327</v>
      </c>
      <c r="H127" s="15" t="n">
        <v>46356</v>
      </c>
      <c r="I127" s="16" t="inlineStr">
        <is>
          <t>Sẵn sàng</t>
        </is>
      </c>
      <c r="J127" s="33" t="n"/>
    </row>
    <row r="128" ht="15.75" customHeight="1">
      <c r="A128" s="90" t="n"/>
      <c r="B128" s="90" t="n"/>
      <c r="C128" s="90" t="n"/>
      <c r="D128" s="90" t="n"/>
      <c r="E128" s="28" t="inlineStr">
        <is>
          <t>Công ty CP Tư vấn và Chuyển giao công nghệ Sơn Phát</t>
        </is>
      </c>
      <c r="F128" s="14" t="inlineStr">
        <is>
          <t>4601328480</t>
        </is>
      </c>
      <c r="G128" s="15" t="n">
        <v>46327</v>
      </c>
      <c r="H128" s="15" t="n">
        <v>46356</v>
      </c>
      <c r="I128" s="16" t="inlineStr">
        <is>
          <t>Sẵn sàng</t>
        </is>
      </c>
      <c r="J128" s="33" t="n"/>
    </row>
    <row r="129" ht="15.75" customHeight="1">
      <c r="A129" s="90" t="n"/>
      <c r="B129" s="90" t="n"/>
      <c r="C129" s="90" t="n"/>
      <c r="D129" s="90" t="n"/>
      <c r="E129" s="70" t="inlineStr">
        <is>
          <t>Công ty Cổ phần công nghệ KIOTVIET</t>
        </is>
      </c>
      <c r="F129" s="14" t="inlineStr">
        <is>
          <t>0104359717</t>
        </is>
      </c>
      <c r="G129" s="15" t="n">
        <v>46322</v>
      </c>
      <c r="H129" s="15" t="n">
        <v>46322</v>
      </c>
      <c r="I129" s="16" t="inlineStr">
        <is>
          <t>Hoàn thành</t>
        </is>
      </c>
      <c r="J129" s="33" t="n"/>
    </row>
    <row r="130" ht="15.75" customHeight="1">
      <c r="A130" s="90" t="n"/>
      <c r="B130" s="90" t="n"/>
      <c r="C130" s="90" t="n"/>
      <c r="D130" s="90" t="n"/>
      <c r="E130" s="70" t="inlineStr">
        <is>
          <t>Công ty Cổ phần công nghệ HARAVAN</t>
        </is>
      </c>
      <c r="F130" s="14" t="inlineStr">
        <is>
          <t>0312662961</t>
        </is>
      </c>
      <c r="G130" s="15" t="n">
        <v>46357</v>
      </c>
      <c r="H130" s="15" t="n">
        <v>46387</v>
      </c>
      <c r="I130" s="16" t="inlineStr">
        <is>
          <t>Chưa hoàn thành</t>
        </is>
      </c>
      <c r="J130" s="33" t="inlineStr">
        <is>
          <t>Không làm được qua link tra cứu – reCAPTCHA v3 (khảo sát 14/10), lấy qua mail. e-invoices.haravan.app</t>
        </is>
      </c>
    </row>
    <row r="131" ht="15.75" customHeight="1">
      <c r="A131" s="90" t="n"/>
      <c r="B131" s="90" t="n"/>
      <c r="C131" s="90" t="n"/>
      <c r="D131" s="90" t="n"/>
      <c r="E131" s="70" t="inlineStr">
        <is>
          <t>Công ty Cổ phần IPOS.VN</t>
        </is>
      </c>
      <c r="F131" s="14" t="inlineStr">
        <is>
          <t>0104789847</t>
        </is>
      </c>
      <c r="G131" s="15" t="n">
        <v>46309</v>
      </c>
      <c r="H131" s="15" t="n">
        <v>46317</v>
      </c>
      <c r="I131" s="16" t="inlineStr">
        <is>
          <t>Hoàn thành</t>
        </is>
      </c>
      <c r="J131" s="33" t="n"/>
    </row>
    <row r="132" ht="15.75" customHeight="1">
      <c r="A132" s="90" t="n"/>
      <c r="B132" s="90" t="n"/>
      <c r="C132" s="90" t="n"/>
      <c r="D132" s="90" t="n"/>
      <c r="E132" s="70" t="inlineStr">
        <is>
          <t>Công ty Cổ phần Dịch vụ Chữ ký số INTRUST</t>
        </is>
      </c>
      <c r="F132" s="14" t="inlineStr">
        <is>
          <t>0110333410</t>
        </is>
      </c>
      <c r="G132" s="15" t="n">
        <v>46327</v>
      </c>
      <c r="H132" s="15" t="n">
        <v>46356</v>
      </c>
      <c r="I132" s="16" t="inlineStr">
        <is>
          <t>Sẵn sàng</t>
        </is>
      </c>
      <c r="J132" s="33" t="inlineStr">
        <is>
          <t>intrust – reCAPTCHA trên trang nhưng server không kiểm</t>
        </is>
      </c>
    </row>
    <row r="133" ht="15.75" customHeight="1">
      <c r="A133" s="90" t="n"/>
      <c r="B133" s="90" t="n"/>
      <c r="C133" s="90" t="n"/>
      <c r="D133" s="90" t="n"/>
      <c r="E133" s="70" t="inlineStr">
        <is>
          <t>Công ty Cổ phần SCHOOL TECH</t>
        </is>
      </c>
      <c r="F133" s="14" t="inlineStr">
        <is>
          <t>0317509886</t>
        </is>
      </c>
      <c r="G133" s="15" t="n">
        <v>46327</v>
      </c>
      <c r="H133" s="15" t="n">
        <v>46356</v>
      </c>
      <c r="I133" s="16" t="inlineStr">
        <is>
          <t>Sẵn sàng</t>
        </is>
      </c>
      <c r="J133" s="33" t="inlineStr">
        <is>
          <t>intrust (chung cổng INTRUST)</t>
        </is>
      </c>
    </row>
    <row r="134" ht="15.75" customHeight="1">
      <c r="A134" s="90" t="n"/>
      <c r="B134" s="90" t="n"/>
      <c r="C134" s="90" t="n"/>
      <c r="D134" s="90" t="n"/>
      <c r="E134" s="71" t="inlineStr">
        <is>
          <t>Công ty Cổ phần Công nghệ Sapo</t>
        </is>
      </c>
      <c r="F134" s="14" t="inlineStr">
        <is>
          <t>0103243195</t>
        </is>
      </c>
      <c r="G134" s="15" t="n">
        <v>46327</v>
      </c>
      <c r="H134" s="15" t="n">
        <v>46356</v>
      </c>
      <c r="I134" s="16" t="inlineStr">
        <is>
          <t>Sẵn sàng</t>
        </is>
      </c>
      <c r="J134" s="33" t="inlineStr">
        <is>
          <t>sapo</t>
        </is>
      </c>
    </row>
    <row r="135" ht="15.75" customHeight="1">
      <c r="A135" s="90" t="n"/>
      <c r="B135" s="90" t="n"/>
      <c r="C135" s="90" t="n"/>
      <c r="D135" s="90" t="n"/>
      <c r="E135" s="13" t="inlineStr">
        <is>
          <t>Công ty TNHH Pancake Việt Nam</t>
        </is>
      </c>
      <c r="F135" s="14" t="inlineStr">
        <is>
          <t>0109039397</t>
        </is>
      </c>
      <c r="G135" s="15" t="n">
        <v>46357</v>
      </c>
      <c r="H135" s="15" t="n">
        <v>46387</v>
      </c>
      <c r="I135" s="16" t="inlineStr">
        <is>
          <t>Chưa hoàn thành</t>
        </is>
      </c>
      <c r="J135" s="33" t="inlineStr">
        <is>
          <t>Không làm được qua link tra cứu – reCAPTCHA v3 (khảo sát 14/10), lấy qua mail. tracuu.pancake.vn</t>
        </is>
      </c>
    </row>
    <row r="136" ht="15.75" customHeight="1">
      <c r="A136" s="90" t="n"/>
      <c r="B136" s="90" t="n"/>
      <c r="C136" s="90" t="n"/>
      <c r="D136" s="90" t="n"/>
      <c r="E136" s="28" t="inlineStr">
        <is>
          <t>Công ty Cổ phần Technology Convergence Corporation</t>
        </is>
      </c>
      <c r="F136" s="14" t="inlineStr">
        <is>
          <t>0109045760</t>
        </is>
      </c>
      <c r="G136" s="15" t="n">
        <v>46327</v>
      </c>
      <c r="H136" s="15" t="n">
        <v>46356</v>
      </c>
      <c r="I136" s="16" t="inlineStr">
        <is>
          <t>Sẵn sàng</t>
        </is>
      </c>
      <c r="J136" s="33" t="n"/>
    </row>
    <row r="137" ht="15.75" customHeight="1">
      <c r="A137" s="90" t="n"/>
      <c r="B137" s="90" t="n"/>
      <c r="C137" s="90" t="n"/>
      <c r="D137" s="90" t="n"/>
      <c r="E137" s="28" t="inlineStr">
        <is>
          <t>Công ty Cổ phần Giải pháp số IGAS</t>
        </is>
      </c>
      <c r="F137" s="14" t="inlineStr">
        <is>
          <t>0111090707</t>
        </is>
      </c>
      <c r="G137" s="15" t="n">
        <v>46327</v>
      </c>
      <c r="H137" s="15" t="n">
        <v>46356</v>
      </c>
      <c r="I137" s="16" t="inlineStr">
        <is>
          <t>Sẵn sàng</t>
        </is>
      </c>
      <c r="J137" s="33" t="n"/>
    </row>
    <row r="138" ht="15.75" customHeight="1">
      <c r="A138" s="90" t="n"/>
      <c r="B138" s="90" t="n"/>
      <c r="C138" s="90" t="n"/>
      <c r="D138" s="90" t="n"/>
      <c r="E138" s="71" t="inlineStr">
        <is>
          <t>Công ty TNHH OG Technologies</t>
        </is>
      </c>
      <c r="F138" s="14" t="inlineStr">
        <is>
          <t>0109996406</t>
        </is>
      </c>
      <c r="G138" s="15" t="n">
        <v>46357</v>
      </c>
      <c r="H138" s="15" t="n">
        <v>46387</v>
      </c>
      <c r="I138" s="16" t="inlineStr">
        <is>
          <t>Chưa hoàn thành</t>
        </is>
      </c>
      <c r="J138" s="33" t="inlineStr">
        <is>
          <t>Chưa làm</t>
        </is>
      </c>
    </row>
    <row r="139" ht="15.75" customHeight="1">
      <c r="A139" s="90" t="n"/>
      <c r="B139" s="90" t="n"/>
      <c r="C139" s="90" t="n"/>
      <c r="D139" s="90" t="n"/>
      <c r="E139" s="71" t="inlineStr">
        <is>
          <t>Công ty Cổ phần giải pháp doanh nghiệp TTC</t>
        </is>
      </c>
      <c r="F139" s="14" t="inlineStr">
        <is>
          <t>0318511655</t>
        </is>
      </c>
      <c r="G139" s="15" t="n">
        <v>46327</v>
      </c>
      <c r="H139" s="15" t="n">
        <v>46356</v>
      </c>
      <c r="I139" s="16" t="inlineStr">
        <is>
          <t>Sẵn sàng</t>
        </is>
      </c>
      <c r="J139" s="33" t="inlineStr">
        <is>
          <t>iam (thoadon)</t>
        </is>
      </c>
    </row>
    <row r="140" ht="15.75" customHeight="1">
      <c r="A140" s="90" t="n"/>
      <c r="B140" s="90" t="n"/>
      <c r="C140" s="90" t="n"/>
      <c r="D140" s="90" t="n"/>
      <c r="E140" s="71" t="inlineStr">
        <is>
          <t>Công ty Cổ phần phần mềm IAM Việt Nam</t>
        </is>
      </c>
      <c r="F140" s="14" t="inlineStr">
        <is>
          <t>0109193102</t>
        </is>
      </c>
      <c r="G140" s="15" t="n">
        <v>46327</v>
      </c>
      <c r="H140" s="15" t="n">
        <v>46356</v>
      </c>
      <c r="I140" s="16" t="inlineStr">
        <is>
          <t>Sẵn sàng</t>
        </is>
      </c>
      <c r="J140" s="33" t="inlineStr">
        <is>
          <t>iam (iamsoftware)</t>
        </is>
      </c>
    </row>
    <row r="141" ht="15.75" customHeight="1">
      <c r="A141" s="90" t="n"/>
      <c r="B141" s="90" t="n"/>
      <c r="C141" s="90" t="n"/>
      <c r="D141" s="90" t="n"/>
      <c r="E141" s="71" t="inlineStr">
        <is>
          <t>Công ty Cổ phần Công nghệ thông minh SFIN</t>
        </is>
      </c>
      <c r="F141" s="14" t="inlineStr">
        <is>
          <t>0109959309</t>
        </is>
      </c>
      <c r="G141" s="15" t="n">
        <v>46357</v>
      </c>
      <c r="H141" s="15" t="n">
        <v>46387</v>
      </c>
      <c r="I141" s="16" t="inlineStr">
        <is>
          <t>Chưa hoàn thành</t>
        </is>
      </c>
      <c r="J141" s="33" t="inlineStr">
        <is>
          <t>Chưa làm</t>
        </is>
      </c>
    </row>
    <row r="142" ht="15.75" customHeight="1">
      <c r="A142" s="90" t="n"/>
      <c r="B142" s="90" t="n"/>
      <c r="C142" s="90" t="n"/>
      <c r="D142" s="90" t="n"/>
      <c r="E142" s="28" t="inlineStr">
        <is>
          <t>Công ty TNHH Truyền hình cáp SaigonTourist</t>
        </is>
      </c>
      <c r="F142" s="14" t="inlineStr">
        <is>
          <t>0301463315</t>
        </is>
      </c>
      <c r="G142" s="15" t="n">
        <v>46327</v>
      </c>
      <c r="H142" s="15" t="n">
        <v>46356</v>
      </c>
      <c r="I142" s="16" t="inlineStr">
        <is>
          <t>Sẵn sàng</t>
        </is>
      </c>
      <c r="J142" s="33" t="inlineStr">
        <is>
          <t>sctv – số bảo mật</t>
        </is>
      </c>
    </row>
    <row r="143" ht="15.75" customHeight="1">
      <c r="A143" s="90" t="n"/>
      <c r="B143" s="90" t="n"/>
      <c r="C143" s="90" t="n"/>
      <c r="D143" s="90" t="n"/>
      <c r="E143" s="28" t="inlineStr">
        <is>
          <t>Công ty Cổ phần Dịch vụ Di động Trực tuyến</t>
        </is>
      </c>
      <c r="F143" s="14" t="inlineStr">
        <is>
          <t>0305289153</t>
        </is>
      </c>
      <c r="G143" s="15" t="n">
        <v>46327</v>
      </c>
      <c r="H143" s="15" t="n">
        <v>46356</v>
      </c>
      <c r="I143" s="16" t="inlineStr">
        <is>
          <t>Sẵn sàng</t>
        </is>
      </c>
      <c r="J143" s="33" t="inlineStr">
        <is>
          <t>mmhoadon</t>
        </is>
      </c>
    </row>
    <row r="144" ht="15.75" customHeight="1">
      <c r="A144" s="90" t="n"/>
      <c r="B144" s="90" t="n"/>
      <c r="C144" s="90" t="n"/>
      <c r="D144" s="90" t="n"/>
      <c r="E144" s="28" t="inlineStr">
        <is>
          <t>Công ty Cổ phần Công nghệ Go Việt Nam</t>
        </is>
      </c>
      <c r="F144" s="14" t="inlineStr">
        <is>
          <t>0111245245</t>
        </is>
      </c>
      <c r="G144" s="15" t="n">
        <v>46327</v>
      </c>
      <c r="H144" s="15" t="n">
        <v>46356</v>
      </c>
      <c r="I144" s="16" t="inlineStr">
        <is>
          <t>Sẵn sàng</t>
        </is>
      </c>
      <c r="J144" s="33" t="inlineStr">
        <is>
          <t>gohoadon</t>
        </is>
      </c>
    </row>
    <row r="145" ht="15.75" customHeight="1">
      <c r="A145" s="90" t="n"/>
      <c r="B145" s="90" t="n"/>
      <c r="C145" s="90" t="n"/>
      <c r="D145" s="90" t="n"/>
      <c r="E145" s="28" t="inlineStr">
        <is>
          <t>Công ty TNHH Công nghệ và Dịch vụ thuế TAXNET</t>
        </is>
      </c>
      <c r="F145" s="14" t="inlineStr">
        <is>
          <t>0110784036</t>
        </is>
      </c>
      <c r="G145" s="15" t="n">
        <v>46357</v>
      </c>
      <c r="H145" s="15" t="n">
        <v>46387</v>
      </c>
      <c r="I145" s="16" t="inlineStr">
        <is>
          <t>Chưa hoàn thành</t>
        </is>
      </c>
      <c r="J145" s="33" t="inlineStr">
        <is>
          <t>Không làm được qua link tra cứu – reCAPTCHA v3 (khảo sát 14/10), lấy qua mail. tracuuhoadon.taxnet.vn</t>
        </is>
      </c>
    </row>
    <row r="146" ht="15.75" customHeight="1">
      <c r="A146" s="90" t="n"/>
      <c r="B146" s="90" t="n"/>
      <c r="C146" s="90" t="n"/>
      <c r="D146" s="90" t="n"/>
      <c r="E146" s="28" t="inlineStr">
        <is>
          <t>Công ty Cổ phần Công nghệ AIBAT</t>
        </is>
      </c>
      <c r="F146" s="14" t="inlineStr">
        <is>
          <t>0110585520</t>
        </is>
      </c>
      <c r="G146" s="15" t="n">
        <v>46357</v>
      </c>
      <c r="H146" s="15" t="n">
        <v>46387</v>
      </c>
      <c r="I146" s="16" t="inlineStr">
        <is>
          <t>Chưa hoàn thành</t>
        </is>
      </c>
      <c r="J146" s="33" t="inlineStr">
        <is>
          <t>Chưa làm – danh sách chưa có link tra cứu, chưa có HĐ thật</t>
        </is>
      </c>
    </row>
    <row r="147" ht="15.75" customHeight="1">
      <c r="A147" s="90" t="n"/>
      <c r="B147" s="90" t="n"/>
      <c r="C147" s="90" t="n"/>
      <c r="D147" s="90" t="n"/>
      <c r="E147" s="28" t="inlineStr">
        <is>
          <t>Công ty Cổ phần Nhanh.VN</t>
        </is>
      </c>
      <c r="F147" s="14" t="inlineStr">
        <is>
          <t>0108824877</t>
        </is>
      </c>
      <c r="G147" s="15" t="n">
        <v>46357</v>
      </c>
      <c r="H147" s="15" t="n">
        <v>46387</v>
      </c>
      <c r="I147" s="16" t="inlineStr">
        <is>
          <t>Chưa hoàn thành</t>
        </is>
      </c>
      <c r="J147" s="33" t="inlineStr">
        <is>
          <t>Chưa làm – danh sách chưa có link tra cứu, chưa có HĐ thật</t>
        </is>
      </c>
    </row>
    <row r="148" ht="15.75" customHeight="1">
      <c r="A148" s="90" t="n"/>
      <c r="B148" s="90" t="n"/>
      <c r="C148" s="90" t="n"/>
      <c r="D148" s="90" t="n"/>
      <c r="E148" s="28" t="inlineStr">
        <is>
          <t>Công ty Cổ phần Công nghệ NCCA</t>
        </is>
      </c>
      <c r="F148" s="14" t="inlineStr">
        <is>
          <t>0106166781</t>
        </is>
      </c>
      <c r="G148" s="15" t="n">
        <v>46357</v>
      </c>
      <c r="H148" s="15" t="n">
        <v>46387</v>
      </c>
      <c r="I148" s="16" t="inlineStr">
        <is>
          <t>Chưa hoàn thành</t>
        </is>
      </c>
      <c r="J148" s="33" t="inlineStr">
        <is>
          <t>Không làm được qua link tra cứu – phải đăng nhập. hddt.hddt-nc.vn</t>
        </is>
      </c>
    </row>
    <row r="149" ht="15.75" customHeight="1">
      <c r="A149" s="90" t="n"/>
      <c r="B149" s="90" t="n"/>
      <c r="C149" s="90" t="n"/>
      <c r="D149" s="90" t="n"/>
      <c r="E149" s="28" t="inlineStr">
        <is>
          <t>Công ty Cổ phần Ứng dụng Công nghệ Vũ Hải</t>
        </is>
      </c>
      <c r="F149" s="14" t="inlineStr">
        <is>
          <t>0108190282</t>
        </is>
      </c>
      <c r="G149" s="15" t="n">
        <v>46357</v>
      </c>
      <c r="H149" s="15" t="n">
        <v>46387</v>
      </c>
      <c r="I149" s="16" t="inlineStr">
        <is>
          <t>Chưa hoàn thành</t>
        </is>
      </c>
      <c r="J149" s="33" t="inlineStr">
        <is>
          <t>Không làm được qua link tra cứu – cổng lỗi. hoadon.vuhai.co</t>
        </is>
      </c>
    </row>
    <row r="150" ht="15.75" customHeight="1">
      <c r="A150" s="90" t="n"/>
      <c r="B150" s="90" t="n"/>
      <c r="C150" s="90" t="n"/>
      <c r="D150" s="90" t="n"/>
      <c r="E150" s="28" t="inlineStr">
        <is>
          <t>Công ty Cổ phần Công nghệ Trường Minh Thịnh</t>
        </is>
      </c>
      <c r="F150" s="14" t="inlineStr">
        <is>
          <t>0311174986</t>
        </is>
      </c>
      <c r="G150" s="15" t="n">
        <v>46327</v>
      </c>
      <c r="H150" s="15" t="n">
        <v>46356</v>
      </c>
      <c r="I150" s="16" t="inlineStr">
        <is>
          <t>Sẵn sàng</t>
        </is>
      </c>
      <c r="J150" s="33" t="n"/>
    </row>
    <row r="151" ht="15.75" customHeight="1">
      <c r="A151" s="90" t="n"/>
      <c r="B151" s="90" t="n"/>
      <c r="C151" s="90" t="n"/>
      <c r="D151" s="90" t="n"/>
      <c r="E151" s="28" t="inlineStr">
        <is>
          <t>Công ty TNHH Casso</t>
        </is>
      </c>
      <c r="F151" s="14" t="inlineStr">
        <is>
          <t>0316794479</t>
        </is>
      </c>
      <c r="G151" s="15" t="n">
        <v>46357</v>
      </c>
      <c r="H151" s="15" t="n">
        <v>46387</v>
      </c>
      <c r="I151" s="16" t="inlineStr">
        <is>
          <t>Chưa hoàn thành</t>
        </is>
      </c>
      <c r="J151" s="33" t="inlineStr">
        <is>
          <t>Chưa làm</t>
        </is>
      </c>
    </row>
    <row r="152" ht="15.75" customHeight="1">
      <c r="A152" s="90" t="n"/>
      <c r="B152" s="90" t="n"/>
      <c r="C152" s="90" t="n"/>
      <c r="D152" s="90" t="n"/>
      <c r="E152" s="28" t="inlineStr">
        <is>
          <t>Công ty Cổ phần Dịch vụ EPAY</t>
        </is>
      </c>
      <c r="F152" s="14" t="inlineStr">
        <is>
          <t>0108269133</t>
        </is>
      </c>
      <c r="G152" s="15" t="n">
        <v>46327</v>
      </c>
      <c r="H152" s="15" t="n">
        <v>46356</v>
      </c>
      <c r="I152" s="16" t="inlineStr">
        <is>
          <t>Sẵn sàng</t>
        </is>
      </c>
      <c r="J152" s="33" t="n"/>
    </row>
    <row r="153" ht="15.75" customHeight="1">
      <c r="A153" s="90" t="n"/>
      <c r="B153" s="90" t="n"/>
      <c r="C153" s="90" t="n"/>
      <c r="D153" s="90" t="n"/>
      <c r="E153" s="28" t="inlineStr">
        <is>
          <t>Công ty Cổ phần Giải pháp ATOM</t>
        </is>
      </c>
      <c r="F153" s="14" t="inlineStr">
        <is>
          <t>0316887099</t>
        </is>
      </c>
      <c r="G153" s="15" t="n">
        <v>46327</v>
      </c>
      <c r="H153" s="15" t="n">
        <v>46356</v>
      </c>
      <c r="I153" s="16" t="inlineStr">
        <is>
          <t>Sẵn sàng</t>
        </is>
      </c>
      <c r="J153" s="33" t="n"/>
    </row>
    <row r="154" ht="15.75" customHeight="1">
      <c r="A154" s="90" t="n"/>
      <c r="B154" s="90" t="n"/>
      <c r="C154" s="90" t="n"/>
      <c r="D154" s="90" t="n"/>
      <c r="E154" s="28" t="inlineStr">
        <is>
          <t>Công ty TNHH Dịch vụ và Giải pháp Phần mềm Bado</t>
        </is>
      </c>
      <c r="F154" s="14" t="inlineStr">
        <is>
          <t>1602159776</t>
        </is>
      </c>
      <c r="G154" s="15" t="n">
        <v>46357</v>
      </c>
      <c r="H154" s="15" t="n">
        <v>46387</v>
      </c>
      <c r="I154" s="16" t="inlineStr">
        <is>
          <t>Chưa hoàn thành</t>
        </is>
      </c>
      <c r="J154" s="33" t="inlineStr">
        <is>
          <t>Không làm được qua link tra cứu – reCAPTCHA v3 (khảo sát 14/10), lấy qua mail. tracuu.bado.vn</t>
        </is>
      </c>
    </row>
    <row r="155" ht="15.75" customHeight="1">
      <c r="A155" s="90" t="n"/>
      <c r="B155" s="90" t="n"/>
      <c r="C155" s="90" t="n"/>
      <c r="D155" s="90" t="n"/>
      <c r="E155" s="28" t="inlineStr">
        <is>
          <t>Tổng Công ty Bưu điện Việt Nam</t>
        </is>
      </c>
      <c r="F155" s="14" t="inlineStr">
        <is>
          <t>0102595740</t>
        </is>
      </c>
      <c r="G155" s="15" t="n">
        <v>46327</v>
      </c>
      <c r="H155" s="15" t="n">
        <v>46356</v>
      </c>
      <c r="I155" s="16" t="inlineStr">
        <is>
          <t>Sẵn sàng</t>
        </is>
      </c>
      <c r="J155" s="33" t="inlineStr">
        <is>
          <t>vnpost – mã xác thực chỉ kiểm ở trình duyệt</t>
        </is>
      </c>
    </row>
    <row r="156" ht="15.75" customHeight="1">
      <c r="A156" s="90" t="n"/>
      <c r="B156" s="90" t="n"/>
      <c r="C156" s="90" t="n"/>
      <c r="D156" s="90" t="n"/>
      <c r="E156" s="28" t="inlineStr">
        <is>
          <t>Công ty CP Giải pháp số ONTIK</t>
        </is>
      </c>
      <c r="F156" s="14" t="inlineStr">
        <is>
          <t>0110400071</t>
        </is>
      </c>
      <c r="G156" s="15" t="n">
        <v>46357</v>
      </c>
      <c r="H156" s="15" t="n">
        <v>46387</v>
      </c>
      <c r="I156" s="16" t="inlineStr">
        <is>
          <t>Chưa hoàn thành</t>
        </is>
      </c>
      <c r="J156" s="33" t="inlineStr">
        <is>
          <t>Không làm được qua link tra cứu – phải đăng nhập. hoadon.ontik.vn</t>
        </is>
      </c>
    </row>
    <row r="157" ht="15.75" customHeight="1">
      <c r="A157" s="90" t="n"/>
      <c r="B157" s="90" t="n"/>
      <c r="C157" s="90" t="n"/>
      <c r="D157" s="90" t="n"/>
      <c r="E157" s="28" t="inlineStr">
        <is>
          <t>Công ty CP Công nghệ và dịch vụ MOBILE-ID</t>
        </is>
      </c>
      <c r="F157" s="14" t="inlineStr">
        <is>
          <t>0313994173</t>
        </is>
      </c>
      <c r="G157" s="15" t="n">
        <v>46357</v>
      </c>
      <c r="H157" s="15" t="n">
        <v>46387</v>
      </c>
      <c r="I157" s="16" t="inlineStr">
        <is>
          <t>Chưa hoàn thành</t>
        </is>
      </c>
      <c r="J157" s="33" t="inlineStr">
        <is>
          <t>Không làm được qua link tra cứu – bị chặn bởi reCAPTCHA v2 (server kiểm), lấy qua mail. trustedbilling.mobile-id.vn</t>
        </is>
      </c>
    </row>
    <row r="158" ht="15.75" customHeight="1">
      <c r="A158" s="90" t="n"/>
      <c r="B158" s="90" t="n"/>
      <c r="C158" s="90" t="n"/>
      <c r="D158" s="90" t="n"/>
      <c r="E158" s="28" t="inlineStr">
        <is>
          <t>Công ty Cổ phần Sun-Invoice Việt Nam</t>
        </is>
      </c>
      <c r="F158" s="14" t="inlineStr">
        <is>
          <t>0111488368</t>
        </is>
      </c>
      <c r="G158" s="15" t="n">
        <v>46327</v>
      </c>
      <c r="H158" s="15" t="n">
        <v>46356</v>
      </c>
      <c r="I158" s="16" t="inlineStr">
        <is>
          <t>Sẵn sàng</t>
        </is>
      </c>
      <c r="J158" s="33" t="n"/>
    </row>
    <row r="159" ht="15.75" customHeight="1">
      <c r="A159" s="90" t="n"/>
      <c r="B159" s="90" t="n"/>
      <c r="C159" s="90" t="n"/>
      <c r="D159" s="90" t="n"/>
      <c r="E159" s="28" t="inlineStr">
        <is>
          <t>Công ty Cổ phần ESBT</t>
        </is>
      </c>
      <c r="F159" s="14" t="inlineStr">
        <is>
          <t>0108933234</t>
        </is>
      </c>
      <c r="G159" s="15" t="n">
        <v>46357</v>
      </c>
      <c r="H159" s="15" t="n">
        <v>46387</v>
      </c>
      <c r="I159" s="16" t="inlineStr">
        <is>
          <t>Chưa hoàn thành</t>
        </is>
      </c>
      <c r="J159" s="33" t="inlineStr">
        <is>
          <t>Chưa làm</t>
        </is>
      </c>
    </row>
    <row r="160" ht="15.75" customHeight="1">
      <c r="A160" s="90" t="n"/>
      <c r="B160" s="90" t="n"/>
      <c r="C160" s="90" t="n"/>
      <c r="D160" s="90" t="n"/>
      <c r="E160" s="28" t="inlineStr">
        <is>
          <t>Công ty TNHH Tư vấn – Thương mại Khánh Linh</t>
        </is>
      </c>
      <c r="F160" s="14" t="inlineStr">
        <is>
          <t>0307633556</t>
        </is>
      </c>
      <c r="G160" s="15" t="n">
        <v>46327</v>
      </c>
      <c r="H160" s="15" t="n">
        <v>46356</v>
      </c>
      <c r="I160" s="16" t="inlineStr">
        <is>
          <t>Sẵn sàng</t>
        </is>
      </c>
      <c r="J160" s="33" t="n"/>
    </row>
    <row r="161" ht="15.75" customHeight="1">
      <c r="A161" s="90" t="n"/>
      <c r="B161" s="90" t="n"/>
      <c r="C161" s="90" t="n"/>
      <c r="D161" s="90" t="n"/>
      <c r="E161" s="28" t="inlineStr">
        <is>
          <t>Công ty TNHH LIMI Tech</t>
        </is>
      </c>
      <c r="F161" s="14" t="inlineStr">
        <is>
          <t>0111423385</t>
        </is>
      </c>
      <c r="G161" s="15" t="n">
        <v>46357</v>
      </c>
      <c r="H161" s="15" t="n">
        <v>46387</v>
      </c>
      <c r="I161" s="16" t="inlineStr">
        <is>
          <t>Chưa hoàn thành</t>
        </is>
      </c>
      <c r="J161" s="33" t="inlineStr">
        <is>
          <t>Chưa làm</t>
        </is>
      </c>
    </row>
    <row r="162" ht="15.75" customHeight="1">
      <c r="A162" s="91" t="n"/>
      <c r="B162" s="91" t="n"/>
      <c r="C162" s="91" t="n"/>
      <c r="D162" s="91" t="n"/>
      <c r="E162" s="28" t="inlineStr">
        <is>
          <t>Tổng Công ty Dầu Việt Nam - CTCP (PVOIL)</t>
        </is>
      </c>
      <c r="F162" s="14" t="inlineStr">
        <is>
          <t>0305795054</t>
        </is>
      </c>
      <c r="G162" s="15" t="n">
        <v>46327</v>
      </c>
      <c r="H162" s="15" t="n">
        <v>46356</v>
      </c>
      <c r="I162" s="16" t="inlineStr">
        <is>
          <t>Sẵn sàng</t>
        </is>
      </c>
      <c r="J162" s="33" t="n"/>
    </row>
    <row r="163" ht="15.75" customHeight="1">
      <c r="A163" s="93" t="inlineStr">
        <is>
          <t>P0</t>
        </is>
      </c>
      <c r="B163" s="89" t="inlineStr">
        <is>
          <t>Lấy dữ liệu PDF từ NCC thông qua mail</t>
        </is>
      </c>
      <c r="C163" s="89" t="inlineStr">
        <is>
          <t>Đọc hộp mail hóa đơn (IMAP, chỉ đọc, không mở link): lấy PDF/XML đính kèm, hoặc link + mã tra cứu trong mail rồi tải qua adapter NCC; tự khớp vào HĐ đã có trong DB.</t>
        </is>
      </c>
      <c r="D163" s="89" t="inlineStr">
        <is>
          <t>Đã lấy được PDF gốc qua mail từ 32 NCC (27/10)
Ngoài danh sách: 247Express (cổng riêng), Fahasa (FPT tự cài riêng)</t>
        </is>
      </c>
      <c r="E163" s="13" t="inlineStr">
        <is>
          <t>Công ty TNHH Công nghệ Vĩnh Hy</t>
        </is>
      </c>
      <c r="F163" s="14" t="inlineStr">
        <is>
          <t>0314743623</t>
        </is>
      </c>
      <c r="G163" s="72" t="n">
        <v>46322</v>
      </c>
      <c r="H163" s="72" t="n">
        <v>46322</v>
      </c>
      <c r="I163" s="73" t="inlineStr">
        <is>
          <t>Hoàn thành</t>
        </is>
      </c>
      <c r="J163" s="33" t="n"/>
    </row>
    <row r="164" ht="15.75" customHeight="1">
      <c r="A164" s="90" t="n"/>
      <c r="B164" s="90" t="n"/>
      <c r="C164" s="90" t="n"/>
      <c r="D164" s="90" t="n"/>
      <c r="E164" s="13" t="inlineStr">
        <is>
          <t>Công ty TNHH Hệ thống thông tin FPT</t>
        </is>
      </c>
      <c r="F164" s="14" t="inlineStr">
        <is>
          <t>0104128565</t>
        </is>
      </c>
      <c r="G164" s="72" t="n">
        <v>46317</v>
      </c>
      <c r="H164" s="72" t="n">
        <v>46317</v>
      </c>
      <c r="I164" s="73" t="inlineStr">
        <is>
          <t>Hoàn thành</t>
        </is>
      </c>
      <c r="J164" s="33" t="n"/>
    </row>
    <row r="165" ht="15.75" customHeight="1">
      <c r="A165" s="90" t="n"/>
      <c r="B165" s="90" t="n"/>
      <c r="C165" s="90" t="n"/>
      <c r="D165" s="90" t="n"/>
      <c r="E165" s="13" t="inlineStr">
        <is>
          <t>Công ty Cổ phần Công nghệ tin học EFY Việt Nam</t>
        </is>
      </c>
      <c r="F165" s="14" t="inlineStr">
        <is>
          <t>0102519041</t>
        </is>
      </c>
      <c r="G165" s="72" t="n">
        <v>46318</v>
      </c>
      <c r="H165" s="72" t="n">
        <v>46318</v>
      </c>
      <c r="I165" s="73" t="inlineStr">
        <is>
          <t>Hoàn thành</t>
        </is>
      </c>
      <c r="J165" s="33" t="n"/>
    </row>
    <row r="166" ht="15.75" customHeight="1">
      <c r="A166" s="90" t="n"/>
      <c r="B166" s="90" t="n"/>
      <c r="C166" s="90" t="n"/>
      <c r="D166" s="90" t="n"/>
      <c r="E166" s="13" t="inlineStr">
        <is>
          <t>Công ty Cổ phần Đầu tư công nghệ và thương mại Softdreams</t>
        </is>
      </c>
      <c r="F166" s="14" t="inlineStr">
        <is>
          <t>0105987432</t>
        </is>
      </c>
      <c r="G166" s="15" t="n">
        <v>46315</v>
      </c>
      <c r="H166" s="15" t="n">
        <v>46315</v>
      </c>
      <c r="I166" s="16" t="inlineStr">
        <is>
          <t>Hoàn thành</t>
        </is>
      </c>
      <c r="J166" s="33" t="n"/>
    </row>
    <row r="167" ht="15.75" customHeight="1">
      <c r="A167" s="90" t="n"/>
      <c r="B167" s="90" t="n"/>
      <c r="C167" s="90" t="n"/>
      <c r="D167" s="90" t="n"/>
      <c r="E167" s="13" t="inlineStr">
        <is>
          <t>Công ty TNHH L.C.S</t>
        </is>
      </c>
      <c r="F167" s="14" t="inlineStr">
        <is>
          <t>0302999571</t>
        </is>
      </c>
      <c r="G167" s="72" t="n">
        <v>46357</v>
      </c>
      <c r="H167" s="72" t="n">
        <v>46387</v>
      </c>
      <c r="I167" s="73" t="inlineStr">
        <is>
          <t>Chưa hoàn thành</t>
        </is>
      </c>
      <c r="J167" s="33" t="inlineStr">
        <is>
          <t>Chưa có mail/PDF nào của NCC này (kiểm DB 27/10)</t>
        </is>
      </c>
    </row>
    <row r="168" ht="15.75" customHeight="1">
      <c r="A168" s="90" t="n"/>
      <c r="B168" s="90" t="n"/>
      <c r="C168" s="90" t="n"/>
      <c r="D168" s="90" t="n"/>
      <c r="E168" s="13" t="inlineStr">
        <is>
          <t>Công ty TNHH Soft Ware KK VAT</t>
        </is>
      </c>
      <c r="F168" s="14" t="inlineStr">
        <is>
          <t>0313963672</t>
        </is>
      </c>
      <c r="G168" s="72" t="n">
        <v>46357</v>
      </c>
      <c r="H168" s="72" t="n">
        <v>46387</v>
      </c>
      <c r="I168" s="73" t="inlineStr">
        <is>
          <t>Chưa hoàn thành</t>
        </is>
      </c>
      <c r="J168" s="33" t="inlineStr">
        <is>
          <t>Chưa có mail/PDF nào của NCC này (kiểm DB 27/10)</t>
        </is>
      </c>
    </row>
    <row r="169" ht="15.75" customHeight="1">
      <c r="A169" s="90" t="n"/>
      <c r="B169" s="90" t="n"/>
      <c r="C169" s="90" t="n"/>
      <c r="D169" s="90" t="n"/>
      <c r="E169" s="17" t="inlineStr">
        <is>
          <t>Công ty Cổ phần CyberLotus</t>
        </is>
      </c>
      <c r="F169" s="14" t="inlineStr">
        <is>
          <t>0105232093</t>
        </is>
      </c>
      <c r="G169" s="72" t="n">
        <v>46327</v>
      </c>
      <c r="H169" s="72" t="n">
        <v>46356</v>
      </c>
      <c r="I169" s="73" t="inlineStr">
        <is>
          <t>Sẵn sàng</t>
        </is>
      </c>
      <c r="J169" s="33" t="n"/>
    </row>
    <row r="170" ht="15.75" customHeight="1">
      <c r="A170" s="90" t="n"/>
      <c r="B170" s="90" t="n"/>
      <c r="C170" s="90" t="n"/>
      <c r="D170" s="90" t="n"/>
      <c r="E170" s="13" t="inlineStr">
        <is>
          <t>Công ty TNHH Giải pháp công nghệ Ngô Gia Phát</t>
        </is>
      </c>
      <c r="F170" s="14" t="inlineStr">
        <is>
          <t>0311942758</t>
        </is>
      </c>
      <c r="G170" s="72" t="n">
        <v>46327</v>
      </c>
      <c r="H170" s="72" t="n">
        <v>46356</v>
      </c>
      <c r="I170" s="73" t="inlineStr">
        <is>
          <t>Chưa hoàn thành</t>
        </is>
      </c>
      <c r="J170" s="33" t="inlineStr">
        <is>
          <t>Chưa có mail/PDF nào của NCC này (kiểm DB 27/10)</t>
        </is>
      </c>
    </row>
    <row r="171" ht="15.75" customHeight="1">
      <c r="A171" s="90" t="n"/>
      <c r="B171" s="90" t="n"/>
      <c r="C171" s="90" t="n"/>
      <c r="D171" s="90" t="n"/>
      <c r="E171" s="13" t="inlineStr">
        <is>
          <t>Công ty Cổ phần Mắt Bão</t>
        </is>
      </c>
      <c r="F171" s="14" t="inlineStr">
        <is>
          <t>0302712571</t>
        </is>
      </c>
      <c r="G171" s="72" t="n">
        <v>46318</v>
      </c>
      <c r="H171" s="72" t="n">
        <v>46318</v>
      </c>
      <c r="I171" s="73" t="inlineStr">
        <is>
          <t>Hoàn thành</t>
        </is>
      </c>
      <c r="J171" s="33" t="n"/>
    </row>
    <row r="172" ht="15.75" customHeight="1">
      <c r="A172" s="90" t="n"/>
      <c r="B172" s="90" t="n"/>
      <c r="C172" s="90" t="n"/>
      <c r="D172" s="90" t="n"/>
      <c r="E172" s="13" t="inlineStr">
        <is>
          <t>Công ty Cổ phần công nghệ thẻ Nacencomm</t>
        </is>
      </c>
      <c r="F172" s="14" t="inlineStr">
        <is>
          <t>0103930279</t>
        </is>
      </c>
      <c r="G172" s="72" t="n">
        <v>46357</v>
      </c>
      <c r="H172" s="72" t="n">
        <v>46387</v>
      </c>
      <c r="I172" s="73" t="inlineStr">
        <is>
          <t>Chưa hoàn thành</t>
        </is>
      </c>
      <c r="J172" s="33" t="inlineStr">
        <is>
          <t>Chưa có mail/PDF nào của NCC này (kiểm DB 27/10)</t>
        </is>
      </c>
    </row>
    <row r="173" ht="15.75" customHeight="1">
      <c r="A173" s="90" t="n"/>
      <c r="B173" s="90" t="n"/>
      <c r="C173" s="90" t="n"/>
      <c r="D173" s="90" t="n"/>
      <c r="E173" s="13" t="inlineStr">
        <is>
          <t>Công ty Cổ phần Megabiz Việt Nam</t>
        </is>
      </c>
      <c r="F173" s="14" t="inlineStr">
        <is>
          <t>0105844836</t>
        </is>
      </c>
      <c r="G173" s="72" t="n">
        <v>46327</v>
      </c>
      <c r="H173" s="72" t="n">
        <v>46356</v>
      </c>
      <c r="I173" s="73" t="inlineStr">
        <is>
          <t>Sẵn sàng</t>
        </is>
      </c>
      <c r="J173" s="33" t="n"/>
    </row>
    <row r="174" ht="15.75" customHeight="1">
      <c r="A174" s="90" t="n"/>
      <c r="B174" s="90" t="n"/>
      <c r="C174" s="90" t="n"/>
      <c r="D174" s="90" t="n"/>
      <c r="E174" s="13" t="inlineStr">
        <is>
          <t>Công ty TNHH Công nghệ LCD Việt Nam</t>
        </is>
      </c>
      <c r="F174" s="14" t="inlineStr">
        <is>
          <t>0312483391</t>
        </is>
      </c>
      <c r="G174" s="72" t="n">
        <v>46357</v>
      </c>
      <c r="H174" s="72" t="n">
        <v>46387</v>
      </c>
      <c r="I174" s="73" t="inlineStr">
        <is>
          <t>Chưa hoàn thành</t>
        </is>
      </c>
      <c r="J174" s="33" t="inlineStr">
        <is>
          <t>Chưa có mail/PDF nào của NCC này (kiểm DB 27/10)</t>
        </is>
      </c>
    </row>
    <row r="175" ht="15.75" customHeight="1">
      <c r="A175" s="90" t="n"/>
      <c r="B175" s="90" t="n"/>
      <c r="C175" s="90" t="n"/>
      <c r="D175" s="90" t="n"/>
      <c r="E175" s="13" t="inlineStr">
        <is>
          <t>Công ty Cổ phần MISA</t>
        </is>
      </c>
      <c r="F175" s="14" t="inlineStr">
        <is>
          <t>0101243150</t>
        </is>
      </c>
      <c r="G175" s="15" t="n">
        <v>46317</v>
      </c>
      <c r="H175" s="15" t="n">
        <v>46317</v>
      </c>
      <c r="I175" s="16" t="inlineStr">
        <is>
          <t>Hoàn thành</t>
        </is>
      </c>
      <c r="J175" s="33" t="n"/>
    </row>
    <row r="176" ht="15.75" customHeight="1">
      <c r="A176" s="90" t="n"/>
      <c r="B176" s="90" t="n"/>
      <c r="C176" s="90" t="n"/>
      <c r="D176" s="90" t="n"/>
      <c r="E176" s="13" t="inlineStr">
        <is>
          <t>Công ty TNHH Hóa đơn điện tử M-INVOICE</t>
        </is>
      </c>
      <c r="F176" s="14" t="inlineStr">
        <is>
          <t>0106026495</t>
        </is>
      </c>
      <c r="G176" s="15" t="n">
        <v>46309</v>
      </c>
      <c r="H176" s="15" t="n">
        <v>46309</v>
      </c>
      <c r="I176" s="16" t="inlineStr">
        <is>
          <t>Hoàn thành</t>
        </is>
      </c>
      <c r="J176" s="33" t="n"/>
    </row>
    <row r="177" ht="15.75" customHeight="1">
      <c r="A177" s="90" t="n"/>
      <c r="B177" s="90" t="n"/>
      <c r="C177" s="90" t="n"/>
      <c r="D177" s="90" t="n"/>
      <c r="E177" s="13" t="inlineStr">
        <is>
          <t>Công ty Cổ phần Phát triển công nghệ Nguyễn Minh</t>
        </is>
      </c>
      <c r="F177" s="14" t="inlineStr">
        <is>
          <t>0313906508</t>
        </is>
      </c>
      <c r="G177" s="72" t="n">
        <v>46357</v>
      </c>
      <c r="H177" s="72" t="n">
        <v>46387</v>
      </c>
      <c r="I177" s="73" t="inlineStr">
        <is>
          <t>Chưa hoàn thành</t>
        </is>
      </c>
      <c r="J177" s="33" t="inlineStr">
        <is>
          <t>Chưa có mail/PDF nào của NCC này (kiểm DB 27/10)</t>
        </is>
      </c>
    </row>
    <row r="178" ht="15.75" customHeight="1">
      <c r="A178" s="90" t="n"/>
      <c r="B178" s="90" t="n"/>
      <c r="C178" s="90" t="n"/>
      <c r="D178" s="90" t="n"/>
      <c r="E178" s="13" t="inlineStr">
        <is>
          <t>Công ty TNHH Phát triển công nghệ Thái Sơn</t>
        </is>
      </c>
      <c r="F178" s="14" t="inlineStr">
        <is>
          <t>0101300842</t>
        </is>
      </c>
      <c r="G178" s="15" t="n">
        <v>46309</v>
      </c>
      <c r="H178" s="15" t="n">
        <v>46309</v>
      </c>
      <c r="I178" s="16" t="inlineStr">
        <is>
          <t>Hoàn thành</t>
        </is>
      </c>
      <c r="J178" s="33" t="n"/>
    </row>
    <row r="179" ht="15.75" customHeight="1">
      <c r="A179" s="90" t="n"/>
      <c r="B179" s="90" t="n"/>
      <c r="C179" s="90" t="n"/>
      <c r="D179" s="90" t="n"/>
      <c r="E179" s="13" t="inlineStr">
        <is>
          <t>Công ty TNHH Máy tính và truyền thông công nghệ kết nối</t>
        </is>
      </c>
      <c r="F179" s="14" t="inlineStr">
        <is>
          <t>0306784030</t>
        </is>
      </c>
      <c r="G179" s="72" t="n">
        <v>46357</v>
      </c>
      <c r="H179" s="72" t="n">
        <v>46387</v>
      </c>
      <c r="I179" s="73" t="inlineStr">
        <is>
          <t>Chưa hoàn thành</t>
        </is>
      </c>
      <c r="J179" s="33" t="inlineStr">
        <is>
          <t>Chưa có mail/PDF nào của NCC này (kiểm DB 27/10)</t>
        </is>
      </c>
    </row>
    <row r="180" ht="15.75" customHeight="1">
      <c r="A180" s="90" t="n"/>
      <c r="B180" s="90" t="n"/>
      <c r="C180" s="90" t="n"/>
      <c r="D180" s="90" t="n"/>
      <c r="E180" s="13" t="inlineStr">
        <is>
          <t>Công ty Cổ phần công nghệ số và in đồ họa</t>
        </is>
      </c>
      <c r="F180" s="14" t="inlineStr">
        <is>
          <t>0200638946</t>
        </is>
      </c>
      <c r="G180" s="72" t="n">
        <v>46357</v>
      </c>
      <c r="H180" s="72" t="n">
        <v>46387</v>
      </c>
      <c r="I180" s="73" t="inlineStr">
        <is>
          <t>Chưa hoàn thành</t>
        </is>
      </c>
      <c r="J180" s="33" t="inlineStr">
        <is>
          <t>Chưa có mail/PDF nào của NCC này (kiểm DB 27/10)</t>
        </is>
      </c>
    </row>
    <row r="181" ht="15.75" customHeight="1">
      <c r="A181" s="90" t="n"/>
      <c r="B181" s="90" t="n"/>
      <c r="C181" s="90" t="n"/>
      <c r="D181" s="90" t="n"/>
      <c r="E181" s="13" t="inlineStr">
        <is>
          <t>Công ty TNHH Win Tech Solution</t>
        </is>
      </c>
      <c r="F181" s="14" t="inlineStr">
        <is>
          <t>0312303803</t>
        </is>
      </c>
      <c r="G181" s="72" t="n">
        <v>46322</v>
      </c>
      <c r="H181" s="72" t="n">
        <v>46322</v>
      </c>
      <c r="I181" s="73" t="inlineStr">
        <is>
          <t>Hoàn thành</t>
        </is>
      </c>
      <c r="J181" s="33" t="n"/>
    </row>
    <row r="182" ht="15.75" customHeight="1">
      <c r="A182" s="90" t="n"/>
      <c r="B182" s="90" t="n"/>
      <c r="C182" s="90" t="n"/>
      <c r="D182" s="90" t="n"/>
      <c r="E182" s="13" t="inlineStr">
        <is>
          <t>Tập đoàn Công nghiệp - Viễn thông quân đội</t>
        </is>
      </c>
      <c r="F182" s="14" t="inlineStr">
        <is>
          <t>0100109106</t>
        </is>
      </c>
      <c r="G182" s="15" t="n">
        <v>46309</v>
      </c>
      <c r="H182" s="15" t="n">
        <v>46309</v>
      </c>
      <c r="I182" s="16" t="inlineStr">
        <is>
          <t>Hoàn thành</t>
        </is>
      </c>
      <c r="J182" s="33" t="n"/>
    </row>
    <row r="183" ht="15.75" customHeight="1">
      <c r="A183" s="90" t="n"/>
      <c r="B183" s="90" t="n"/>
      <c r="C183" s="90" t="n"/>
      <c r="D183" s="90" t="n"/>
      <c r="E183" s="13" t="inlineStr">
        <is>
          <t>Công ty Cổ phần Công nghệ thông tin Đông Nam Á</t>
        </is>
      </c>
      <c r="F183" s="14" t="inlineStr">
        <is>
          <t>0102454468</t>
        </is>
      </c>
      <c r="G183" s="72" t="n">
        <v>46357</v>
      </c>
      <c r="H183" s="72" t="n">
        <v>46387</v>
      </c>
      <c r="I183" s="73" t="inlineStr">
        <is>
          <t>Chưa hoàn thành</t>
        </is>
      </c>
      <c r="J183" s="33" t="inlineStr">
        <is>
          <t>Chưa có mail/PDF nào của NCC này (kiểm DB 27/10)</t>
        </is>
      </c>
    </row>
    <row r="184" ht="15.75" customHeight="1">
      <c r="A184" s="90" t="n"/>
      <c r="B184" s="90" t="n"/>
      <c r="C184" s="90" t="n"/>
      <c r="D184" s="90" t="n"/>
      <c r="E184" s="13" t="inlineStr">
        <is>
          <t>Công ty Cổ phần hóa đơn điện tử New-Invoice</t>
        </is>
      </c>
      <c r="F184" s="14" t="inlineStr">
        <is>
          <t>0105937449</t>
        </is>
      </c>
      <c r="G184" s="72" t="n">
        <v>46357</v>
      </c>
      <c r="H184" s="72" t="n">
        <v>46387</v>
      </c>
      <c r="I184" s="73" t="inlineStr">
        <is>
          <t>Chưa hoàn thành</t>
        </is>
      </c>
      <c r="J184" s="33" t="inlineStr">
        <is>
          <t>Chưa có mail/PDF nào của NCC này (kiểm DB 27/10)</t>
        </is>
      </c>
    </row>
    <row r="185" ht="15.75" customHeight="1">
      <c r="A185" s="90" t="n"/>
      <c r="B185" s="90" t="n"/>
      <c r="C185" s="90" t="n"/>
      <c r="D185" s="90" t="n"/>
      <c r="E185" s="13" t="inlineStr">
        <is>
          <t>Công ty Cổ phần Giải pháp phần mềm 3A</t>
        </is>
      </c>
      <c r="F185" s="14" t="inlineStr">
        <is>
          <t>0108516079</t>
        </is>
      </c>
      <c r="G185" s="72" t="n">
        <v>46327</v>
      </c>
      <c r="H185" s="72" t="n">
        <v>46356</v>
      </c>
      <c r="I185" s="73" t="inlineStr">
        <is>
          <t>Chưa hoàn thành</t>
        </is>
      </c>
      <c r="J185" s="33" t="inlineStr">
        <is>
          <t>Chưa có mail/PDF nào của NCC này (kiểm DB 27/10)</t>
        </is>
      </c>
    </row>
    <row r="186" ht="15.75" customHeight="1">
      <c r="A186" s="90" t="n"/>
      <c r="B186" s="90" t="n"/>
      <c r="C186" s="90" t="n"/>
      <c r="D186" s="90" t="n"/>
      <c r="E186" s="13" t="inlineStr">
        <is>
          <t>Tổng công ty Viễn thông Mobifone</t>
        </is>
      </c>
      <c r="F186" s="14" t="inlineStr">
        <is>
          <t>0100686209</t>
        </is>
      </c>
      <c r="G186" s="72" t="n">
        <v>46322</v>
      </c>
      <c r="H186" s="72" t="n">
        <v>46322</v>
      </c>
      <c r="I186" s="73" t="inlineStr">
        <is>
          <t>Hoàn thành</t>
        </is>
      </c>
      <c r="J186" s="33" t="n"/>
    </row>
    <row r="187" ht="15.75" customHeight="1">
      <c r="A187" s="90" t="n"/>
      <c r="B187" s="90" t="n"/>
      <c r="C187" s="90" t="n"/>
      <c r="D187" s="90" t="n"/>
      <c r="E187" s="13" t="inlineStr">
        <is>
          <t>Công ty Cổ phần BKAV</t>
        </is>
      </c>
      <c r="F187" s="14" t="inlineStr">
        <is>
          <t>0101360697</t>
        </is>
      </c>
      <c r="G187" s="15" t="n">
        <v>46317</v>
      </c>
      <c r="H187" s="15" t="n">
        <v>46317</v>
      </c>
      <c r="I187" s="16" t="inlineStr">
        <is>
          <t>Hoàn thành</t>
        </is>
      </c>
      <c r="J187" s="33" t="n"/>
    </row>
    <row r="188" ht="15.75" customHeight="1">
      <c r="A188" s="90" t="n"/>
      <c r="B188" s="90" t="n"/>
      <c r="C188" s="90" t="n"/>
      <c r="D188" s="90" t="n"/>
      <c r="E188" s="13" t="inlineStr">
        <is>
          <t>Công ty Cổ phần phát triển phần mềm ASIA</t>
        </is>
      </c>
      <c r="F188" s="14" t="inlineStr">
        <is>
          <t>0101162173</t>
        </is>
      </c>
      <c r="G188" s="72" t="n">
        <v>46321</v>
      </c>
      <c r="H188" s="72" t="n">
        <v>46321</v>
      </c>
      <c r="I188" s="73" t="inlineStr">
        <is>
          <t>Hoàn thành</t>
        </is>
      </c>
      <c r="J188" s="33" t="n"/>
    </row>
    <row r="189" ht="15.75" customHeight="1">
      <c r="A189" s="90" t="n"/>
      <c r="B189" s="90" t="n"/>
      <c r="C189" s="90" t="n"/>
      <c r="D189" s="90" t="n"/>
      <c r="E189" s="13" t="inlineStr">
        <is>
          <t>Công ty Cổ phần thương mại Visnam</t>
        </is>
      </c>
      <c r="F189" s="14" t="inlineStr">
        <is>
          <t>0401486901</t>
        </is>
      </c>
      <c r="G189" s="72" t="n">
        <v>46318</v>
      </c>
      <c r="H189" s="72" t="n">
        <v>46318</v>
      </c>
      <c r="I189" s="73" t="inlineStr">
        <is>
          <t>Hoàn thành</t>
        </is>
      </c>
      <c r="J189" s="33" t="n"/>
    </row>
    <row r="190" ht="15.75" customHeight="1">
      <c r="A190" s="90" t="n"/>
      <c r="B190" s="90" t="n"/>
      <c r="C190" s="90" t="n"/>
      <c r="D190" s="90" t="n"/>
      <c r="E190" s="13" t="inlineStr">
        <is>
          <t>Công ty Cổ phần Thiết bị điện - Điện tử Bách Khoa</t>
        </is>
      </c>
      <c r="F190" s="14" t="inlineStr">
        <is>
          <t>0200784873</t>
        </is>
      </c>
      <c r="G190" s="72" t="n">
        <v>46327</v>
      </c>
      <c r="H190" s="72" t="n">
        <v>46356</v>
      </c>
      <c r="I190" s="73" t="inlineStr">
        <is>
          <t>Sẵn sàng</t>
        </is>
      </c>
      <c r="J190" s="33" t="n"/>
    </row>
    <row r="191" ht="15.75" customHeight="1">
      <c r="A191" s="90" t="n"/>
      <c r="B191" s="90" t="n"/>
      <c r="C191" s="90" t="n"/>
      <c r="D191" s="90" t="n"/>
      <c r="E191" s="13" t="inlineStr">
        <is>
          <t>Tập Đoàn Bưu chính viễn thông Việt Nam</t>
        </is>
      </c>
      <c r="F191" s="14" t="inlineStr">
        <is>
          <t>0100684378</t>
        </is>
      </c>
      <c r="G191" s="15" t="n">
        <v>46309</v>
      </c>
      <c r="H191" s="15" t="n">
        <v>46309</v>
      </c>
      <c r="I191" s="37" t="inlineStr">
        <is>
          <t>Hoàn thành</t>
        </is>
      </c>
      <c r="J191" s="33" t="n"/>
    </row>
    <row r="192" ht="15.75" customHeight="1">
      <c r="A192" s="90" t="n"/>
      <c r="B192" s="90" t="n"/>
      <c r="C192" s="90" t="n"/>
      <c r="D192" s="90" t="n"/>
      <c r="E192" s="13" t="inlineStr">
        <is>
          <t>Công ty Cổ phần dịch vụ T-VAN HILO</t>
        </is>
      </c>
      <c r="F192" s="14" t="inlineStr">
        <is>
          <t>0106713804</t>
        </is>
      </c>
      <c r="G192" s="48" t="n">
        <v>46309</v>
      </c>
      <c r="H192" s="48" t="n">
        <v>46309</v>
      </c>
      <c r="I192" s="49" t="inlineStr">
        <is>
          <t>Hoàn thành</t>
        </is>
      </c>
      <c r="J192" s="33" t="n"/>
    </row>
    <row r="193" ht="15.75" customHeight="1">
      <c r="A193" s="90" t="n"/>
      <c r="B193" s="90" t="n"/>
      <c r="C193" s="90" t="n"/>
      <c r="D193" s="90" t="n"/>
      <c r="E193" s="13" t="inlineStr">
        <is>
          <t>Công ty Cổ phần Minh Khang Group</t>
        </is>
      </c>
      <c r="F193" s="14" t="inlineStr">
        <is>
          <t>0314209362</t>
        </is>
      </c>
      <c r="G193" s="72" t="n">
        <v>46322</v>
      </c>
      <c r="H193" s="72" t="n">
        <v>46322</v>
      </c>
      <c r="I193" s="73" t="inlineStr">
        <is>
          <t>Hoàn thành</t>
        </is>
      </c>
      <c r="J193" s="33" t="n"/>
    </row>
    <row r="194" ht="15.75" customHeight="1">
      <c r="A194" s="90" t="n"/>
      <c r="B194" s="90" t="n"/>
      <c r="C194" s="90" t="n"/>
      <c r="D194" s="90" t="n"/>
      <c r="E194" s="13" t="inlineStr">
        <is>
          <t>Công ty Cổ phần Giải pháp hóa đơn điện tử Việt Nam</t>
        </is>
      </c>
      <c r="F194" s="14" t="inlineStr">
        <is>
          <t>0101352495</t>
        </is>
      </c>
      <c r="G194" s="72" t="n">
        <v>46318</v>
      </c>
      <c r="H194" s="72" t="n">
        <v>46318</v>
      </c>
      <c r="I194" s="73" t="inlineStr">
        <is>
          <t>Hoàn thành</t>
        </is>
      </c>
      <c r="J194" s="33" t="n"/>
    </row>
    <row r="195" ht="15.75" customHeight="1">
      <c r="A195" s="90" t="n"/>
      <c r="B195" s="90" t="n"/>
      <c r="C195" s="90" t="n"/>
      <c r="D195" s="90" t="n"/>
      <c r="E195" s="13" t="inlineStr">
        <is>
          <t>Công ty Cổ phần giải pháp thanh toán Việt Nam</t>
        </is>
      </c>
      <c r="F195" s="14" t="inlineStr">
        <is>
          <t>0102182292</t>
        </is>
      </c>
      <c r="G195" s="72" t="n">
        <v>46357</v>
      </c>
      <c r="H195" s="72" t="n">
        <v>46387</v>
      </c>
      <c r="I195" s="73" t="inlineStr">
        <is>
          <t>Chưa hoàn thành</t>
        </is>
      </c>
      <c r="J195" s="33" t="inlineStr">
        <is>
          <t>Chưa có mail/PDF nào của NCC này (kiểm DB 27/10)</t>
        </is>
      </c>
    </row>
    <row r="196" ht="15.75" customHeight="1">
      <c r="A196" s="90" t="n"/>
      <c r="B196" s="90" t="n"/>
      <c r="C196" s="90" t="n"/>
      <c r="D196" s="90" t="n"/>
      <c r="E196" s="13" t="inlineStr">
        <is>
          <t>Công ty Cổ phần ICORP</t>
        </is>
      </c>
      <c r="F196" s="14" t="inlineStr">
        <is>
          <t>0106870211</t>
        </is>
      </c>
      <c r="G196" s="72" t="n">
        <v>46327</v>
      </c>
      <c r="H196" s="72" t="n">
        <v>46356</v>
      </c>
      <c r="I196" s="73" t="inlineStr">
        <is>
          <t>Sẵn sàng</t>
        </is>
      </c>
      <c r="J196" s="33" t="n"/>
    </row>
    <row r="197" ht="15.75" customHeight="1">
      <c r="A197" s="90" t="n"/>
      <c r="B197" s="90" t="n"/>
      <c r="C197" s="90" t="n"/>
      <c r="D197" s="90" t="n"/>
      <c r="E197" s="13" t="inlineStr">
        <is>
          <t>Công ty Cổ phần đầu tư và công nghệ idocNet</t>
        </is>
      </c>
      <c r="F197" s="14" t="inlineStr">
        <is>
          <t>0104614692</t>
        </is>
      </c>
      <c r="G197" s="72" t="n">
        <v>46357</v>
      </c>
      <c r="H197" s="72" t="n">
        <v>46387</v>
      </c>
      <c r="I197" s="73" t="inlineStr">
        <is>
          <t>Chưa hoàn thành</t>
        </is>
      </c>
      <c r="J197" s="33" t="inlineStr">
        <is>
          <t>Chưa có mail/PDF nào của NCC này (kiểm DB 27/10)</t>
        </is>
      </c>
    </row>
    <row r="198" ht="15.75" customHeight="1">
      <c r="A198" s="90" t="n"/>
      <c r="B198" s="90" t="n"/>
      <c r="C198" s="90" t="n"/>
      <c r="D198" s="90" t="n"/>
      <c r="E198" s="13" t="inlineStr">
        <is>
          <t>Công ty Cổ phần chữ ký số VI NA</t>
        </is>
      </c>
      <c r="F198" s="14" t="inlineStr">
        <is>
          <t>0309612872</t>
        </is>
      </c>
      <c r="G198" s="72" t="n">
        <v>46317</v>
      </c>
      <c r="H198" s="72" t="n">
        <v>46317</v>
      </c>
      <c r="I198" s="73" t="inlineStr">
        <is>
          <t>Hoàn thành</t>
        </is>
      </c>
      <c r="J198" s="33" t="n"/>
    </row>
    <row r="199" ht="15.75" customHeight="1">
      <c r="A199" s="90" t="n"/>
      <c r="B199" s="90" t="n"/>
      <c r="C199" s="90" t="n"/>
      <c r="D199" s="90" t="n"/>
      <c r="E199" s="13" t="inlineStr">
        <is>
          <t>Công ty Cổ phần TS24</t>
        </is>
      </c>
      <c r="F199" s="14" t="inlineStr">
        <is>
          <t>0309478306</t>
        </is>
      </c>
      <c r="G199" s="72" t="n">
        <v>46322</v>
      </c>
      <c r="H199" s="72" t="n">
        <v>46322</v>
      </c>
      <c r="I199" s="73" t="inlineStr">
        <is>
          <t>Hoàn thành</t>
        </is>
      </c>
      <c r="J199" s="33" t="n"/>
    </row>
    <row r="200" ht="15.75" customHeight="1">
      <c r="A200" s="90" t="n"/>
      <c r="B200" s="90" t="n"/>
      <c r="C200" s="90" t="n"/>
      <c r="D200" s="90" t="n"/>
      <c r="E200" s="13" t="inlineStr">
        <is>
          <t>Công ty TNHH Hóa đơn điện tử TCT</t>
        </is>
      </c>
      <c r="F200" s="14" t="inlineStr">
        <is>
          <t>0315298333</t>
        </is>
      </c>
      <c r="G200" s="72" t="n">
        <v>46357</v>
      </c>
      <c r="H200" s="72" t="n">
        <v>46387</v>
      </c>
      <c r="I200" s="73" t="inlineStr">
        <is>
          <t>Chưa hoàn thành</t>
        </is>
      </c>
      <c r="J200" s="33" t="inlineStr">
        <is>
          <t>Chưa có mail/PDF nào của NCC này (kiểm DB 27/10)</t>
        </is>
      </c>
    </row>
    <row r="201" ht="15.75" customHeight="1">
      <c r="A201" s="90" t="n"/>
      <c r="B201" s="90" t="n"/>
      <c r="C201" s="90" t="n"/>
      <c r="D201" s="90" t="n"/>
      <c r="E201" s="13" t="inlineStr">
        <is>
          <t>Công ty TNHH Tin học Tia lửa Việt</t>
        </is>
      </c>
      <c r="F201" s="14" t="inlineStr">
        <is>
          <t>0303609305</t>
        </is>
      </c>
      <c r="G201" s="72" t="n">
        <v>46327</v>
      </c>
      <c r="H201" s="72" t="n">
        <v>46356</v>
      </c>
      <c r="I201" s="73" t="inlineStr">
        <is>
          <t>Sẵn sàng</t>
        </is>
      </c>
      <c r="J201" s="33" t="n"/>
    </row>
    <row r="202" ht="15.75" customHeight="1">
      <c r="A202" s="90" t="n"/>
      <c r="B202" s="90" t="n"/>
      <c r="C202" s="90" t="n"/>
      <c r="D202" s="90" t="n"/>
      <c r="E202" s="13" t="inlineStr">
        <is>
          <t>Công ty Cổ phần phần mềm quản lý doanh nghiệp</t>
        </is>
      </c>
      <c r="F202" s="14" t="inlineStr">
        <is>
          <t>0100727825</t>
        </is>
      </c>
      <c r="G202" s="72" t="n">
        <v>46318</v>
      </c>
      <c r="H202" s="72" t="n">
        <v>46318</v>
      </c>
      <c r="I202" s="73" t="inlineStr">
        <is>
          <t>Hoàn thành</t>
        </is>
      </c>
      <c r="J202" s="33" t="n"/>
    </row>
    <row r="203" ht="15.75" customHeight="1">
      <c r="A203" s="90" t="n"/>
      <c r="B203" s="90" t="n"/>
      <c r="C203" s="90" t="n"/>
      <c r="D203" s="90" t="n"/>
      <c r="E203" s="13" t="inlineStr">
        <is>
          <t>Công ty TNHH ACCONLINE.VN</t>
        </is>
      </c>
      <c r="F203" s="14" t="inlineStr">
        <is>
          <t>0315467091</t>
        </is>
      </c>
      <c r="G203" s="72" t="n">
        <v>46357</v>
      </c>
      <c r="H203" s="72" t="n">
        <v>46387</v>
      </c>
      <c r="I203" s="73" t="inlineStr">
        <is>
          <t>Chưa hoàn thành</t>
        </is>
      </c>
      <c r="J203" s="33" t="inlineStr">
        <is>
          <t>Chưa có mail/PDF nào của NCC này (kiểm DB 27/10)</t>
        </is>
      </c>
    </row>
    <row r="204" ht="15.75" customHeight="1">
      <c r="A204" s="90" t="n"/>
      <c r="B204" s="90" t="n"/>
      <c r="C204" s="90" t="n"/>
      <c r="D204" s="90" t="n"/>
      <c r="E204" s="13" t="inlineStr">
        <is>
          <t>Công ty Cổ phần công nghệ hóa đơn điện tử HT</t>
        </is>
      </c>
      <c r="F204" s="14" t="inlineStr">
        <is>
          <t>0315638251</t>
        </is>
      </c>
      <c r="G204" s="72" t="n">
        <v>46317</v>
      </c>
      <c r="H204" s="72" t="n">
        <v>46317</v>
      </c>
      <c r="I204" s="73" t="inlineStr">
        <is>
          <t>Hoàn thành</t>
        </is>
      </c>
      <c r="J204" s="33" t="n"/>
    </row>
    <row r="205" ht="15.75" customHeight="1">
      <c r="A205" s="90" t="n"/>
      <c r="B205" s="90" t="n"/>
      <c r="C205" s="90" t="n"/>
      <c r="D205" s="90" t="n"/>
      <c r="E205" s="13" t="inlineStr">
        <is>
          <t>Công ty Cổ phần công nghệ ITT</t>
        </is>
      </c>
      <c r="F205" s="14" t="inlineStr">
        <is>
          <t>0105958921</t>
        </is>
      </c>
      <c r="G205" s="72" t="n">
        <v>46327</v>
      </c>
      <c r="H205" s="72" t="n">
        <v>46356</v>
      </c>
      <c r="I205" s="73" t="inlineStr">
        <is>
          <t>Chưa hoàn thành</t>
        </is>
      </c>
      <c r="J205" s="33" t="inlineStr">
        <is>
          <t>Chưa có mail/PDF nào của NCC này (kiểm DB 27/10)</t>
        </is>
      </c>
    </row>
    <row r="206" ht="15.75" customHeight="1">
      <c r="A206" s="90" t="n"/>
      <c r="B206" s="90" t="n"/>
      <c r="C206" s="90" t="n"/>
      <c r="D206" s="90" t="n"/>
      <c r="E206" s="13" t="inlineStr">
        <is>
          <t>Công ty TNHH PA Việt Nam</t>
        </is>
      </c>
      <c r="F206" s="14" t="inlineStr">
        <is>
          <t>0302431595</t>
        </is>
      </c>
      <c r="G206" s="72" t="n">
        <v>46317</v>
      </c>
      <c r="H206" s="72" t="n">
        <v>46317</v>
      </c>
      <c r="I206" s="73" t="inlineStr">
        <is>
          <t>Hoàn thành</t>
        </is>
      </c>
      <c r="J206" s="33" t="n"/>
    </row>
    <row r="207" ht="15.75" customHeight="1">
      <c r="A207" s="90" t="n"/>
      <c r="B207" s="90" t="n"/>
      <c r="C207" s="90" t="n"/>
      <c r="D207" s="90" t="n"/>
      <c r="E207" s="13" t="inlineStr">
        <is>
          <t>Công ty Cổ phần tích hợp công nghệ VNISC</t>
        </is>
      </c>
      <c r="F207" s="14" t="inlineStr">
        <is>
          <t>0103018807</t>
        </is>
      </c>
      <c r="G207" s="15" t="n">
        <v>46309</v>
      </c>
      <c r="H207" s="15" t="n">
        <v>46309</v>
      </c>
      <c r="I207" s="37" t="inlineStr">
        <is>
          <t>Hoàn thành</t>
        </is>
      </c>
      <c r="J207" s="33" t="n"/>
    </row>
    <row r="208" ht="15.75" customHeight="1">
      <c r="A208" s="90" t="n"/>
      <c r="B208" s="90" t="n"/>
      <c r="C208" s="90" t="n"/>
      <c r="D208" s="90" t="n"/>
      <c r="E208" s="13" t="inlineStr">
        <is>
          <t>Công ty TNHH Giải pháp hóa đơn điện tử My – Invoice</t>
        </is>
      </c>
      <c r="F208" s="14" t="inlineStr">
        <is>
          <t>0106820789</t>
        </is>
      </c>
      <c r="G208" s="72" t="n">
        <v>46327</v>
      </c>
      <c r="H208" s="72" t="n">
        <v>46356</v>
      </c>
      <c r="I208" s="73" t="inlineStr">
        <is>
          <t>Sẵn sàng</t>
        </is>
      </c>
      <c r="J208" s="33" t="n"/>
    </row>
    <row r="209" ht="15.75" customHeight="1">
      <c r="A209" s="90" t="n"/>
      <c r="B209" s="90" t="n"/>
      <c r="C209" s="90" t="n"/>
      <c r="D209" s="90" t="n"/>
      <c r="E209" s="13" t="inlineStr">
        <is>
          <t>Công ty Cổ phần Chứng số An toàn</t>
        </is>
      </c>
      <c r="F209" s="14" t="inlineStr">
        <is>
          <t>0310151055</t>
        </is>
      </c>
      <c r="G209" s="72" t="n">
        <v>46357</v>
      </c>
      <c r="H209" s="72" t="n">
        <v>46387</v>
      </c>
      <c r="I209" s="73" t="inlineStr">
        <is>
          <t>Chưa hoàn thành</t>
        </is>
      </c>
      <c r="J209" s="33" t="inlineStr">
        <is>
          <t>Chưa có mail/PDF nào của NCC này (kiểm DB 27/10)</t>
        </is>
      </c>
    </row>
    <row r="210" ht="15.75" customHeight="1">
      <c r="A210" s="90" t="n"/>
      <c r="B210" s="90" t="n"/>
      <c r="C210" s="90" t="n"/>
      <c r="D210" s="90" t="n"/>
      <c r="E210" s="13" t="inlineStr">
        <is>
          <t>Công ty Cổ phần công nghệ San Phú</t>
        </is>
      </c>
      <c r="F210" s="14" t="inlineStr">
        <is>
          <t>0303430876</t>
        </is>
      </c>
      <c r="G210" s="72" t="n">
        <v>46357</v>
      </c>
      <c r="H210" s="72" t="n">
        <v>46387</v>
      </c>
      <c r="I210" s="73" t="inlineStr">
        <is>
          <t>Chưa hoàn thành</t>
        </is>
      </c>
      <c r="J210" s="33" t="inlineStr">
        <is>
          <t>Chưa có mail/PDF nào của NCC này (kiểm DB 27/10)</t>
        </is>
      </c>
    </row>
    <row r="211" ht="15.75" customHeight="1">
      <c r="A211" s="90" t="n"/>
      <c r="B211" s="90" t="n"/>
      <c r="C211" s="90" t="n"/>
      <c r="D211" s="90" t="n"/>
      <c r="E211" s="13" t="inlineStr">
        <is>
          <t>Công ty TNHH Giấy vi tính Liên Sơn</t>
        </is>
      </c>
      <c r="F211" s="14" t="inlineStr">
        <is>
          <t>0301452923</t>
        </is>
      </c>
      <c r="G211" s="72" t="n">
        <v>46327</v>
      </c>
      <c r="H211" s="72" t="n">
        <v>46356</v>
      </c>
      <c r="I211" s="73" t="inlineStr">
        <is>
          <t>Sẵn sàng</t>
        </is>
      </c>
      <c r="J211" s="33" t="n"/>
    </row>
    <row r="212" ht="15.75" customHeight="1">
      <c r="A212" s="90" t="n"/>
      <c r="B212" s="90" t="n"/>
      <c r="C212" s="90" t="n"/>
      <c r="D212" s="90" t="n"/>
      <c r="E212" s="13" t="inlineStr">
        <is>
          <t>Công ty TNHH Thương Mại dịch vụ Online VI NA</t>
        </is>
      </c>
      <c r="F212" s="14" t="inlineStr">
        <is>
          <t>0314185087</t>
        </is>
      </c>
      <c r="G212" s="72" t="n">
        <v>46318</v>
      </c>
      <c r="H212" s="72" t="n">
        <v>46318</v>
      </c>
      <c r="I212" s="73" t="inlineStr">
        <is>
          <t>Hoàn thành</t>
        </is>
      </c>
      <c r="J212" s="33" t="n"/>
    </row>
    <row r="213" ht="15.75" customHeight="1">
      <c r="A213" s="90" t="n"/>
      <c r="B213" s="90" t="n"/>
      <c r="C213" s="90" t="n"/>
      <c r="D213" s="90" t="n"/>
      <c r="E213" s="13" t="inlineStr">
        <is>
          <t>Công ty Cổ phần dịch vụ viễn thông và in Bưu điện</t>
        </is>
      </c>
      <c r="F213" s="14" t="inlineStr">
        <is>
          <t>0100687474</t>
        </is>
      </c>
      <c r="G213" s="72" t="n">
        <v>46327</v>
      </c>
      <c r="H213" s="72" t="n">
        <v>46356</v>
      </c>
      <c r="I213" s="73" t="inlineStr">
        <is>
          <t>Sẵn sàng</t>
        </is>
      </c>
      <c r="J213" s="33" t="n"/>
    </row>
    <row r="214" ht="15.75" customHeight="1">
      <c r="A214" s="90" t="n"/>
      <c r="B214" s="90" t="n"/>
      <c r="C214" s="90" t="n"/>
      <c r="D214" s="90" t="n"/>
      <c r="E214" s="13" t="inlineStr">
        <is>
          <t>Công ty TNHH Tuần Châu</t>
        </is>
      </c>
      <c r="F214" s="14" t="inlineStr">
        <is>
          <t>0400462489</t>
        </is>
      </c>
      <c r="G214" s="72" t="n">
        <v>46327</v>
      </c>
      <c r="H214" s="72" t="n">
        <v>46356</v>
      </c>
      <c r="I214" s="73" t="inlineStr">
        <is>
          <t>Sẵn sàng</t>
        </is>
      </c>
      <c r="J214" s="33" t="n"/>
    </row>
    <row r="215" ht="15.75" customHeight="1">
      <c r="A215" s="90" t="n"/>
      <c r="B215" s="90" t="n"/>
      <c r="C215" s="90" t="n"/>
      <c r="D215" s="90" t="n"/>
      <c r="E215" s="13" t="inlineStr">
        <is>
          <t>Công ty TNHH Minh Thư</t>
        </is>
      </c>
      <c r="F215" s="14" t="inlineStr">
        <is>
          <t>3500456910</t>
        </is>
      </c>
      <c r="G215" s="72" t="n">
        <v>46327</v>
      </c>
      <c r="H215" s="72" t="n">
        <v>46356</v>
      </c>
      <c r="I215" s="73" t="inlineStr">
        <is>
          <t>Sẵn sàng</t>
        </is>
      </c>
      <c r="J215" s="33" t="n"/>
    </row>
    <row r="216" ht="15.75" customHeight="1">
      <c r="A216" s="90" t="n"/>
      <c r="B216" s="90" t="n"/>
      <c r="C216" s="90" t="n"/>
      <c r="D216" s="90" t="n"/>
      <c r="E216" s="13" t="inlineStr">
        <is>
          <t>Công ty Cổ phần phát triển công nghệ ACMAN</t>
        </is>
      </c>
      <c r="F216" s="14" t="inlineStr">
        <is>
          <t>0104908371</t>
        </is>
      </c>
      <c r="G216" s="72" t="n">
        <v>46327</v>
      </c>
      <c r="H216" s="72" t="n">
        <v>46356</v>
      </c>
      <c r="I216" s="73" t="inlineStr">
        <is>
          <t>Sẵn sàng</t>
        </is>
      </c>
      <c r="J216" s="33" t="n"/>
    </row>
    <row r="217" ht="15.75" customHeight="1">
      <c r="A217" s="90" t="n"/>
      <c r="B217" s="90" t="n"/>
      <c r="C217" s="90" t="n"/>
      <c r="D217" s="90" t="n"/>
      <c r="E217" s="13" t="inlineStr">
        <is>
          <t>Công ty TNHH Tư vấn thương mại Trí Việt Luật</t>
        </is>
      </c>
      <c r="F217" s="14" t="inlineStr">
        <is>
          <t>0315191291</t>
        </is>
      </c>
      <c r="G217" s="72" t="n">
        <v>46327</v>
      </c>
      <c r="H217" s="72" t="n">
        <v>46356</v>
      </c>
      <c r="I217" s="73" t="inlineStr">
        <is>
          <t>Sẵn sàng</t>
        </is>
      </c>
      <c r="J217" s="33" t="n"/>
    </row>
    <row r="218" ht="15.75" customHeight="1">
      <c r="A218" s="90" t="n"/>
      <c r="B218" s="90" t="n"/>
      <c r="C218" s="90" t="n"/>
      <c r="D218" s="90" t="n"/>
      <c r="E218" s="13" t="inlineStr">
        <is>
          <t>Công ty TNHH Đầu tư Hòn Ngọc Việt</t>
        </is>
      </c>
      <c r="F218" s="14" t="inlineStr">
        <is>
          <t>0313844107</t>
        </is>
      </c>
      <c r="G218" s="72" t="n">
        <v>46357</v>
      </c>
      <c r="H218" s="72" t="n">
        <v>46387</v>
      </c>
      <c r="I218" s="73" t="inlineStr">
        <is>
          <t>Chưa hoàn thành</t>
        </is>
      </c>
      <c r="J218" s="33" t="inlineStr">
        <is>
          <t>Chưa có mail/PDF nào của NCC này (kiểm DB 27/10)</t>
        </is>
      </c>
    </row>
    <row r="219" ht="15.75" customHeight="1">
      <c r="A219" s="90" t="n"/>
      <c r="B219" s="90" t="n"/>
      <c r="C219" s="90" t="n"/>
      <c r="D219" s="90" t="n"/>
      <c r="E219" s="13" t="inlineStr">
        <is>
          <t>Công ty TNHH Dịch vụ Trí Việt Luật</t>
        </is>
      </c>
      <c r="F219" s="14" t="inlineStr">
        <is>
          <t>0311622035</t>
        </is>
      </c>
      <c r="G219" s="72" t="n">
        <v>46327</v>
      </c>
      <c r="H219" s="72" t="n">
        <v>46356</v>
      </c>
      <c r="I219" s="73" t="inlineStr">
        <is>
          <t>Sẵn sàng</t>
        </is>
      </c>
      <c r="J219" s="33" t="n"/>
    </row>
    <row r="220" ht="15.75" customHeight="1">
      <c r="A220" s="90" t="n"/>
      <c r="B220" s="90" t="n"/>
      <c r="C220" s="90" t="n"/>
      <c r="D220" s="90" t="n"/>
      <c r="E220" s="13" t="inlineStr">
        <is>
          <t>Công ty Cổ phần truyền số liệu Việt Nam</t>
        </is>
      </c>
      <c r="F220" s="14" t="inlineStr">
        <is>
          <t>0106361479</t>
        </is>
      </c>
      <c r="G220" s="72" t="n">
        <v>46357</v>
      </c>
      <c r="H220" s="72" t="n">
        <v>46387</v>
      </c>
      <c r="I220" s="73" t="inlineStr">
        <is>
          <t>Chưa hoàn thành</t>
        </is>
      </c>
      <c r="J220" s="33" t="inlineStr">
        <is>
          <t>Chưa có thông tin</t>
        </is>
      </c>
    </row>
    <row r="221" ht="15.75" customHeight="1">
      <c r="A221" s="90" t="n"/>
      <c r="B221" s="90" t="n"/>
      <c r="C221" s="90" t="n"/>
      <c r="D221" s="90" t="n"/>
      <c r="E221" s="13" t="inlineStr">
        <is>
          <t>Công ty TNHH NC9 Việt Nam</t>
        </is>
      </c>
      <c r="F221" s="14" t="inlineStr">
        <is>
          <t>0312270160</t>
        </is>
      </c>
      <c r="G221" s="72" t="n">
        <v>46357</v>
      </c>
      <c r="H221" s="72" t="n">
        <v>46387</v>
      </c>
      <c r="I221" s="73" t="inlineStr">
        <is>
          <t>Chưa hoàn thành</t>
        </is>
      </c>
      <c r="J221" s="33" t="inlineStr">
        <is>
          <t>Chưa có thông tin</t>
        </is>
      </c>
    </row>
    <row r="222" ht="15.75" customHeight="1">
      <c r="A222" s="90" t="n"/>
      <c r="B222" s="90" t="n"/>
      <c r="C222" s="90" t="n"/>
      <c r="D222" s="90" t="n"/>
      <c r="E222" s="13" t="inlineStr">
        <is>
          <t>Công ty Cổ phần giải pháp First Trust</t>
        </is>
      </c>
      <c r="F222" s="14" t="inlineStr">
        <is>
          <t>0104493085</t>
        </is>
      </c>
      <c r="G222" s="72" t="n">
        <v>46327</v>
      </c>
      <c r="H222" s="72" t="n">
        <v>46356</v>
      </c>
      <c r="I222" s="73" t="inlineStr">
        <is>
          <t>Chưa hoàn thành</t>
        </is>
      </c>
      <c r="J222" s="33" t="inlineStr">
        <is>
          <t>Chưa có thông tin</t>
        </is>
      </c>
    </row>
    <row r="223" ht="15.75" customHeight="1">
      <c r="A223" s="90" t="n"/>
      <c r="B223" s="90" t="n"/>
      <c r="C223" s="90" t="n"/>
      <c r="D223" s="90" t="n"/>
      <c r="E223" s="13" t="inlineStr">
        <is>
          <t>Công ty TNHH Phần mềm Nhân Hòa</t>
        </is>
      </c>
      <c r="F223" s="14" t="inlineStr">
        <is>
          <t>0101289966</t>
        </is>
      </c>
      <c r="G223" s="72" t="n">
        <v>46357</v>
      </c>
      <c r="H223" s="72" t="n">
        <v>46387</v>
      </c>
      <c r="I223" s="73" t="inlineStr">
        <is>
          <t>Chưa hoàn thành</t>
        </is>
      </c>
      <c r="J223" s="33" t="inlineStr">
        <is>
          <t>Chưa có thông tin</t>
        </is>
      </c>
    </row>
    <row r="224" ht="15.75" customHeight="1">
      <c r="A224" s="90" t="n"/>
      <c r="B224" s="90" t="n"/>
      <c r="C224" s="90" t="n"/>
      <c r="D224" s="90" t="n"/>
      <c r="E224" s="13" t="inlineStr">
        <is>
          <t>Công ty TNHH Kế toán và tư vấn V.L.C</t>
        </is>
      </c>
      <c r="F224" s="14" t="inlineStr">
        <is>
          <t>0303211948</t>
        </is>
      </c>
      <c r="G224" s="72" t="n">
        <v>46327</v>
      </c>
      <c r="H224" s="72" t="n">
        <v>46356</v>
      </c>
      <c r="I224" s="73" t="inlineStr">
        <is>
          <t>Sẵn sàng</t>
        </is>
      </c>
      <c r="J224" s="33" t="n"/>
    </row>
    <row r="225" ht="15.75" customHeight="1">
      <c r="A225" s="90" t="n"/>
      <c r="B225" s="90" t="n"/>
      <c r="C225" s="90" t="n"/>
      <c r="D225" s="90" t="n"/>
      <c r="E225" s="13" t="inlineStr">
        <is>
          <t>Công ty Cổ phần Công nghệ và giải pháp Tâm Việt</t>
        </is>
      </c>
      <c r="F225" s="14" t="inlineStr">
        <is>
          <t>0101622374</t>
        </is>
      </c>
      <c r="G225" s="72" t="n">
        <v>46357</v>
      </c>
      <c r="H225" s="72" t="n">
        <v>46387</v>
      </c>
      <c r="I225" s="73" t="inlineStr">
        <is>
          <t>Chưa hoàn thành</t>
        </is>
      </c>
      <c r="J225" s="33" t="inlineStr">
        <is>
          <t>Chưa có thông tin</t>
        </is>
      </c>
    </row>
    <row r="226" ht="15.75" customHeight="1">
      <c r="A226" s="90" t="n"/>
      <c r="B226" s="90" t="n"/>
      <c r="C226" s="90" t="n"/>
      <c r="D226" s="90" t="n"/>
      <c r="E226" s="13" t="inlineStr">
        <is>
          <t>Công ty TNHH Dịch vụ phần mềm AVSE</t>
        </is>
      </c>
      <c r="F226" s="14" t="inlineStr">
        <is>
          <t>0310768095</t>
        </is>
      </c>
      <c r="G226" s="72" t="n">
        <v>46327</v>
      </c>
      <c r="H226" s="72" t="n">
        <v>46356</v>
      </c>
      <c r="I226" s="73" t="inlineStr">
        <is>
          <t>Sẵn sàng</t>
        </is>
      </c>
      <c r="J226" s="33" t="n"/>
    </row>
    <row r="227" ht="15.75" customHeight="1">
      <c r="A227" s="90" t="n"/>
      <c r="B227" s="90" t="n"/>
      <c r="C227" s="90" t="n"/>
      <c r="D227" s="90" t="n"/>
      <c r="E227" s="13" t="inlineStr">
        <is>
          <t>Công ty TNHH MTV in Bến Thành</t>
        </is>
      </c>
      <c r="F227" s="14" t="inlineStr">
        <is>
          <t>0312961577</t>
        </is>
      </c>
      <c r="G227" s="72" t="n">
        <v>46357</v>
      </c>
      <c r="H227" s="72" t="n">
        <v>46387</v>
      </c>
      <c r="I227" s="73" t="inlineStr">
        <is>
          <t>Chưa hoàn thành</t>
        </is>
      </c>
      <c r="J227" s="33" t="inlineStr">
        <is>
          <t>Chưa có thông tin</t>
        </is>
      </c>
    </row>
    <row r="228" ht="15.75" customHeight="1">
      <c r="A228" s="90" t="n"/>
      <c r="B228" s="90" t="n"/>
      <c r="C228" s="90" t="n"/>
      <c r="D228" s="90" t="n"/>
      <c r="E228" s="13" t="inlineStr">
        <is>
          <t>Công ty TNHH ZAMO</t>
        </is>
      </c>
      <c r="F228" s="14" t="inlineStr">
        <is>
          <t>0313950909</t>
        </is>
      </c>
      <c r="G228" s="72" t="n">
        <v>46327</v>
      </c>
      <c r="H228" s="72" t="n">
        <v>46356</v>
      </c>
      <c r="I228" s="73" t="inlineStr">
        <is>
          <t>Sẵn sàng</t>
        </is>
      </c>
      <c r="J228" s="33" t="n"/>
    </row>
    <row r="229" ht="15.75" customHeight="1">
      <c r="A229" s="90" t="n"/>
      <c r="B229" s="90" t="n"/>
      <c r="C229" s="90" t="n"/>
      <c r="D229" s="90" t="n"/>
      <c r="E229" s="13" t="inlineStr">
        <is>
          <t>Công ty Cổ phần công nghệ VIETINFO</t>
        </is>
      </c>
      <c r="F229" s="14" t="inlineStr">
        <is>
          <t>0311928954</t>
        </is>
      </c>
      <c r="G229" s="72" t="n">
        <v>46327</v>
      </c>
      <c r="H229" s="72" t="n">
        <v>46356</v>
      </c>
      <c r="I229" s="73" t="inlineStr">
        <is>
          <t>Sẵn sàng</t>
        </is>
      </c>
      <c r="J229" s="33" t="n"/>
    </row>
    <row r="230" ht="15.75" customHeight="1">
      <c r="A230" s="90" t="n"/>
      <c r="B230" s="90" t="n"/>
      <c r="C230" s="90" t="n"/>
      <c r="D230" s="90" t="n"/>
      <c r="E230" s="13" t="inlineStr">
        <is>
          <t>Công ty Cổ phần phát triển phần mềm và công nghệ Bitware</t>
        </is>
      </c>
      <c r="F230" s="14" t="inlineStr">
        <is>
          <t>0103770970</t>
        </is>
      </c>
      <c r="G230" s="72" t="n">
        <v>46327</v>
      </c>
      <c r="H230" s="72" t="n">
        <v>46356</v>
      </c>
      <c r="I230" s="73" t="inlineStr">
        <is>
          <t>Chưa hoàn thành</t>
        </is>
      </c>
      <c r="J230" s="33" t="inlineStr">
        <is>
          <t>Chưa có thông tin</t>
        </is>
      </c>
    </row>
    <row r="231" ht="15.75" customHeight="1">
      <c r="A231" s="90" t="n"/>
      <c r="B231" s="90" t="n"/>
      <c r="C231" s="90" t="n"/>
      <c r="D231" s="90" t="n"/>
      <c r="E231" s="13" t="inlineStr">
        <is>
          <t>Công ty Cổ phần phần mềm Rosy</t>
        </is>
      </c>
      <c r="F231" s="14" t="inlineStr">
        <is>
          <t>0305142231</t>
        </is>
      </c>
      <c r="G231" s="72" t="n">
        <v>46321</v>
      </c>
      <c r="H231" s="72" t="n">
        <v>46321</v>
      </c>
      <c r="I231" s="73" t="inlineStr">
        <is>
          <t>Hoàn thành</t>
        </is>
      </c>
      <c r="J231" s="33" t="n"/>
    </row>
    <row r="232" ht="15.75" customHeight="1">
      <c r="A232" s="90" t="n"/>
      <c r="B232" s="90" t="n"/>
      <c r="C232" s="90" t="n"/>
      <c r="D232" s="90" t="n"/>
      <c r="E232" s="13" t="inlineStr">
        <is>
          <t>Công ty TNHH MTV thương mại dịch vụ Trần Đình Tùng</t>
        </is>
      </c>
      <c r="F232" s="14" t="inlineStr">
        <is>
          <t>3702037020</t>
        </is>
      </c>
      <c r="G232" s="72" t="n">
        <v>46327</v>
      </c>
      <c r="H232" s="72" t="n">
        <v>46356</v>
      </c>
      <c r="I232" s="73" t="inlineStr">
        <is>
          <t>Sẵn sàng</t>
        </is>
      </c>
      <c r="J232" s="33" t="n"/>
    </row>
    <row r="233" ht="15.75" customHeight="1">
      <c r="A233" s="90" t="n"/>
      <c r="B233" s="90" t="n"/>
      <c r="C233" s="90" t="n"/>
      <c r="D233" s="90" t="n"/>
      <c r="E233" s="13" t="inlineStr">
        <is>
          <t>Công ty TNHH Tổng công ty Công nghệ và Giải pháp CMC</t>
        </is>
      </c>
      <c r="F233" s="14" t="inlineStr">
        <is>
          <t>0101925883</t>
        </is>
      </c>
      <c r="G233" s="72" t="n">
        <v>46327</v>
      </c>
      <c r="H233" s="72" t="n">
        <v>46356</v>
      </c>
      <c r="I233" s="73" t="inlineStr">
        <is>
          <t>Chưa hoàn thành</t>
        </is>
      </c>
      <c r="J233" s="33" t="inlineStr">
        <is>
          <t>link mail bị chặn reCAPTCHA (server kiểm), chờ mail kèm PDF</t>
        </is>
      </c>
    </row>
    <row r="234" ht="15.75" customHeight="1">
      <c r="A234" s="90" t="n"/>
      <c r="B234" s="90" t="n"/>
      <c r="C234" s="90" t="n"/>
      <c r="D234" s="90" t="n"/>
      <c r="E234" s="13" t="inlineStr">
        <is>
          <t>Công ty TNHH Công nghệ và tư vấn Phương Nam</t>
        </is>
      </c>
      <c r="F234" s="14" t="inlineStr">
        <is>
          <t>0316642395</t>
        </is>
      </c>
      <c r="G234" s="72" t="n">
        <v>46318</v>
      </c>
      <c r="H234" s="72" t="n">
        <v>46318</v>
      </c>
      <c r="I234" s="73" t="inlineStr">
        <is>
          <t>Hoàn thành</t>
        </is>
      </c>
      <c r="J234" s="33" t="n"/>
    </row>
    <row r="235" ht="15.75" customHeight="1">
      <c r="A235" s="90" t="n"/>
      <c r="B235" s="90" t="n"/>
      <c r="C235" s="90" t="n"/>
      <c r="D235" s="90" t="n"/>
      <c r="E235" s="13" t="inlineStr">
        <is>
          <t>Công ty TNHH Dịch vụ kế toán - Tư vấn thuế TTL</t>
        </is>
      </c>
      <c r="F235" s="14" t="inlineStr">
        <is>
          <t>0315194912</t>
        </is>
      </c>
      <c r="G235" s="72" t="n">
        <v>46327</v>
      </c>
      <c r="H235" s="72" t="n">
        <v>46356</v>
      </c>
      <c r="I235" s="73" t="inlineStr">
        <is>
          <t>Sẵn sàng</t>
        </is>
      </c>
      <c r="J235" s="33" t="n"/>
    </row>
    <row r="236" ht="15.75" customHeight="1">
      <c r="A236" s="90" t="n"/>
      <c r="B236" s="90" t="n"/>
      <c r="C236" s="90" t="n"/>
      <c r="D236" s="90" t="n"/>
      <c r="E236" s="13" t="inlineStr">
        <is>
          <t>Công ty Cô phần Công nghệ Phát triển hóa đơn điện tử Việt Nam</t>
        </is>
      </c>
      <c r="F236" s="14" t="inlineStr">
        <is>
          <t>0315983667</t>
        </is>
      </c>
      <c r="G236" s="72" t="n">
        <v>46357</v>
      </c>
      <c r="H236" s="72" t="n">
        <v>46387</v>
      </c>
      <c r="I236" s="73" t="inlineStr">
        <is>
          <t>Chưa hoàn thành</t>
        </is>
      </c>
      <c r="J236" s="33" t="inlineStr">
        <is>
          <t>Chưa có thông tin</t>
        </is>
      </c>
    </row>
    <row r="237" ht="15.75" customHeight="1">
      <c r="A237" s="90" t="n"/>
      <c r="B237" s="90" t="n"/>
      <c r="C237" s="90" t="n"/>
      <c r="D237" s="90" t="n"/>
      <c r="E237" s="13" t="inlineStr">
        <is>
          <t>Công ty TNHH Phần mềm kế toán và dịch vụ thủ tục thuế Sài Gòn</t>
        </is>
      </c>
      <c r="F237" s="14" t="inlineStr">
        <is>
          <t>0310926922</t>
        </is>
      </c>
      <c r="G237" s="72" t="n">
        <v>46327</v>
      </c>
      <c r="H237" s="72" t="n">
        <v>46356</v>
      </c>
      <c r="I237" s="73" t="inlineStr">
        <is>
          <t>Sẵn sàng</t>
        </is>
      </c>
      <c r="J237" s="33" t="n"/>
    </row>
    <row r="238" ht="15.75" customHeight="1">
      <c r="A238" s="90" t="n"/>
      <c r="B238" s="90" t="n"/>
      <c r="C238" s="90" t="n"/>
      <c r="D238" s="90" t="n"/>
      <c r="E238" s="13" t="inlineStr">
        <is>
          <t>Công ty Cổ phần Phần mềm Thăng Long</t>
        </is>
      </c>
      <c r="F238" s="14" t="inlineStr">
        <is>
          <t>0101010702</t>
        </is>
      </c>
      <c r="G238" s="72" t="n">
        <v>46357</v>
      </c>
      <c r="H238" s="72" t="n">
        <v>46387</v>
      </c>
      <c r="I238" s="73" t="inlineStr">
        <is>
          <t>Chưa hoàn thành</t>
        </is>
      </c>
      <c r="J238" s="33" t="inlineStr">
        <is>
          <t>Chưa có thông tin</t>
        </is>
      </c>
    </row>
    <row r="239" ht="15.75" customHeight="1">
      <c r="A239" s="90" t="n"/>
      <c r="B239" s="90" t="n"/>
      <c r="C239" s="90" t="n"/>
      <c r="D239" s="90" t="n"/>
      <c r="E239" s="13" t="inlineStr">
        <is>
          <t>Công ty Cổ phần Hóa đơn điện tử TIG Thăng Long</t>
        </is>
      </c>
      <c r="F239" s="14" t="inlineStr">
        <is>
          <t>0102720409</t>
        </is>
      </c>
      <c r="G239" s="72" t="n">
        <v>46357</v>
      </c>
      <c r="H239" s="72" t="n">
        <v>46387</v>
      </c>
      <c r="I239" s="73" t="inlineStr">
        <is>
          <t>Chưa hoàn thành</t>
        </is>
      </c>
      <c r="J239" s="33" t="inlineStr">
        <is>
          <t>Chưa có thông tin</t>
        </is>
      </c>
    </row>
    <row r="240" ht="15.75" customHeight="1">
      <c r="A240" s="90" t="n"/>
      <c r="B240" s="90" t="n"/>
      <c r="C240" s="90" t="n"/>
      <c r="D240" s="90" t="n"/>
      <c r="E240" s="13" t="inlineStr">
        <is>
          <t>Công ty TNHH Viễn thông Đông Sài Gòn</t>
        </is>
      </c>
      <c r="F240" s="14" t="inlineStr">
        <is>
          <t>0314058603</t>
        </is>
      </c>
      <c r="G240" s="72" t="n">
        <v>46357</v>
      </c>
      <c r="H240" s="72" t="n">
        <v>46387</v>
      </c>
      <c r="I240" s="73" t="inlineStr">
        <is>
          <t>Chưa hoàn thành</t>
        </is>
      </c>
      <c r="J240" s="33" t="inlineStr">
        <is>
          <t>Chưa có thông tin</t>
        </is>
      </c>
    </row>
    <row r="241" ht="15.75" customHeight="1">
      <c r="A241" s="90" t="n"/>
      <c r="B241" s="90" t="n"/>
      <c r="C241" s="90" t="n"/>
      <c r="D241" s="90" t="n"/>
      <c r="E241" s="13" t="inlineStr">
        <is>
          <t>Công ty Cổ phần Tin học Lạc Việt</t>
        </is>
      </c>
      <c r="F241" s="14" t="inlineStr">
        <is>
          <t>0301448733</t>
        </is>
      </c>
      <c r="G241" s="72" t="n">
        <v>46327</v>
      </c>
      <c r="H241" s="72" t="n">
        <v>46356</v>
      </c>
      <c r="I241" s="73" t="inlineStr">
        <is>
          <t>Chưa hoàn thành</t>
        </is>
      </c>
      <c r="J241" s="33" t="inlineStr">
        <is>
          <t>Chưa có thông tin</t>
        </is>
      </c>
    </row>
    <row r="242" ht="15.75" customHeight="1">
      <c r="A242" s="90" t="n"/>
      <c r="B242" s="90" t="n"/>
      <c r="C242" s="90" t="n"/>
      <c r="D242" s="90" t="n"/>
      <c r="E242" s="13" t="inlineStr">
        <is>
          <t>Công ty Cổ phần Công nghệ TADU</t>
        </is>
      </c>
      <c r="F242" s="14" t="inlineStr">
        <is>
          <t>0313253288</t>
        </is>
      </c>
      <c r="G242" s="72" t="n">
        <v>46327</v>
      </c>
      <c r="H242" s="72" t="n">
        <v>46356</v>
      </c>
      <c r="I242" s="73" t="inlineStr">
        <is>
          <t>Chưa hoàn thành</t>
        </is>
      </c>
      <c r="J242" s="33" t="inlineStr">
        <is>
          <t>Chưa có thông tin</t>
        </is>
      </c>
    </row>
    <row r="243" ht="15.75" customHeight="1">
      <c r="A243" s="90" t="n"/>
      <c r="B243" s="90" t="n"/>
      <c r="C243" s="90" t="n"/>
      <c r="D243" s="90" t="n"/>
      <c r="E243" s="13" t="inlineStr">
        <is>
          <t>Công ty Cổ phần Công nghệ UNIT</t>
        </is>
      </c>
      <c r="F243" s="14" t="inlineStr">
        <is>
          <t>0309889835</t>
        </is>
      </c>
      <c r="G243" s="72" t="n">
        <v>46357</v>
      </c>
      <c r="H243" s="72" t="n">
        <v>46387</v>
      </c>
      <c r="I243" s="73" t="inlineStr">
        <is>
          <t>Chưa hoàn thành</t>
        </is>
      </c>
      <c r="J243" s="33" t="inlineStr">
        <is>
          <t>Chưa có thông tin</t>
        </is>
      </c>
    </row>
    <row r="244" ht="15.75" customHeight="1">
      <c r="A244" s="90" t="n"/>
      <c r="B244" s="90" t="n"/>
      <c r="C244" s="90" t="n"/>
      <c r="D244" s="90" t="n"/>
      <c r="E244" s="13" t="inlineStr">
        <is>
          <t>Công ty Cổ phần phát triển và ứng dụng phần mềm Bách Khoa</t>
        </is>
      </c>
      <c r="F244" s="14" t="inlineStr">
        <is>
          <t>0202029650</t>
        </is>
      </c>
      <c r="G244" s="72" t="n">
        <v>46327</v>
      </c>
      <c r="H244" s="72" t="n">
        <v>46356</v>
      </c>
      <c r="I244" s="73" t="inlineStr">
        <is>
          <t>Sẵn sàng</t>
        </is>
      </c>
      <c r="J244" s="33" t="n"/>
    </row>
    <row r="245" ht="15.75" customHeight="1">
      <c r="A245" s="90" t="n"/>
      <c r="B245" s="90" t="n"/>
      <c r="C245" s="90" t="n"/>
      <c r="D245" s="90" t="n"/>
      <c r="E245" s="13" t="inlineStr">
        <is>
          <t>Công ty Cổ phần My Software</t>
        </is>
      </c>
      <c r="F245" s="14" t="inlineStr">
        <is>
          <t>0108971656</t>
        </is>
      </c>
      <c r="G245" s="72" t="n">
        <v>46357</v>
      </c>
      <c r="H245" s="72" t="n">
        <v>46387</v>
      </c>
      <c r="I245" s="73" t="inlineStr">
        <is>
          <t>Chưa hoàn thành</t>
        </is>
      </c>
      <c r="J245" s="33" t="inlineStr">
        <is>
          <t>Chưa có thông tin</t>
        </is>
      </c>
    </row>
    <row r="246" ht="15.75" customHeight="1">
      <c r="A246" s="90" t="n"/>
      <c r="B246" s="90" t="n"/>
      <c r="C246" s="90" t="n"/>
      <c r="D246" s="90" t="n"/>
      <c r="E246" s="13" t="inlineStr">
        <is>
          <t>Công ty TNHH Công nghệ HT Sài Gòn</t>
        </is>
      </c>
      <c r="F246" s="14" t="inlineStr">
        <is>
          <t>0312942260</t>
        </is>
      </c>
      <c r="G246" s="72" t="n">
        <v>46327</v>
      </c>
      <c r="H246" s="72" t="n">
        <v>46356</v>
      </c>
      <c r="I246" s="73" t="inlineStr">
        <is>
          <t>Sẵn sàng</t>
        </is>
      </c>
      <c r="J246" s="33" t="n"/>
    </row>
    <row r="247" ht="15.75" customHeight="1">
      <c r="A247" s="90" t="n"/>
      <c r="B247" s="90" t="n"/>
      <c r="C247" s="90" t="n"/>
      <c r="D247" s="90" t="n"/>
      <c r="E247" s="27" t="inlineStr">
        <is>
          <t>Công ty TNHH WEBCASH Việt Nam</t>
        </is>
      </c>
      <c r="F247" s="14" t="inlineStr">
        <is>
          <t>1201496252</t>
        </is>
      </c>
      <c r="G247" s="72" t="n">
        <v>46322</v>
      </c>
      <c r="H247" s="72" t="n">
        <v>46322</v>
      </c>
      <c r="I247" s="73" t="inlineStr">
        <is>
          <t>Hoàn thành</t>
        </is>
      </c>
      <c r="J247" s="33" t="n"/>
    </row>
    <row r="248" ht="15.75" customHeight="1">
      <c r="A248" s="90" t="n"/>
      <c r="B248" s="90" t="n"/>
      <c r="C248" s="90" t="n"/>
      <c r="D248" s="90" t="n"/>
      <c r="E248" s="13" t="inlineStr">
        <is>
          <t>Công ty TNHH Phần mềm và Tư vấn Kim Tự Tháp</t>
        </is>
      </c>
      <c r="F248" s="14" t="inlineStr">
        <is>
          <t>0303549303</t>
        </is>
      </c>
      <c r="G248" s="72" t="n">
        <v>46327</v>
      </c>
      <c r="H248" s="72" t="n">
        <v>46356</v>
      </c>
      <c r="I248" s="73" t="inlineStr">
        <is>
          <t>Sẵn sàng</t>
        </is>
      </c>
      <c r="J248" s="33" t="n"/>
    </row>
    <row r="249" ht="15.75" customHeight="1">
      <c r="A249" s="90" t="n"/>
      <c r="B249" s="90" t="n"/>
      <c r="C249" s="90" t="n"/>
      <c r="D249" s="90" t="n"/>
      <c r="E249" s="13" t="inlineStr">
        <is>
          <t>Công ty TNHH Phần mềm BRB</t>
        </is>
      </c>
      <c r="F249" s="14" t="inlineStr">
        <is>
          <t>0311914694</t>
        </is>
      </c>
      <c r="G249" s="72" t="n">
        <v>46357</v>
      </c>
      <c r="H249" s="72" t="n">
        <v>46387</v>
      </c>
      <c r="I249" s="73" t="inlineStr">
        <is>
          <t>Chưa hoàn thành</t>
        </is>
      </c>
      <c r="J249" s="33" t="inlineStr">
        <is>
          <t>Chưa có thông tin</t>
        </is>
      </c>
    </row>
    <row r="250" ht="15.75" customHeight="1">
      <c r="A250" s="90" t="n"/>
      <c r="B250" s="90" t="n"/>
      <c r="C250" s="90" t="n"/>
      <c r="D250" s="90" t="n"/>
      <c r="E250" s="13" t="inlineStr">
        <is>
          <t>Công ty TNHH Nhóm Mây</t>
        </is>
      </c>
      <c r="F250" s="14" t="inlineStr">
        <is>
          <t>0312617990</t>
        </is>
      </c>
      <c r="G250" s="72" t="n">
        <v>46327</v>
      </c>
      <c r="H250" s="72" t="n">
        <v>46356</v>
      </c>
      <c r="I250" s="73" t="inlineStr">
        <is>
          <t>Sẵn sàng</t>
        </is>
      </c>
      <c r="J250" s="33" t="n"/>
    </row>
    <row r="251" ht="15.75" customHeight="1">
      <c r="A251" s="90" t="n"/>
      <c r="B251" s="90" t="n"/>
      <c r="C251" s="90" t="n"/>
      <c r="D251" s="90" t="n"/>
      <c r="E251" s="13" t="inlineStr">
        <is>
          <t>Công ty Cổ phần Hóa đơn điện tử VININVOICE</t>
        </is>
      </c>
      <c r="F251" s="14" t="inlineStr">
        <is>
          <t>0109282176</t>
        </is>
      </c>
      <c r="G251" s="72" t="n">
        <v>46318</v>
      </c>
      <c r="H251" s="72" t="n">
        <v>46318</v>
      </c>
      <c r="I251" s="73" t="inlineStr">
        <is>
          <t>Hoàn thành</t>
        </is>
      </c>
      <c r="J251" s="33" t="n"/>
    </row>
    <row r="252" ht="15.75" customHeight="1">
      <c r="A252" s="90" t="n"/>
      <c r="B252" s="90" t="n"/>
      <c r="C252" s="90" t="n"/>
      <c r="D252" s="90" t="n"/>
      <c r="E252" s="13" t="inlineStr">
        <is>
          <t>Trung tâm Tin học và Công nghệ số</t>
        </is>
      </c>
      <c r="F252" s="14" t="inlineStr">
        <is>
          <t>0102723181</t>
        </is>
      </c>
      <c r="G252" s="72" t="n">
        <v>46357</v>
      </c>
      <c r="H252" s="72" t="n">
        <v>46387</v>
      </c>
      <c r="I252" s="73" t="inlineStr">
        <is>
          <t>Chưa hoàn thành</t>
        </is>
      </c>
      <c r="J252" s="33" t="inlineStr">
        <is>
          <t>Chưa có thông tin</t>
        </is>
      </c>
    </row>
    <row r="253" ht="15.75" customHeight="1">
      <c r="A253" s="90" t="n"/>
      <c r="B253" s="90" t="n"/>
      <c r="C253" s="90" t="n"/>
      <c r="D253" s="90" t="n"/>
      <c r="E253" s="13" t="inlineStr">
        <is>
          <t>Công ty Cổ phần VETC</t>
        </is>
      </c>
      <c r="F253" s="14" t="inlineStr">
        <is>
          <t>0106858609</t>
        </is>
      </c>
      <c r="G253" s="72" t="n">
        <v>46322</v>
      </c>
      <c r="H253" s="72" t="n">
        <v>46322</v>
      </c>
      <c r="I253" s="73" t="inlineStr">
        <is>
          <t>Hoàn thành</t>
        </is>
      </c>
      <c r="J253" s="33" t="n"/>
    </row>
    <row r="254" ht="15.75" customHeight="1">
      <c r="A254" s="90" t="n"/>
      <c r="B254" s="90" t="n"/>
      <c r="C254" s="90" t="n"/>
      <c r="D254" s="90" t="n"/>
      <c r="E254" s="13" t="inlineStr">
        <is>
          <t>Công ty TNHH Phần mềm PVS</t>
        </is>
      </c>
      <c r="F254" s="14" t="inlineStr">
        <is>
          <t>0315151651</t>
        </is>
      </c>
      <c r="G254" s="72" t="n">
        <v>46357</v>
      </c>
      <c r="H254" s="72" t="n">
        <v>46387</v>
      </c>
      <c r="I254" s="73" t="inlineStr">
        <is>
          <t>Chưa hoàn thành</t>
        </is>
      </c>
      <c r="J254" s="33" t="inlineStr">
        <is>
          <t>Chưa có thông tin</t>
        </is>
      </c>
    </row>
    <row r="255" ht="15.75" customHeight="1">
      <c r="A255" s="90" t="n"/>
      <c r="B255" s="90" t="n"/>
      <c r="C255" s="90" t="n"/>
      <c r="D255" s="90" t="n"/>
      <c r="E255" s="13" t="inlineStr">
        <is>
          <t>Công ty Cổ phần Dịch vụ Thương mại Việt Nam trực tuyến</t>
        </is>
      </c>
      <c r="F255" s="14" t="inlineStr">
        <is>
          <t>0310151739</t>
        </is>
      </c>
      <c r="G255" s="72" t="n">
        <v>46357</v>
      </c>
      <c r="H255" s="72" t="n">
        <v>46387</v>
      </c>
      <c r="I255" s="73" t="inlineStr">
        <is>
          <t>Chưa hoàn thành</t>
        </is>
      </c>
      <c r="J255" s="33" t="inlineStr">
        <is>
          <t>Chưa có thông tin</t>
        </is>
      </c>
    </row>
    <row r="256" ht="15.75" customHeight="1">
      <c r="A256" s="90" t="n"/>
      <c r="B256" s="90" t="n"/>
      <c r="C256" s="90" t="n"/>
      <c r="D256" s="90" t="n"/>
      <c r="E256" s="13" t="inlineStr">
        <is>
          <t>Công ty TNHH Ecount Việt Nam</t>
        </is>
      </c>
      <c r="F256" s="14" t="inlineStr">
        <is>
          <t>0312575123</t>
        </is>
      </c>
      <c r="G256" s="72" t="n">
        <v>46357</v>
      </c>
      <c r="H256" s="72" t="n">
        <v>46387</v>
      </c>
      <c r="I256" s="73" t="inlineStr">
        <is>
          <t>Chưa hoàn thành</t>
        </is>
      </c>
      <c r="J256" s="33" t="inlineStr">
        <is>
          <t>Chưa có thông tin</t>
        </is>
      </c>
    </row>
    <row r="257" ht="15.75" customHeight="1">
      <c r="A257" s="90" t="n"/>
      <c r="B257" s="90" t="n"/>
      <c r="C257" s="90" t="n"/>
      <c r="D257" s="90" t="n"/>
      <c r="E257" s="13" t="inlineStr">
        <is>
          <t>Công ty Cổ phần ATIS</t>
        </is>
      </c>
      <c r="F257" s="14" t="inlineStr">
        <is>
          <t>0107732197</t>
        </is>
      </c>
      <c r="G257" s="72" t="n">
        <v>46327</v>
      </c>
      <c r="H257" s="72" t="n">
        <v>46356</v>
      </c>
      <c r="I257" s="73" t="inlineStr">
        <is>
          <t>Sẵn sàng</t>
        </is>
      </c>
      <c r="J257" s="33" t="n"/>
    </row>
    <row r="258" ht="15.75" customHeight="1">
      <c r="A258" s="90" t="n"/>
      <c r="B258" s="90" t="n"/>
      <c r="C258" s="90" t="n"/>
      <c r="D258" s="90" t="n"/>
      <c r="E258" s="28" t="inlineStr">
        <is>
          <t>Công ty Cổ phần GMO-Z.com RUNSYSTEM</t>
        </is>
      </c>
      <c r="F258" s="14" t="inlineStr">
        <is>
          <t>0101659906</t>
        </is>
      </c>
      <c r="G258" s="72" t="n">
        <v>46357</v>
      </c>
      <c r="H258" s="72" t="n">
        <v>46387</v>
      </c>
      <c r="I258" s="73" t="inlineStr">
        <is>
          <t>Chưa hoàn thành</t>
        </is>
      </c>
      <c r="J258" s="33" t="inlineStr">
        <is>
          <t>Chưa có thông tin</t>
        </is>
      </c>
    </row>
    <row r="259" ht="15.75" customHeight="1">
      <c r="A259" s="90" t="n"/>
      <c r="B259" s="90" t="n"/>
      <c r="C259" s="90" t="n"/>
      <c r="D259" s="90" t="n"/>
      <c r="E259" s="13" t="inlineStr">
        <is>
          <t>Công ty Cổ phần Tin học - Viễn thông Hàng không</t>
        </is>
      </c>
      <c r="F259" s="14" t="inlineStr">
        <is>
          <t>0103019524</t>
        </is>
      </c>
      <c r="G259" s="72" t="n">
        <v>46327</v>
      </c>
      <c r="H259" s="72" t="n">
        <v>46356</v>
      </c>
      <c r="I259" s="73" t="inlineStr">
        <is>
          <t>Sẵn sàng</t>
        </is>
      </c>
      <c r="J259" s="33" t="n"/>
    </row>
    <row r="260" ht="15.75" customHeight="1">
      <c r="A260" s="90" t="n"/>
      <c r="B260" s="90" t="n"/>
      <c r="C260" s="90" t="n"/>
      <c r="D260" s="90" t="n"/>
      <c r="E260" s="13" t="inlineStr">
        <is>
          <t>Công ty TNHH Bizzi VietNam</t>
        </is>
      </c>
      <c r="F260" s="14" t="inlineStr">
        <is>
          <t>0316114998</t>
        </is>
      </c>
      <c r="G260" s="72" t="n">
        <v>46357</v>
      </c>
      <c r="H260" s="72" t="n">
        <v>46387</v>
      </c>
      <c r="I260" s="73" t="inlineStr">
        <is>
          <t>Chưa hoàn thành</t>
        </is>
      </c>
      <c r="J260" s="33" t="inlineStr">
        <is>
          <t>Chưa có thông tin</t>
        </is>
      </c>
    </row>
    <row r="261" ht="15.75" customHeight="1">
      <c r="A261" s="90" t="n"/>
      <c r="B261" s="90" t="n"/>
      <c r="C261" s="90" t="n"/>
      <c r="D261" s="90" t="n"/>
      <c r="E261" s="13" t="inlineStr">
        <is>
          <t>Công ty Cổ phần Công nghệ BEE</t>
        </is>
      </c>
      <c r="F261" s="14" t="inlineStr">
        <is>
          <t>0316636497</t>
        </is>
      </c>
      <c r="G261" s="72" t="n">
        <v>46357</v>
      </c>
      <c r="H261" s="72" t="n">
        <v>46387</v>
      </c>
      <c r="I261" s="73" t="inlineStr">
        <is>
          <t>Chưa hoàn thành</t>
        </is>
      </c>
      <c r="J261" s="33" t="inlineStr">
        <is>
          <t>Chưa có thông tin</t>
        </is>
      </c>
    </row>
    <row r="262" ht="15.75" customHeight="1">
      <c r="A262" s="90" t="n"/>
      <c r="B262" s="90" t="n"/>
      <c r="C262" s="90" t="n"/>
      <c r="D262" s="90" t="n"/>
      <c r="E262" s="13" t="inlineStr">
        <is>
          <t>Công ty Cổ phần MONT-E</t>
        </is>
      </c>
      <c r="F262" s="14" t="inlineStr">
        <is>
          <t>0106249501</t>
        </is>
      </c>
      <c r="G262" s="72" t="n">
        <v>46357</v>
      </c>
      <c r="H262" s="72" t="n">
        <v>46387</v>
      </c>
      <c r="I262" s="73" t="inlineStr">
        <is>
          <t>Chưa hoàn thành</t>
        </is>
      </c>
      <c r="J262" s="33" t="inlineStr">
        <is>
          <t>Chưa có thông tin</t>
        </is>
      </c>
    </row>
    <row r="263" ht="15.75" customHeight="1">
      <c r="A263" s="90" t="n"/>
      <c r="B263" s="90" t="n"/>
      <c r="C263" s="90" t="n"/>
      <c r="D263" s="90" t="n"/>
      <c r="E263" s="13" t="inlineStr">
        <is>
          <t>Công ty TNHH Tư vấn và Dịch vụ Home Casta</t>
        </is>
      </c>
      <c r="F263" s="14" t="inlineStr">
        <is>
          <t>0201802839</t>
        </is>
      </c>
      <c r="G263" s="72" t="n">
        <v>46327</v>
      </c>
      <c r="H263" s="72" t="n">
        <v>46356</v>
      </c>
      <c r="I263" s="73" t="inlineStr">
        <is>
          <t>Sẵn sàng</t>
        </is>
      </c>
      <c r="J263" s="33" t="n"/>
    </row>
    <row r="264" ht="15.75" customHeight="1">
      <c r="A264" s="90" t="n"/>
      <c r="B264" s="90" t="n"/>
      <c r="C264" s="90" t="n"/>
      <c r="D264" s="90" t="n"/>
      <c r="E264" s="28" t="inlineStr">
        <is>
          <t>Công ty CP Tư vấn và Chuyển giao công nghệ Sơn Phát</t>
        </is>
      </c>
      <c r="F264" s="14" t="inlineStr">
        <is>
          <t>4601328480</t>
        </is>
      </c>
      <c r="G264" s="72" t="n">
        <v>46327</v>
      </c>
      <c r="H264" s="72" t="n">
        <v>46356</v>
      </c>
      <c r="I264" s="73" t="inlineStr">
        <is>
          <t>Sẵn sàng</t>
        </is>
      </c>
      <c r="J264" s="33" t="n"/>
    </row>
    <row r="265" ht="15.75" customHeight="1">
      <c r="A265" s="90" t="n"/>
      <c r="B265" s="90" t="n"/>
      <c r="C265" s="90" t="n"/>
      <c r="D265" s="90" t="n"/>
      <c r="E265" s="70" t="inlineStr">
        <is>
          <t>Công ty Cổ phần công nghệ KIOTVIET</t>
        </is>
      </c>
      <c r="F265" s="14" t="inlineStr">
        <is>
          <t>0104359717</t>
        </is>
      </c>
      <c r="G265" s="72" t="n">
        <v>46322</v>
      </c>
      <c r="H265" s="72" t="n">
        <v>46322</v>
      </c>
      <c r="I265" s="73" t="inlineStr">
        <is>
          <t>Hoàn thành</t>
        </is>
      </c>
      <c r="J265" s="33" t="n"/>
    </row>
    <row r="266" ht="15.75" customHeight="1">
      <c r="A266" s="90" t="n"/>
      <c r="B266" s="90" t="n"/>
      <c r="C266" s="90" t="n"/>
      <c r="D266" s="90" t="n"/>
      <c r="E266" s="70" t="inlineStr">
        <is>
          <t>Công ty Cổ phần công nghệ HARAVAN</t>
        </is>
      </c>
      <c r="F266" s="14" t="inlineStr">
        <is>
          <t>0312662961</t>
        </is>
      </c>
      <c r="G266" s="72" t="n">
        <v>46357</v>
      </c>
      <c r="H266" s="72" t="n">
        <v>46387</v>
      </c>
      <c r="I266" s="73" t="inlineStr">
        <is>
          <t>Chưa hoàn thành</t>
        </is>
      </c>
      <c r="J266" s="33" t="inlineStr">
        <is>
          <t>Chưa có thông tin</t>
        </is>
      </c>
    </row>
    <row r="267" ht="15.75" customHeight="1">
      <c r="A267" s="90" t="n"/>
      <c r="B267" s="90" t="n"/>
      <c r="C267" s="90" t="n"/>
      <c r="D267" s="90" t="n"/>
      <c r="E267" s="70" t="inlineStr">
        <is>
          <t>Công ty Cổ phần IPOS.VN</t>
        </is>
      </c>
      <c r="F267" s="14" t="inlineStr">
        <is>
          <t>0104789847</t>
        </is>
      </c>
      <c r="G267" s="15" t="n">
        <v>46315</v>
      </c>
      <c r="H267" s="15" t="n">
        <v>46317</v>
      </c>
      <c r="I267" s="16" t="inlineStr">
        <is>
          <t>Hoàn thành</t>
        </is>
      </c>
      <c r="J267" s="33" t="n"/>
    </row>
    <row r="268" ht="15.75" customHeight="1">
      <c r="A268" s="90" t="n"/>
      <c r="B268" s="90" t="n"/>
      <c r="C268" s="90" t="n"/>
      <c r="D268" s="90" t="n"/>
      <c r="E268" s="70" t="inlineStr">
        <is>
          <t>Công ty Cổ phần Dịch vụ Chữ ký số INTRUST</t>
        </is>
      </c>
      <c r="F268" s="14" t="inlineStr">
        <is>
          <t>0110333410</t>
        </is>
      </c>
      <c r="G268" s="72" t="n">
        <v>46327</v>
      </c>
      <c r="H268" s="72" t="n">
        <v>46356</v>
      </c>
      <c r="I268" s="73" t="inlineStr">
        <is>
          <t>Sẵn sàng</t>
        </is>
      </c>
      <c r="J268" s="33" t="n"/>
    </row>
    <row r="269" ht="15.75" customHeight="1">
      <c r="A269" s="90" t="n"/>
      <c r="B269" s="90" t="n"/>
      <c r="C269" s="90" t="n"/>
      <c r="D269" s="90" t="n"/>
      <c r="E269" s="70" t="inlineStr">
        <is>
          <t>Công ty Cổ phần SCHOOL TECH</t>
        </is>
      </c>
      <c r="F269" s="14" t="inlineStr">
        <is>
          <t>0317509886</t>
        </is>
      </c>
      <c r="G269" s="72" t="n">
        <v>46327</v>
      </c>
      <c r="H269" s="72" t="n">
        <v>46356</v>
      </c>
      <c r="I269" s="73" t="inlineStr">
        <is>
          <t>Sẵn sàng</t>
        </is>
      </c>
      <c r="J269" s="33" t="n"/>
    </row>
    <row r="270" ht="15.75" customHeight="1">
      <c r="A270" s="90" t="n"/>
      <c r="B270" s="90" t="n"/>
      <c r="C270" s="90" t="n"/>
      <c r="D270" s="90" t="n"/>
      <c r="E270" s="71" t="inlineStr">
        <is>
          <t>Công ty Cổ phần Công nghệ Sapo</t>
        </is>
      </c>
      <c r="F270" s="14" t="inlineStr">
        <is>
          <t>0103243195</t>
        </is>
      </c>
      <c r="G270" s="72" t="n">
        <v>46327</v>
      </c>
      <c r="H270" s="72" t="n">
        <v>46356</v>
      </c>
      <c r="I270" s="73" t="inlineStr">
        <is>
          <t>Sẵn sàng</t>
        </is>
      </c>
      <c r="J270" s="33" t="n"/>
    </row>
    <row r="271" ht="15.75" customHeight="1">
      <c r="A271" s="90" t="n"/>
      <c r="B271" s="90" t="n"/>
      <c r="C271" s="90" t="n"/>
      <c r="D271" s="90" t="n"/>
      <c r="E271" s="13" t="inlineStr">
        <is>
          <t>Công ty TNHH Pancake Việt Nam</t>
        </is>
      </c>
      <c r="F271" s="14" t="inlineStr">
        <is>
          <t>0109039397</t>
        </is>
      </c>
      <c r="G271" s="72" t="n">
        <v>46357</v>
      </c>
      <c r="H271" s="72" t="n">
        <v>46387</v>
      </c>
      <c r="I271" s="73" t="inlineStr">
        <is>
          <t>Chưa hoàn thành</t>
        </is>
      </c>
      <c r="J271" s="33" t="inlineStr">
        <is>
          <t>Chưa có thông tin</t>
        </is>
      </c>
    </row>
    <row r="272" ht="15.75" customHeight="1">
      <c r="A272" s="90" t="n"/>
      <c r="B272" s="90" t="n"/>
      <c r="C272" s="90" t="n"/>
      <c r="D272" s="90" t="n"/>
      <c r="E272" s="28" t="inlineStr">
        <is>
          <t>Công ty Cổ phần Technology Convergence Corporation</t>
        </is>
      </c>
      <c r="F272" s="14" t="inlineStr">
        <is>
          <t>0109045760</t>
        </is>
      </c>
      <c r="G272" s="72" t="n">
        <v>46357</v>
      </c>
      <c r="H272" s="72" t="n">
        <v>46387</v>
      </c>
      <c r="I272" s="73" t="inlineStr">
        <is>
          <t>Chưa hoàn thành</t>
        </is>
      </c>
      <c r="J272" s="33" t="inlineStr">
        <is>
          <t>Chưa có thông tin</t>
        </is>
      </c>
    </row>
    <row r="273" ht="15.75" customHeight="1">
      <c r="A273" s="90" t="n"/>
      <c r="B273" s="90" t="n"/>
      <c r="C273" s="90" t="n"/>
      <c r="D273" s="90" t="n"/>
      <c r="E273" s="28" t="inlineStr">
        <is>
          <t>Công ty Cổ phần Giải pháp số IGAS</t>
        </is>
      </c>
      <c r="F273" s="14" t="inlineStr">
        <is>
          <t>0111090707</t>
        </is>
      </c>
      <c r="G273" s="72" t="n">
        <v>46327</v>
      </c>
      <c r="H273" s="72" t="n">
        <v>46356</v>
      </c>
      <c r="I273" s="73" t="inlineStr">
        <is>
          <t>Sẵn sàng</t>
        </is>
      </c>
      <c r="J273" s="33" t="n"/>
    </row>
    <row r="274" ht="15.75" customHeight="1">
      <c r="A274" s="90" t="n"/>
      <c r="B274" s="90" t="n"/>
      <c r="C274" s="90" t="n"/>
      <c r="D274" s="90" t="n"/>
      <c r="E274" s="71" t="inlineStr">
        <is>
          <t>Công ty TNHH OG Technologies</t>
        </is>
      </c>
      <c r="F274" s="14" t="inlineStr">
        <is>
          <t>0109996406</t>
        </is>
      </c>
      <c r="G274" s="72" t="n">
        <v>46357</v>
      </c>
      <c r="H274" s="72" t="n">
        <v>46387</v>
      </c>
      <c r="I274" s="73" t="inlineStr">
        <is>
          <t>Chưa hoàn thành</t>
        </is>
      </c>
      <c r="J274" s="33" t="inlineStr">
        <is>
          <t>Chưa có thông tin</t>
        </is>
      </c>
    </row>
    <row r="275" ht="15.75" customHeight="1">
      <c r="A275" s="90" t="n"/>
      <c r="B275" s="90" t="n"/>
      <c r="C275" s="90" t="n"/>
      <c r="D275" s="90" t="n"/>
      <c r="E275" s="71" t="inlineStr">
        <is>
          <t>Công ty Cổ phần giải pháp doanh nghiệp TTC</t>
        </is>
      </c>
      <c r="F275" s="14" t="inlineStr">
        <is>
          <t>0318511655</t>
        </is>
      </c>
      <c r="G275" s="72" t="n">
        <v>46327</v>
      </c>
      <c r="H275" s="72" t="n">
        <v>46356</v>
      </c>
      <c r="I275" s="73" t="inlineStr">
        <is>
          <t>Sẵn sàng</t>
        </is>
      </c>
      <c r="J275" s="33" t="n"/>
    </row>
    <row r="276" ht="15.75" customHeight="1">
      <c r="A276" s="90" t="n"/>
      <c r="B276" s="90" t="n"/>
      <c r="C276" s="90" t="n"/>
      <c r="D276" s="90" t="n"/>
      <c r="E276" s="71" t="inlineStr">
        <is>
          <t>Công ty Cổ phần phần mềm IAM Việt Nam</t>
        </is>
      </c>
      <c r="F276" s="14" t="inlineStr">
        <is>
          <t>0109193102</t>
        </is>
      </c>
      <c r="G276" s="72" t="n">
        <v>46327</v>
      </c>
      <c r="H276" s="72" t="n">
        <v>46356</v>
      </c>
      <c r="I276" s="73" t="inlineStr">
        <is>
          <t>Sẵn sàng</t>
        </is>
      </c>
      <c r="J276" s="33" t="n"/>
    </row>
    <row r="277" ht="15.75" customHeight="1">
      <c r="A277" s="90" t="n"/>
      <c r="B277" s="90" t="n"/>
      <c r="C277" s="90" t="n"/>
      <c r="D277" s="90" t="n"/>
      <c r="E277" s="71" t="inlineStr">
        <is>
          <t>Công ty Cổ phần Công nghệ thông minh SFIN</t>
        </is>
      </c>
      <c r="F277" s="14" t="inlineStr">
        <is>
          <t>0109959309</t>
        </is>
      </c>
      <c r="G277" s="72" t="n">
        <v>46357</v>
      </c>
      <c r="H277" s="72" t="n">
        <v>46387</v>
      </c>
      <c r="I277" s="73" t="inlineStr">
        <is>
          <t>Chưa hoàn thành</t>
        </is>
      </c>
      <c r="J277" s="33" t="inlineStr">
        <is>
          <t>Chưa có thông tin</t>
        </is>
      </c>
    </row>
    <row r="278" ht="15.75" customHeight="1">
      <c r="A278" s="90" t="n"/>
      <c r="B278" s="90" t="n"/>
      <c r="C278" s="90" t="n"/>
      <c r="D278" s="90" t="n"/>
      <c r="E278" s="28" t="inlineStr">
        <is>
          <t>Công ty TNHH Truyền hình cáp SaigonTourist</t>
        </is>
      </c>
      <c r="F278" s="14" t="inlineStr">
        <is>
          <t>0301463315</t>
        </is>
      </c>
      <c r="G278" s="72" t="n">
        <v>46327</v>
      </c>
      <c r="H278" s="72" t="n">
        <v>46356</v>
      </c>
      <c r="I278" s="73" t="inlineStr">
        <is>
          <t>Sẵn sàng</t>
        </is>
      </c>
      <c r="J278" s="33" t="n"/>
    </row>
    <row r="279" ht="15.75" customHeight="1">
      <c r="A279" s="90" t="n"/>
      <c r="B279" s="90" t="n"/>
      <c r="C279" s="90" t="n"/>
      <c r="D279" s="90" t="n"/>
      <c r="E279" s="28" t="inlineStr">
        <is>
          <t>Công ty Cổ phần Dịch vụ Di động Trực tuyến</t>
        </is>
      </c>
      <c r="F279" s="14" t="inlineStr">
        <is>
          <t>0305289153</t>
        </is>
      </c>
      <c r="G279" s="72" t="n">
        <v>46327</v>
      </c>
      <c r="H279" s="72" t="n">
        <v>46356</v>
      </c>
      <c r="I279" s="73" t="inlineStr">
        <is>
          <t>Sẵn sàng</t>
        </is>
      </c>
      <c r="J279" s="33" t="n"/>
    </row>
    <row r="280" ht="15.75" customHeight="1">
      <c r="A280" s="90" t="n"/>
      <c r="B280" s="90" t="n"/>
      <c r="C280" s="90" t="n"/>
      <c r="D280" s="90" t="n"/>
      <c r="E280" s="28" t="inlineStr">
        <is>
          <t>Công ty Cổ phần Công nghệ Go Việt Nam</t>
        </is>
      </c>
      <c r="F280" s="14" t="inlineStr">
        <is>
          <t>0111245245</t>
        </is>
      </c>
      <c r="G280" s="72" t="n">
        <v>46327</v>
      </c>
      <c r="H280" s="72" t="n">
        <v>46356</v>
      </c>
      <c r="I280" s="73" t="inlineStr">
        <is>
          <t>Sẵn sàng</t>
        </is>
      </c>
      <c r="J280" s="33" t="n"/>
    </row>
    <row r="281" ht="15.75" customHeight="1">
      <c r="A281" s="90" t="n"/>
      <c r="B281" s="90" t="n"/>
      <c r="C281" s="90" t="n"/>
      <c r="D281" s="90" t="n"/>
      <c r="E281" s="28" t="inlineStr">
        <is>
          <t>Công ty TNHH Công nghệ và Dịch vụ thuế TAXNET</t>
        </is>
      </c>
      <c r="F281" s="14" t="inlineStr">
        <is>
          <t>0110784036</t>
        </is>
      </c>
      <c r="G281" s="72" t="n">
        <v>46357</v>
      </c>
      <c r="H281" s="72" t="n">
        <v>46387</v>
      </c>
      <c r="I281" s="73" t="inlineStr">
        <is>
          <t>Chưa hoàn thành</t>
        </is>
      </c>
      <c r="J281" s="33" t="inlineStr">
        <is>
          <t>Chưa có thông tin</t>
        </is>
      </c>
    </row>
    <row r="282" ht="15.75" customHeight="1">
      <c r="A282" s="90" t="n"/>
      <c r="B282" s="90" t="n"/>
      <c r="C282" s="90" t="n"/>
      <c r="D282" s="90" t="n"/>
      <c r="E282" s="28" t="inlineStr">
        <is>
          <t>Công ty Cổ phần Công nghệ AIBAT</t>
        </is>
      </c>
      <c r="F282" s="14" t="inlineStr">
        <is>
          <t>0110585520</t>
        </is>
      </c>
      <c r="G282" s="72" t="n">
        <v>46357</v>
      </c>
      <c r="H282" s="72" t="n">
        <v>46387</v>
      </c>
      <c r="I282" s="73" t="inlineStr">
        <is>
          <t>Chưa hoàn thành</t>
        </is>
      </c>
      <c r="J282" s="33" t="inlineStr">
        <is>
          <t>Chưa có thông tin</t>
        </is>
      </c>
    </row>
    <row r="283" ht="15.75" customHeight="1">
      <c r="A283" s="90" t="n"/>
      <c r="B283" s="90" t="n"/>
      <c r="C283" s="90" t="n"/>
      <c r="D283" s="90" t="n"/>
      <c r="E283" s="28" t="inlineStr">
        <is>
          <t>Công ty Cổ phần Nhanh.VN</t>
        </is>
      </c>
      <c r="F283" s="14" t="inlineStr">
        <is>
          <t>0108824877</t>
        </is>
      </c>
      <c r="G283" s="72" t="n">
        <v>46357</v>
      </c>
      <c r="H283" s="72" t="n">
        <v>46387</v>
      </c>
      <c r="I283" s="73" t="inlineStr">
        <is>
          <t>Chưa hoàn thành</t>
        </is>
      </c>
      <c r="J283" s="33" t="inlineStr">
        <is>
          <t>Chưa có thông tin</t>
        </is>
      </c>
    </row>
    <row r="284" ht="15.75" customHeight="1">
      <c r="A284" s="90" t="n"/>
      <c r="B284" s="90" t="n"/>
      <c r="C284" s="90" t="n"/>
      <c r="D284" s="90" t="n"/>
      <c r="E284" s="28" t="inlineStr">
        <is>
          <t>Công ty Cổ phần Công nghệ NCCA</t>
        </is>
      </c>
      <c r="F284" s="14" t="inlineStr">
        <is>
          <t>0106166781</t>
        </is>
      </c>
      <c r="G284" s="72" t="n">
        <v>46357</v>
      </c>
      <c r="H284" s="72" t="n">
        <v>46387</v>
      </c>
      <c r="I284" s="73" t="inlineStr">
        <is>
          <t>Chưa hoàn thành</t>
        </is>
      </c>
      <c r="J284" s="33" t="inlineStr">
        <is>
          <t>Chưa có thông tin</t>
        </is>
      </c>
    </row>
    <row r="285" ht="15.75" customHeight="1">
      <c r="A285" s="90" t="n"/>
      <c r="B285" s="90" t="n"/>
      <c r="C285" s="90" t="n"/>
      <c r="D285" s="90" t="n"/>
      <c r="E285" s="28" t="inlineStr">
        <is>
          <t>Công ty Cổ phần Ứng dụng Công nghệ Vũ Hải</t>
        </is>
      </c>
      <c r="F285" s="14" t="inlineStr">
        <is>
          <t>0108190282</t>
        </is>
      </c>
      <c r="G285" s="72" t="n">
        <v>46357</v>
      </c>
      <c r="H285" s="72" t="n">
        <v>46387</v>
      </c>
      <c r="I285" s="73" t="inlineStr">
        <is>
          <t>Chưa hoàn thành</t>
        </is>
      </c>
      <c r="J285" s="33" t="inlineStr">
        <is>
          <t>Chưa có thông tin</t>
        </is>
      </c>
    </row>
    <row r="286" ht="15.75" customHeight="1">
      <c r="A286" s="90" t="n"/>
      <c r="B286" s="90" t="n"/>
      <c r="C286" s="90" t="n"/>
      <c r="D286" s="90" t="n"/>
      <c r="E286" s="28" t="inlineStr">
        <is>
          <t>Công ty Cổ phần Công nghệ Trường Minh Thịnh</t>
        </is>
      </c>
      <c r="F286" s="14" t="inlineStr">
        <is>
          <t>0311174986</t>
        </is>
      </c>
      <c r="G286" s="72" t="n">
        <v>46327</v>
      </c>
      <c r="H286" s="72" t="n">
        <v>46356</v>
      </c>
      <c r="I286" s="73" t="inlineStr">
        <is>
          <t>Sẵn sàng</t>
        </is>
      </c>
      <c r="J286" s="33" t="n"/>
    </row>
    <row r="287" ht="15.75" customHeight="1">
      <c r="A287" s="90" t="n"/>
      <c r="B287" s="90" t="n"/>
      <c r="C287" s="90" t="n"/>
      <c r="D287" s="90" t="n"/>
      <c r="E287" s="28" t="inlineStr">
        <is>
          <t>Công ty TNHH Casso</t>
        </is>
      </c>
      <c r="F287" s="14" t="inlineStr">
        <is>
          <t>0316794479</t>
        </is>
      </c>
      <c r="G287" s="72" t="n">
        <v>46357</v>
      </c>
      <c r="H287" s="72" t="n">
        <v>46387</v>
      </c>
      <c r="I287" s="73" t="inlineStr">
        <is>
          <t>Chưa hoàn thành</t>
        </is>
      </c>
      <c r="J287" s="33" t="inlineStr">
        <is>
          <t>Chưa có thông tin</t>
        </is>
      </c>
    </row>
    <row r="288" ht="15.75" customHeight="1">
      <c r="A288" s="90" t="n"/>
      <c r="B288" s="90" t="n"/>
      <c r="C288" s="90" t="n"/>
      <c r="D288" s="90" t="n"/>
      <c r="E288" s="28" t="inlineStr">
        <is>
          <t>Công ty Cổ phần Dịch vụ EPAY</t>
        </is>
      </c>
      <c r="F288" s="14" t="inlineStr">
        <is>
          <t>0108269133</t>
        </is>
      </c>
      <c r="G288" s="72" t="n">
        <v>46327</v>
      </c>
      <c r="H288" s="72" t="n">
        <v>46356</v>
      </c>
      <c r="I288" s="73" t="inlineStr">
        <is>
          <t>Sẵn sàng</t>
        </is>
      </c>
      <c r="J288" s="33" t="n"/>
    </row>
    <row r="289" ht="15.75" customHeight="1">
      <c r="A289" s="90" t="n"/>
      <c r="B289" s="90" t="n"/>
      <c r="C289" s="90" t="n"/>
      <c r="D289" s="90" t="n"/>
      <c r="E289" s="28" t="inlineStr">
        <is>
          <t>Công ty Cổ phần Giải pháp ATOM</t>
        </is>
      </c>
      <c r="F289" s="14" t="inlineStr">
        <is>
          <t>0316887099</t>
        </is>
      </c>
      <c r="G289" s="72" t="n">
        <v>46327</v>
      </c>
      <c r="H289" s="72" t="n">
        <v>46356</v>
      </c>
      <c r="I289" s="73" t="inlineStr">
        <is>
          <t>Sẵn sàng</t>
        </is>
      </c>
      <c r="J289" s="33" t="n"/>
    </row>
    <row r="290" ht="15.75" customHeight="1">
      <c r="A290" s="90" t="n"/>
      <c r="B290" s="90" t="n"/>
      <c r="C290" s="90" t="n"/>
      <c r="D290" s="90" t="n"/>
      <c r="E290" s="28" t="inlineStr">
        <is>
          <t>Công ty TNHH Dịch vụ và Giải pháp Phần mềm Bado</t>
        </is>
      </c>
      <c r="F290" s="14" t="inlineStr">
        <is>
          <t>1602159776</t>
        </is>
      </c>
      <c r="G290" s="72" t="n">
        <v>46357</v>
      </c>
      <c r="H290" s="72" t="n">
        <v>46387</v>
      </c>
      <c r="I290" s="73" t="inlineStr">
        <is>
          <t>Chưa hoàn thành</t>
        </is>
      </c>
      <c r="J290" s="33" t="inlineStr">
        <is>
          <t>Chưa có thông tin</t>
        </is>
      </c>
    </row>
    <row r="291" ht="15.75" customHeight="1">
      <c r="A291" s="90" t="n"/>
      <c r="B291" s="90" t="n"/>
      <c r="C291" s="90" t="n"/>
      <c r="D291" s="90" t="n"/>
      <c r="E291" s="28" t="inlineStr">
        <is>
          <t>Tổng Công ty Bưu điện Việt Nam</t>
        </is>
      </c>
      <c r="F291" s="14" t="inlineStr">
        <is>
          <t>0102595740</t>
        </is>
      </c>
      <c r="G291" s="72" t="n">
        <v>46327</v>
      </c>
      <c r="H291" s="72" t="n">
        <v>46356</v>
      </c>
      <c r="I291" s="73" t="inlineStr">
        <is>
          <t>Sẵn sàng</t>
        </is>
      </c>
      <c r="J291" s="33" t="n"/>
    </row>
    <row r="292" ht="15.75" customHeight="1">
      <c r="A292" s="90" t="n"/>
      <c r="B292" s="90" t="n"/>
      <c r="C292" s="90" t="n"/>
      <c r="D292" s="90" t="n"/>
      <c r="E292" s="28" t="inlineStr">
        <is>
          <t>Công ty CP Giải pháp số ONTIK</t>
        </is>
      </c>
      <c r="F292" s="14" t="inlineStr">
        <is>
          <t>0110400071</t>
        </is>
      </c>
      <c r="G292" s="72" t="n">
        <v>46357</v>
      </c>
      <c r="H292" s="72" t="n">
        <v>46387</v>
      </c>
      <c r="I292" s="73" t="inlineStr">
        <is>
          <t>Chưa hoàn thành</t>
        </is>
      </c>
      <c r="J292" s="33" t="inlineStr">
        <is>
          <t>Chưa có thông tin</t>
        </is>
      </c>
    </row>
    <row r="293" ht="15.75" customHeight="1">
      <c r="A293" s="90" t="n"/>
      <c r="B293" s="90" t="n"/>
      <c r="C293" s="90" t="n"/>
      <c r="D293" s="90" t="n"/>
      <c r="E293" s="28" t="inlineStr">
        <is>
          <t>Công ty CP Công nghệ và dịch vụ MOBILE-ID</t>
        </is>
      </c>
      <c r="F293" s="14" t="inlineStr">
        <is>
          <t>0313994173</t>
        </is>
      </c>
      <c r="G293" s="72" t="n">
        <v>46357</v>
      </c>
      <c r="H293" s="72" t="n">
        <v>46387</v>
      </c>
      <c r="I293" s="73" t="inlineStr">
        <is>
          <t>Chưa hoàn thành</t>
        </is>
      </c>
      <c r="J293" s="33" t="inlineStr">
        <is>
          <t>Chưa có thông tin</t>
        </is>
      </c>
    </row>
    <row r="294" ht="15.75" customHeight="1">
      <c r="A294" s="90" t="n"/>
      <c r="B294" s="90" t="n"/>
      <c r="C294" s="90" t="n"/>
      <c r="D294" s="90" t="n"/>
      <c r="E294" s="28" t="inlineStr">
        <is>
          <t>Công ty Cổ phần Sun-Invoice Việt Nam</t>
        </is>
      </c>
      <c r="F294" s="14" t="inlineStr">
        <is>
          <t>0111488368</t>
        </is>
      </c>
      <c r="G294" s="72" t="n">
        <v>46327</v>
      </c>
      <c r="H294" s="72" t="n">
        <v>46356</v>
      </c>
      <c r="I294" s="73" t="inlineStr">
        <is>
          <t>Sẵn sàng</t>
        </is>
      </c>
      <c r="J294" s="33" t="n"/>
    </row>
    <row r="295" ht="15.75" customHeight="1">
      <c r="A295" s="90" t="n"/>
      <c r="B295" s="90" t="n"/>
      <c r="C295" s="90" t="n"/>
      <c r="D295" s="90" t="n"/>
      <c r="E295" s="28" t="inlineStr">
        <is>
          <t>Công ty Cổ phần ESBT</t>
        </is>
      </c>
      <c r="F295" s="14" t="inlineStr">
        <is>
          <t>0108933234</t>
        </is>
      </c>
      <c r="G295" s="72" t="n">
        <v>46357</v>
      </c>
      <c r="H295" s="72" t="n">
        <v>46387</v>
      </c>
      <c r="I295" s="73" t="inlineStr">
        <is>
          <t>Chưa hoàn thành</t>
        </is>
      </c>
      <c r="J295" s="33" t="inlineStr">
        <is>
          <t>Chưa có thông tin</t>
        </is>
      </c>
    </row>
    <row r="296" ht="15.75" customHeight="1">
      <c r="A296" s="90" t="n"/>
      <c r="B296" s="90" t="n"/>
      <c r="C296" s="90" t="n"/>
      <c r="D296" s="90" t="n"/>
      <c r="E296" s="28" t="inlineStr">
        <is>
          <t>Công ty TNHH Tư vấn – Thương mại Khánh Linh</t>
        </is>
      </c>
      <c r="F296" s="14" t="inlineStr">
        <is>
          <t>0307633556</t>
        </is>
      </c>
      <c r="G296" s="72" t="n">
        <v>46327</v>
      </c>
      <c r="H296" s="72" t="n">
        <v>46356</v>
      </c>
      <c r="I296" s="73" t="inlineStr">
        <is>
          <t>Sẵn sàng</t>
        </is>
      </c>
      <c r="J296" s="33" t="n"/>
    </row>
    <row r="297" ht="15.75" customHeight="1">
      <c r="A297" s="90" t="n"/>
      <c r="B297" s="90" t="n"/>
      <c r="C297" s="90" t="n"/>
      <c r="D297" s="90" t="n"/>
      <c r="E297" s="28" t="inlineStr">
        <is>
          <t>Công ty TNHH LIMI Tech</t>
        </is>
      </c>
      <c r="F297" s="14" t="inlineStr">
        <is>
          <t>0111423385</t>
        </is>
      </c>
      <c r="G297" s="72" t="n">
        <v>46357</v>
      </c>
      <c r="H297" s="72" t="n">
        <v>46387</v>
      </c>
      <c r="I297" s="73" t="inlineStr">
        <is>
          <t>Chưa hoàn thành</t>
        </is>
      </c>
      <c r="J297" s="33" t="inlineStr">
        <is>
          <t>Chưa có thông tin</t>
        </is>
      </c>
    </row>
    <row r="298" ht="15.75" customHeight="1">
      <c r="A298" s="91" t="n"/>
      <c r="B298" s="91" t="n"/>
      <c r="C298" s="91" t="n"/>
      <c r="D298" s="91" t="n"/>
      <c r="E298" s="28" t="inlineStr">
        <is>
          <t>Tổng Công ty Dầu Việt Nam - CTCP (PVOIL)</t>
        </is>
      </c>
      <c r="F298" s="14" t="inlineStr">
        <is>
          <t>0305795054</t>
        </is>
      </c>
      <c r="G298" s="72" t="n">
        <v>46327</v>
      </c>
      <c r="H298" s="72" t="n">
        <v>46356</v>
      </c>
      <c r="I298" s="73" t="inlineStr">
        <is>
          <t>Sẵn sàng</t>
        </is>
      </c>
      <c r="J298" s="33" t="n"/>
    </row>
    <row r="299" ht="15.75" customHeight="1">
      <c r="I299" s="62" t="n"/>
      <c r="J299" s="33" t="n"/>
    </row>
    <row r="300" ht="15.75" customHeight="1">
      <c r="I300" s="62" t="n"/>
      <c r="J300" s="33" t="n"/>
    </row>
    <row r="301" ht="15.75" customHeight="1">
      <c r="I301" s="62" t="n"/>
      <c r="J301" s="33" t="n"/>
    </row>
    <row r="302" ht="15.75" customHeight="1">
      <c r="I302" s="62" t="n"/>
      <c r="J302" s="33" t="n"/>
    </row>
    <row r="303" ht="15.75" customHeight="1">
      <c r="I303" s="62" t="n"/>
      <c r="J303" s="33" t="n"/>
    </row>
    <row r="304" ht="15.75" customHeight="1">
      <c r="I304" s="62" t="n"/>
      <c r="J304" s="33" t="n"/>
    </row>
    <row r="305" ht="15.75" customHeight="1">
      <c r="I305" s="62" t="n"/>
      <c r="J305" s="33" t="n"/>
    </row>
    <row r="306" ht="15.75" customHeight="1">
      <c r="I306" s="62" t="n"/>
      <c r="J306" s="33" t="n"/>
    </row>
    <row r="307" ht="15.75" customHeight="1">
      <c r="I307" s="62" t="n"/>
      <c r="J307" s="33" t="n"/>
    </row>
    <row r="308" ht="15.75" customHeight="1">
      <c r="I308" s="62" t="n"/>
      <c r="J308" s="33" t="n"/>
    </row>
    <row r="309" ht="15.75" customHeight="1">
      <c r="I309" s="62" t="n"/>
      <c r="J309" s="33" t="n"/>
    </row>
    <row r="310" ht="15.75" customHeight="1">
      <c r="I310" s="62" t="n"/>
      <c r="J310" s="33" t="n"/>
    </row>
    <row r="311" ht="15.75" customHeight="1">
      <c r="I311" s="62" t="n"/>
      <c r="J311" s="33" t="n"/>
    </row>
    <row r="312" ht="15.75" customHeight="1">
      <c r="I312" s="62" t="n"/>
      <c r="J312" s="33" t="n"/>
    </row>
    <row r="313" ht="15.75" customHeight="1">
      <c r="I313" s="62" t="n"/>
      <c r="J313" s="33" t="n"/>
    </row>
    <row r="314" ht="15.75" customHeight="1">
      <c r="I314" s="62" t="n"/>
      <c r="J314" s="33" t="n"/>
    </row>
    <row r="315" ht="15.75" customHeight="1">
      <c r="I315" s="62" t="n"/>
      <c r="J315" s="33" t="n"/>
    </row>
    <row r="316" ht="15.75" customHeight="1">
      <c r="I316" s="62" t="n"/>
      <c r="J316" s="33" t="n"/>
    </row>
    <row r="317" ht="15.75" customHeight="1">
      <c r="I317" s="62" t="n"/>
      <c r="J317" s="33" t="n"/>
    </row>
    <row r="318" ht="15.75" customHeight="1">
      <c r="I318" s="62" t="n"/>
      <c r="J318" s="33" t="n"/>
    </row>
    <row r="319" ht="15.75" customHeight="1">
      <c r="I319" s="62" t="n"/>
      <c r="J319" s="33" t="n"/>
    </row>
    <row r="320" ht="15.75" customHeight="1">
      <c r="I320" s="62" t="n"/>
      <c r="J320" s="33" t="n"/>
    </row>
    <row r="321" ht="15.75" customHeight="1">
      <c r="I321" s="62" t="n"/>
      <c r="J321" s="33" t="n"/>
    </row>
    <row r="322" ht="15.75" customHeight="1">
      <c r="I322" s="62" t="n"/>
      <c r="J322" s="33" t="n"/>
    </row>
    <row r="323" ht="15.75" customHeight="1">
      <c r="I323" s="62" t="n"/>
      <c r="J323" s="33" t="n"/>
    </row>
    <row r="324" ht="15.75" customHeight="1">
      <c r="I324" s="62" t="n"/>
      <c r="J324" s="33" t="n"/>
    </row>
    <row r="325" ht="15.75" customHeight="1">
      <c r="I325" s="62" t="n"/>
      <c r="J325" s="33" t="n"/>
    </row>
    <row r="326" ht="15.75" customHeight="1">
      <c r="I326" s="62" t="n"/>
      <c r="J326" s="33" t="n"/>
    </row>
    <row r="327" ht="15.75" customHeight="1">
      <c r="I327" s="62" t="n"/>
      <c r="J327" s="33" t="n"/>
    </row>
    <row r="328" ht="15.75" customHeight="1">
      <c r="I328" s="62" t="n"/>
      <c r="J328" s="33" t="n"/>
    </row>
    <row r="329" ht="15.75" customHeight="1">
      <c r="I329" s="62" t="n"/>
      <c r="J329" s="33" t="n"/>
    </row>
    <row r="330" ht="15.75" customHeight="1">
      <c r="I330" s="62" t="n"/>
      <c r="J330" s="33" t="n"/>
    </row>
    <row r="331" ht="15.75" customHeight="1">
      <c r="I331" s="62" t="n"/>
      <c r="J331" s="33" t="n"/>
    </row>
    <row r="332" ht="15.75" customHeight="1">
      <c r="I332" s="62" t="n"/>
      <c r="J332" s="33" t="n"/>
    </row>
    <row r="333" ht="15.75" customHeight="1">
      <c r="I333" s="62" t="n"/>
      <c r="J333" s="33" t="n"/>
    </row>
    <row r="334" ht="15.75" customHeight="1">
      <c r="I334" s="62" t="n"/>
      <c r="J334" s="33" t="n"/>
    </row>
    <row r="335" ht="15.75" customHeight="1">
      <c r="I335" s="62" t="n"/>
      <c r="J335" s="33" t="n"/>
    </row>
    <row r="336" ht="15.75" customHeight="1">
      <c r="I336" s="62" t="n"/>
      <c r="J336" s="33" t="n"/>
    </row>
    <row r="337" ht="15.75" customHeight="1">
      <c r="I337" s="62" t="n"/>
      <c r="J337" s="33" t="n"/>
    </row>
    <row r="338" ht="15.75" customHeight="1">
      <c r="I338" s="62" t="n"/>
      <c r="J338" s="33" t="n"/>
    </row>
    <row r="339" ht="15.75" customHeight="1">
      <c r="I339" s="62" t="n"/>
      <c r="J339" s="33" t="n"/>
    </row>
    <row r="340" ht="15.75" customHeight="1">
      <c r="I340" s="62" t="n"/>
      <c r="J340" s="33" t="n"/>
    </row>
    <row r="341" ht="15.75" customHeight="1">
      <c r="I341" s="62" t="n"/>
      <c r="J341" s="33" t="n"/>
    </row>
    <row r="342" ht="15.75" customHeight="1">
      <c r="I342" s="62" t="n"/>
      <c r="J342" s="33" t="n"/>
    </row>
    <row r="343" ht="15.75" customHeight="1">
      <c r="I343" s="62" t="n"/>
      <c r="J343" s="33" t="n"/>
    </row>
    <row r="344" ht="15.75" customHeight="1">
      <c r="I344" s="62" t="n"/>
      <c r="J344" s="33" t="n"/>
    </row>
    <row r="345" ht="15.75" customHeight="1">
      <c r="I345" s="62" t="n"/>
      <c r="J345" s="33" t="n"/>
    </row>
    <row r="346" ht="15.75" customHeight="1">
      <c r="I346" s="62" t="n"/>
      <c r="J346" s="33" t="n"/>
    </row>
    <row r="347" ht="15.75" customHeight="1">
      <c r="I347" s="62" t="n"/>
      <c r="J347" s="33" t="n"/>
    </row>
    <row r="348" ht="15.75" customHeight="1">
      <c r="I348" s="62" t="n"/>
      <c r="J348" s="33" t="n"/>
    </row>
    <row r="349" ht="15.75" customHeight="1">
      <c r="I349" s="62" t="n"/>
      <c r="J349" s="33" t="n"/>
    </row>
    <row r="350" ht="15.75" customHeight="1">
      <c r="I350" s="62" t="n"/>
      <c r="J350" s="33" t="n"/>
    </row>
    <row r="351" ht="15.75" customHeight="1">
      <c r="I351" s="62" t="n"/>
      <c r="J351" s="33" t="n"/>
    </row>
    <row r="352" ht="15.75" customHeight="1">
      <c r="I352" s="62" t="n"/>
      <c r="J352" s="33" t="n"/>
    </row>
    <row r="353" ht="15.75" customHeight="1">
      <c r="I353" s="62" t="n"/>
      <c r="J353" s="33" t="n"/>
    </row>
    <row r="354" ht="15.75" customHeight="1">
      <c r="I354" s="62" t="n"/>
      <c r="J354" s="33" t="n"/>
    </row>
    <row r="355" ht="15.75" customHeight="1">
      <c r="I355" s="62" t="n"/>
      <c r="J355" s="33" t="n"/>
    </row>
    <row r="356" ht="15.75" customHeight="1">
      <c r="I356" s="62" t="n"/>
      <c r="J356" s="33" t="n"/>
    </row>
    <row r="357" ht="15.75" customHeight="1">
      <c r="I357" s="62" t="n"/>
      <c r="J357" s="33" t="n"/>
    </row>
    <row r="358" ht="15.75" customHeight="1">
      <c r="I358" s="62" t="n"/>
      <c r="J358" s="33" t="n"/>
    </row>
    <row r="359" ht="15.75" customHeight="1">
      <c r="I359" s="62" t="n"/>
      <c r="J359" s="33" t="n"/>
    </row>
    <row r="360" ht="15.75" customHeight="1">
      <c r="I360" s="62" t="n"/>
      <c r="J360" s="33" t="n"/>
    </row>
    <row r="361" ht="15.75" customHeight="1">
      <c r="I361" s="62" t="n"/>
      <c r="J361" s="33" t="n"/>
    </row>
    <row r="362" ht="15.75" customHeight="1">
      <c r="I362" s="62" t="n"/>
      <c r="J362" s="33" t="n"/>
    </row>
    <row r="363" ht="15.75" customHeight="1">
      <c r="I363" s="62" t="n"/>
      <c r="J363" s="33" t="n"/>
    </row>
    <row r="364" ht="15.75" customHeight="1">
      <c r="I364" s="62" t="n"/>
      <c r="J364" s="33" t="n"/>
    </row>
    <row r="365" ht="15.75" customHeight="1">
      <c r="I365" s="62" t="n"/>
      <c r="J365" s="33" t="n"/>
    </row>
    <row r="366" ht="15.75" customHeight="1">
      <c r="I366" s="62" t="n"/>
      <c r="J366" s="33" t="n"/>
    </row>
    <row r="367" ht="15.75" customHeight="1">
      <c r="I367" s="62" t="n"/>
      <c r="J367" s="33" t="n"/>
    </row>
    <row r="368" ht="15.75" customHeight="1">
      <c r="I368" s="62" t="n"/>
      <c r="J368" s="33" t="n"/>
    </row>
    <row r="369" ht="15.75" customHeight="1">
      <c r="I369" s="62" t="n"/>
      <c r="J369" s="33" t="n"/>
    </row>
    <row r="370" ht="15.75" customHeight="1">
      <c r="I370" s="62" t="n"/>
      <c r="J370" s="33" t="n"/>
    </row>
    <row r="371" ht="15.75" customHeight="1">
      <c r="I371" s="62" t="n"/>
      <c r="J371" s="33" t="n"/>
    </row>
    <row r="372" ht="15.75" customHeight="1">
      <c r="I372" s="62" t="n"/>
      <c r="J372" s="33" t="n"/>
    </row>
    <row r="373" ht="15.75" customHeight="1">
      <c r="I373" s="62" t="n"/>
      <c r="J373" s="33" t="n"/>
    </row>
    <row r="374" ht="15.75" customHeight="1">
      <c r="I374" s="62" t="n"/>
      <c r="J374" s="33" t="n"/>
    </row>
    <row r="375" ht="15.75" customHeight="1">
      <c r="I375" s="62" t="n"/>
      <c r="J375" s="33" t="n"/>
    </row>
    <row r="376" ht="15.75" customHeight="1">
      <c r="I376" s="62" t="n"/>
      <c r="J376" s="33" t="n"/>
    </row>
    <row r="377" ht="15.75" customHeight="1">
      <c r="I377" s="62" t="n"/>
      <c r="J377" s="33" t="n"/>
    </row>
    <row r="378" ht="15.75" customHeight="1">
      <c r="I378" s="62" t="n"/>
      <c r="J378" s="33" t="n"/>
    </row>
    <row r="379" ht="15.75" customHeight="1">
      <c r="I379" s="62" t="n"/>
      <c r="J379" s="33" t="n"/>
    </row>
    <row r="380" ht="15.75" customHeight="1">
      <c r="I380" s="62" t="n"/>
      <c r="J380" s="33" t="n"/>
    </row>
    <row r="381" ht="15.75" customHeight="1">
      <c r="I381" s="62" t="n"/>
      <c r="J381" s="33" t="n"/>
    </row>
    <row r="382" ht="15.75" customHeight="1">
      <c r="I382" s="62" t="n"/>
      <c r="J382" s="33" t="n"/>
    </row>
    <row r="383" ht="15.75" customHeight="1">
      <c r="I383" s="62" t="n"/>
      <c r="J383" s="33" t="n"/>
    </row>
    <row r="384" ht="15.75" customHeight="1">
      <c r="I384" s="62" t="n"/>
      <c r="J384" s="33" t="n"/>
    </row>
    <row r="385" ht="15.75" customHeight="1">
      <c r="I385" s="62" t="n"/>
      <c r="J385" s="33" t="n"/>
    </row>
    <row r="386" ht="15.75" customHeight="1">
      <c r="I386" s="62" t="n"/>
      <c r="J386" s="33" t="n"/>
    </row>
    <row r="387" ht="15.75" customHeight="1">
      <c r="I387" s="62" t="n"/>
      <c r="J387" s="33" t="n"/>
    </row>
    <row r="388" ht="15.75" customHeight="1">
      <c r="I388" s="62" t="n"/>
      <c r="J388" s="33" t="n"/>
    </row>
    <row r="389" ht="15.75" customHeight="1">
      <c r="I389" s="62" t="n"/>
      <c r="J389" s="33" t="n"/>
    </row>
    <row r="390" ht="15.75" customHeight="1">
      <c r="I390" s="62" t="n"/>
      <c r="J390" s="33" t="n"/>
    </row>
    <row r="391" ht="15.75" customHeight="1">
      <c r="I391" s="62" t="n"/>
      <c r="J391" s="33" t="n"/>
    </row>
    <row r="392" ht="15.75" customHeight="1">
      <c r="I392" s="62" t="n"/>
      <c r="J392" s="33" t="n"/>
    </row>
    <row r="393" ht="15.75" customHeight="1">
      <c r="I393" s="62" t="n"/>
      <c r="J393" s="33" t="n"/>
    </row>
    <row r="394" ht="15.75" customHeight="1">
      <c r="I394" s="62" t="n"/>
      <c r="J394" s="33" t="n"/>
    </row>
    <row r="395" ht="15.75" customHeight="1">
      <c r="I395" s="62" t="n"/>
      <c r="J395" s="33" t="n"/>
    </row>
    <row r="396" ht="15.75" customHeight="1">
      <c r="I396" s="62" t="n"/>
      <c r="J396" s="33" t="n"/>
    </row>
    <row r="397" ht="15.75" customHeight="1">
      <c r="I397" s="62" t="n"/>
      <c r="J397" s="33" t="n"/>
    </row>
    <row r="398" ht="15.75" customHeight="1">
      <c r="I398" s="62" t="n"/>
      <c r="J398" s="33" t="n"/>
    </row>
    <row r="399" ht="15.75" customHeight="1">
      <c r="I399" s="62" t="n"/>
      <c r="J399" s="33" t="n"/>
    </row>
    <row r="400" ht="15.75" customHeight="1">
      <c r="I400" s="62" t="n"/>
      <c r="J400" s="33" t="n"/>
    </row>
    <row r="401" ht="15.75" customHeight="1">
      <c r="I401" s="62" t="n"/>
      <c r="J401" s="33" t="n"/>
    </row>
    <row r="402" ht="15.75" customHeight="1">
      <c r="I402" s="62" t="n"/>
      <c r="J402" s="33" t="n"/>
    </row>
    <row r="403" ht="15.75" customHeight="1">
      <c r="I403" s="62" t="n"/>
      <c r="J403" s="33" t="n"/>
    </row>
    <row r="404" ht="15.75" customHeight="1">
      <c r="I404" s="62" t="n"/>
      <c r="J404" s="33" t="n"/>
    </row>
    <row r="405" ht="15.75" customHeight="1">
      <c r="I405" s="62" t="n"/>
      <c r="J405" s="33" t="n"/>
    </row>
    <row r="406" ht="15.75" customHeight="1">
      <c r="I406" s="62" t="n"/>
      <c r="J406" s="33" t="n"/>
    </row>
    <row r="407" ht="15.75" customHeight="1">
      <c r="I407" s="62" t="n"/>
      <c r="J407" s="33" t="n"/>
    </row>
    <row r="408" ht="15.75" customHeight="1">
      <c r="I408" s="62" t="n"/>
      <c r="J408" s="33" t="n"/>
    </row>
    <row r="409" ht="15.75" customHeight="1">
      <c r="I409" s="62" t="n"/>
      <c r="J409" s="33" t="n"/>
    </row>
    <row r="410" ht="15.75" customHeight="1">
      <c r="I410" s="62" t="n"/>
      <c r="J410" s="33" t="n"/>
    </row>
    <row r="411" ht="15.75" customHeight="1">
      <c r="I411" s="62" t="n"/>
      <c r="J411" s="33" t="n"/>
    </row>
    <row r="412" ht="15.75" customHeight="1">
      <c r="I412" s="62" t="n"/>
      <c r="J412" s="33" t="n"/>
    </row>
    <row r="413" ht="15.75" customHeight="1">
      <c r="I413" s="62" t="n"/>
      <c r="J413" s="33" t="n"/>
    </row>
    <row r="414" ht="15.75" customHeight="1">
      <c r="I414" s="62" t="n"/>
      <c r="J414" s="33" t="n"/>
    </row>
    <row r="415" ht="15.75" customHeight="1">
      <c r="I415" s="62" t="n"/>
      <c r="J415" s="33" t="n"/>
    </row>
    <row r="416" ht="15.75" customHeight="1">
      <c r="I416" s="62" t="n"/>
      <c r="J416" s="33" t="n"/>
    </row>
    <row r="417" ht="15.75" customHeight="1">
      <c r="I417" s="62" t="n"/>
      <c r="J417" s="33" t="n"/>
    </row>
    <row r="418" ht="15.75" customHeight="1">
      <c r="I418" s="62" t="n"/>
      <c r="J418" s="33" t="n"/>
    </row>
    <row r="419" ht="15.75" customHeight="1">
      <c r="I419" s="62" t="n"/>
      <c r="J419" s="33" t="n"/>
    </row>
    <row r="420" ht="15.75" customHeight="1">
      <c r="I420" s="62" t="n"/>
      <c r="J420" s="33" t="n"/>
    </row>
    <row r="421" ht="15.75" customHeight="1">
      <c r="I421" s="62" t="n"/>
      <c r="J421" s="33" t="n"/>
    </row>
    <row r="422" ht="15.75" customHeight="1">
      <c r="I422" s="62" t="n"/>
      <c r="J422" s="33" t="n"/>
    </row>
    <row r="423" ht="15.75" customHeight="1">
      <c r="I423" s="62" t="n"/>
      <c r="J423" s="33" t="n"/>
    </row>
    <row r="424" ht="15.75" customHeight="1">
      <c r="I424" s="62" t="n"/>
      <c r="J424" s="33" t="n"/>
    </row>
    <row r="425" ht="15.75" customHeight="1">
      <c r="I425" s="62" t="n"/>
      <c r="J425" s="33" t="n"/>
    </row>
    <row r="426" ht="15.75" customHeight="1">
      <c r="I426" s="62" t="n"/>
      <c r="J426" s="33" t="n"/>
    </row>
    <row r="427" ht="15.75" customHeight="1">
      <c r="I427" s="62" t="n"/>
      <c r="J427" s="33" t="n"/>
    </row>
    <row r="428" ht="15.75" customHeight="1">
      <c r="I428" s="62" t="n"/>
      <c r="J428" s="33" t="n"/>
    </row>
    <row r="429" ht="15.75" customHeight="1">
      <c r="I429" s="62" t="n"/>
      <c r="J429" s="33" t="n"/>
    </row>
    <row r="430" ht="15.75" customHeight="1">
      <c r="I430" s="62" t="n"/>
      <c r="J430" s="33" t="n"/>
    </row>
    <row r="431" ht="15.75" customHeight="1">
      <c r="I431" s="62" t="n"/>
      <c r="J431" s="33" t="n"/>
    </row>
    <row r="432" ht="15.75" customHeight="1">
      <c r="I432" s="62" t="n"/>
      <c r="J432" s="33" t="n"/>
    </row>
    <row r="433" ht="15.75" customHeight="1">
      <c r="I433" s="62" t="n"/>
      <c r="J433" s="33" t="n"/>
    </row>
    <row r="434" ht="15.75" customHeight="1">
      <c r="I434" s="62" t="n"/>
      <c r="J434" s="33" t="n"/>
    </row>
    <row r="435" ht="15.75" customHeight="1">
      <c r="I435" s="62" t="n"/>
      <c r="J435" s="33" t="n"/>
    </row>
    <row r="436" ht="15.75" customHeight="1">
      <c r="I436" s="62" t="n"/>
      <c r="J436" s="33" t="n"/>
    </row>
    <row r="437" ht="15.75" customHeight="1">
      <c r="I437" s="62" t="n"/>
      <c r="J437" s="33" t="n"/>
    </row>
    <row r="438" ht="15.75" customHeight="1">
      <c r="I438" s="62" t="n"/>
      <c r="J438" s="33" t="n"/>
    </row>
    <row r="439" ht="15.75" customHeight="1">
      <c r="I439" s="62" t="n"/>
      <c r="J439" s="33" t="n"/>
    </row>
    <row r="440" ht="15.75" customHeight="1">
      <c r="I440" s="62" t="n"/>
      <c r="J440" s="33" t="n"/>
    </row>
    <row r="441" ht="15.75" customHeight="1">
      <c r="I441" s="62" t="n"/>
      <c r="J441" s="33" t="n"/>
    </row>
    <row r="442" ht="15.75" customHeight="1">
      <c r="I442" s="62" t="n"/>
      <c r="J442" s="33" t="n"/>
    </row>
    <row r="443" ht="15.75" customHeight="1">
      <c r="I443" s="62" t="n"/>
      <c r="J443" s="33" t="n"/>
    </row>
    <row r="444" ht="15.75" customHeight="1">
      <c r="I444" s="62" t="n"/>
      <c r="J444" s="33" t="n"/>
    </row>
    <row r="445" ht="15.75" customHeight="1">
      <c r="I445" s="62" t="n"/>
      <c r="J445" s="33" t="n"/>
    </row>
    <row r="446" ht="15.75" customHeight="1">
      <c r="I446" s="62" t="n"/>
      <c r="J446" s="33" t="n"/>
    </row>
    <row r="447" ht="15.75" customHeight="1">
      <c r="I447" s="62" t="n"/>
      <c r="J447" s="33" t="n"/>
    </row>
    <row r="448" ht="15.75" customHeight="1">
      <c r="I448" s="62" t="n"/>
      <c r="J448" s="33" t="n"/>
    </row>
    <row r="449" ht="15.75" customHeight="1">
      <c r="I449" s="62" t="n"/>
      <c r="J449" s="33" t="n"/>
    </row>
    <row r="450" ht="15.75" customHeight="1">
      <c r="I450" s="62" t="n"/>
      <c r="J450" s="33" t="n"/>
    </row>
    <row r="451" ht="15.75" customHeight="1">
      <c r="I451" s="62" t="n"/>
      <c r="J451" s="33" t="n"/>
    </row>
    <row r="452" ht="15.75" customHeight="1">
      <c r="I452" s="62" t="n"/>
      <c r="J452" s="33" t="n"/>
    </row>
    <row r="453" ht="15.75" customHeight="1">
      <c r="I453" s="62" t="n"/>
      <c r="J453" s="33" t="n"/>
    </row>
    <row r="454" ht="15.75" customHeight="1">
      <c r="I454" s="62" t="n"/>
      <c r="J454" s="33" t="n"/>
    </row>
    <row r="455" ht="15.75" customHeight="1">
      <c r="I455" s="62" t="n"/>
      <c r="J455" s="33" t="n"/>
    </row>
    <row r="456" ht="15.75" customHeight="1">
      <c r="I456" s="62" t="n"/>
      <c r="J456" s="33" t="n"/>
    </row>
    <row r="457" ht="15.75" customHeight="1">
      <c r="I457" s="62" t="n"/>
      <c r="J457" s="33" t="n"/>
    </row>
    <row r="458" ht="15.75" customHeight="1">
      <c r="I458" s="62" t="n"/>
      <c r="J458" s="33" t="n"/>
    </row>
    <row r="459" ht="15.75" customHeight="1">
      <c r="I459" s="62" t="n"/>
      <c r="J459" s="33" t="n"/>
    </row>
    <row r="460" ht="15.75" customHeight="1">
      <c r="I460" s="62" t="n"/>
      <c r="J460" s="33" t="n"/>
    </row>
    <row r="461" ht="15.75" customHeight="1">
      <c r="I461" s="62" t="n"/>
      <c r="J461" s="33" t="n"/>
    </row>
    <row r="462" ht="15.75" customHeight="1">
      <c r="I462" s="62" t="n"/>
      <c r="J462" s="33" t="n"/>
    </row>
    <row r="463" ht="15.75" customHeight="1">
      <c r="I463" s="62" t="n"/>
      <c r="J463" s="33" t="n"/>
    </row>
    <row r="464" ht="15.75" customHeight="1">
      <c r="I464" s="62" t="n"/>
      <c r="J464" s="33" t="n"/>
    </row>
    <row r="465" ht="15.75" customHeight="1">
      <c r="I465" s="62" t="n"/>
      <c r="J465" s="33" t="n"/>
    </row>
    <row r="466" ht="15.75" customHeight="1">
      <c r="I466" s="62" t="n"/>
      <c r="J466" s="33" t="n"/>
    </row>
    <row r="467" ht="15.75" customHeight="1">
      <c r="I467" s="62" t="n"/>
      <c r="J467" s="33" t="n"/>
    </row>
    <row r="468" ht="15.75" customHeight="1">
      <c r="I468" s="62" t="n"/>
      <c r="J468" s="33" t="n"/>
    </row>
    <row r="469" ht="15.75" customHeight="1">
      <c r="I469" s="62" t="n"/>
      <c r="J469" s="33" t="n"/>
    </row>
    <row r="470" ht="15.75" customHeight="1">
      <c r="I470" s="62" t="n"/>
      <c r="J470" s="33" t="n"/>
    </row>
    <row r="471" ht="15.75" customHeight="1">
      <c r="I471" s="62" t="n"/>
      <c r="J471" s="33" t="n"/>
    </row>
    <row r="472" ht="15.75" customHeight="1">
      <c r="I472" s="62" t="n"/>
      <c r="J472" s="33" t="n"/>
    </row>
    <row r="473" ht="15.75" customHeight="1">
      <c r="I473" s="62" t="n"/>
      <c r="J473" s="33" t="n"/>
    </row>
    <row r="474" ht="15.75" customHeight="1">
      <c r="I474" s="62" t="n"/>
      <c r="J474" s="33" t="n"/>
    </row>
    <row r="475" ht="15.75" customHeight="1">
      <c r="I475" s="62" t="n"/>
      <c r="J475" s="33" t="n"/>
    </row>
    <row r="476" ht="15.75" customHeight="1">
      <c r="I476" s="62" t="n"/>
      <c r="J476" s="33" t="n"/>
    </row>
    <row r="477" ht="15.75" customHeight="1">
      <c r="I477" s="62" t="n"/>
      <c r="J477" s="33" t="n"/>
    </row>
    <row r="478" ht="15.75" customHeight="1">
      <c r="I478" s="62" t="n"/>
      <c r="J478" s="33" t="n"/>
    </row>
    <row r="479" ht="15.75" customHeight="1">
      <c r="I479" s="62" t="n"/>
      <c r="J479" s="33" t="n"/>
    </row>
    <row r="480" ht="15.75" customHeight="1">
      <c r="I480" s="62" t="n"/>
      <c r="J480" s="33" t="n"/>
    </row>
    <row r="481" ht="15.75" customHeight="1">
      <c r="I481" s="62" t="n"/>
      <c r="J481" s="33" t="n"/>
    </row>
    <row r="482" ht="15.75" customHeight="1">
      <c r="I482" s="62" t="n"/>
      <c r="J482" s="33" t="n"/>
    </row>
    <row r="483" ht="15.75" customHeight="1">
      <c r="I483" s="62" t="n"/>
      <c r="J483" s="33" t="n"/>
    </row>
    <row r="484" ht="15.75" customHeight="1">
      <c r="I484" s="62" t="n"/>
      <c r="J484" s="33" t="n"/>
    </row>
    <row r="485" ht="15.75" customHeight="1">
      <c r="I485" s="62" t="n"/>
      <c r="J485" s="33" t="n"/>
    </row>
    <row r="486" ht="15.75" customHeight="1">
      <c r="I486" s="62" t="n"/>
      <c r="J486" s="33" t="n"/>
    </row>
    <row r="487" ht="15.75" customHeight="1">
      <c r="I487" s="62" t="n"/>
      <c r="J487" s="33" t="n"/>
    </row>
    <row r="488" ht="15.75" customHeight="1">
      <c r="I488" s="62" t="n"/>
      <c r="J488" s="33" t="n"/>
    </row>
    <row r="489" ht="15.75" customHeight="1">
      <c r="I489" s="62" t="n"/>
      <c r="J489" s="33" t="n"/>
    </row>
    <row r="490" ht="15.75" customHeight="1">
      <c r="I490" s="62" t="n"/>
      <c r="J490" s="33" t="n"/>
    </row>
    <row r="491" ht="15.75" customHeight="1">
      <c r="I491" s="62" t="n"/>
      <c r="J491" s="33" t="n"/>
    </row>
    <row r="492" ht="15.75" customHeight="1">
      <c r="I492" s="62" t="n"/>
      <c r="J492" s="33" t="n"/>
    </row>
    <row r="493" ht="15.75" customHeight="1">
      <c r="I493" s="62" t="n"/>
      <c r="J493" s="33" t="n"/>
    </row>
    <row r="494" ht="15.75" customHeight="1">
      <c r="I494" s="62" t="n"/>
      <c r="J494" s="33" t="n"/>
    </row>
    <row r="495" ht="15.75" customHeight="1">
      <c r="I495" s="62" t="n"/>
      <c r="J495" s="33" t="n"/>
    </row>
    <row r="496" ht="15.75" customHeight="1">
      <c r="I496" s="62" t="n"/>
      <c r="J496" s="33" t="n"/>
    </row>
    <row r="497" ht="15.75" customHeight="1">
      <c r="I497" s="62" t="n"/>
      <c r="J497" s="33" t="n"/>
    </row>
    <row r="498" ht="15.75" customHeight="1">
      <c r="I498" s="62" t="n"/>
      <c r="J498" s="33" t="n"/>
    </row>
    <row r="499" ht="15.75" customHeight="1">
      <c r="J499" s="33" t="n"/>
    </row>
    <row r="500" ht="15.75" customHeight="1">
      <c r="J500" s="33" t="n"/>
    </row>
    <row r="501" ht="15.75" customHeight="1">
      <c r="J501" s="33" t="n"/>
    </row>
    <row r="502" ht="15.75" customHeight="1">
      <c r="J502" s="33" t="n"/>
    </row>
    <row r="503" ht="15.75" customHeight="1">
      <c r="J503" s="33" t="n"/>
    </row>
    <row r="504" ht="15.75" customHeight="1">
      <c r="J504" s="33" t="n"/>
    </row>
    <row r="505" ht="15.75" customHeight="1">
      <c r="J505" s="33" t="n"/>
    </row>
    <row r="506" ht="15.75" customHeight="1">
      <c r="J506" s="33" t="n"/>
    </row>
    <row r="507" ht="15.75" customHeight="1">
      <c r="J507" s="33" t="n"/>
    </row>
    <row r="508" ht="15.75" customHeight="1">
      <c r="J508" s="33" t="n"/>
    </row>
    <row r="509" ht="15.75" customHeight="1">
      <c r="J509" s="33" t="n"/>
    </row>
    <row r="510" ht="15.75" customHeight="1">
      <c r="J510" s="33" t="n"/>
    </row>
    <row r="511" ht="15.75" customHeight="1">
      <c r="J511" s="33" t="n"/>
    </row>
    <row r="512" ht="15.75" customHeight="1">
      <c r="J512" s="33" t="n"/>
    </row>
    <row r="513" ht="15.75" customHeight="1">
      <c r="J513" s="33" t="n"/>
    </row>
    <row r="514" ht="15.75" customHeight="1">
      <c r="J514" s="33" t="n"/>
    </row>
    <row r="515" ht="15.75" customHeight="1">
      <c r="J515" s="33" t="n"/>
    </row>
    <row r="516" ht="15.75" customHeight="1">
      <c r="J516" s="33" t="n"/>
    </row>
    <row r="517" ht="15.75" customHeight="1">
      <c r="J517" s="33" t="n"/>
    </row>
    <row r="518" ht="15.75" customHeight="1">
      <c r="J518" s="33" t="n"/>
    </row>
    <row r="519" ht="15.75" customHeight="1">
      <c r="J519" s="33" t="n"/>
    </row>
    <row r="520" ht="15.75" customHeight="1">
      <c r="J520" s="33" t="n"/>
    </row>
    <row r="521" ht="15.75" customHeight="1">
      <c r="J521" s="33" t="n"/>
    </row>
    <row r="522" ht="15.75" customHeight="1">
      <c r="J522" s="33" t="n"/>
    </row>
    <row r="523" ht="15.75" customHeight="1">
      <c r="J523" s="33" t="n"/>
    </row>
    <row r="524" ht="15.75" customHeight="1">
      <c r="J524" s="33" t="n"/>
    </row>
    <row r="525" ht="15.75" customHeight="1">
      <c r="J525" s="33" t="n"/>
    </row>
    <row r="526" ht="15.75" customHeight="1">
      <c r="J526" s="33" t="n"/>
    </row>
    <row r="527" ht="15.75" customHeight="1">
      <c r="J527" s="33" t="n"/>
    </row>
    <row r="528" ht="15.75" customHeight="1">
      <c r="J528" s="33" t="n"/>
    </row>
    <row r="529" ht="15.75" customHeight="1">
      <c r="J529" s="33" t="n"/>
    </row>
    <row r="530" ht="15.75" customHeight="1">
      <c r="J530" s="33" t="n"/>
    </row>
    <row r="531" ht="15.75" customHeight="1">
      <c r="J531" s="33" t="n"/>
    </row>
    <row r="532" ht="15.75" customHeight="1">
      <c r="J532" s="33" t="n"/>
    </row>
    <row r="533" ht="15.75" customHeight="1">
      <c r="J533" s="33" t="n"/>
    </row>
    <row r="534" ht="15.75" customHeight="1">
      <c r="J534" s="33" t="n"/>
    </row>
    <row r="535" ht="15.75" customHeight="1">
      <c r="J535" s="33" t="n"/>
    </row>
    <row r="536" ht="15.75" customHeight="1">
      <c r="J536" s="33" t="n"/>
    </row>
    <row r="537" ht="15.75" customHeight="1">
      <c r="J537" s="33" t="n"/>
    </row>
    <row r="538" ht="15.75" customHeight="1">
      <c r="J538" s="33" t="n"/>
    </row>
    <row r="539" ht="15.75" customHeight="1">
      <c r="J539" s="33" t="n"/>
    </row>
    <row r="540" ht="15.75" customHeight="1">
      <c r="J540" s="33" t="n"/>
    </row>
    <row r="541" ht="15.75" customHeight="1">
      <c r="J541" s="33" t="n"/>
    </row>
    <row r="542" ht="15.75" customHeight="1">
      <c r="J542" s="33" t="n"/>
    </row>
    <row r="543" ht="15.75" customHeight="1">
      <c r="J543" s="33" t="n"/>
    </row>
    <row r="544" ht="15.75" customHeight="1">
      <c r="J544" s="33" t="n"/>
    </row>
    <row r="545" ht="15.75" customHeight="1">
      <c r="J545" s="33" t="n"/>
    </row>
    <row r="546" ht="15.75" customHeight="1">
      <c r="J546" s="33" t="n"/>
    </row>
    <row r="547" ht="15.75" customHeight="1">
      <c r="J547" s="33" t="n"/>
    </row>
    <row r="548" ht="15.75" customHeight="1">
      <c r="J548" s="33" t="n"/>
    </row>
    <row r="549" ht="15.75" customHeight="1">
      <c r="J549" s="33" t="n"/>
    </row>
    <row r="550" ht="15.75" customHeight="1">
      <c r="J550" s="33" t="n"/>
    </row>
    <row r="551" ht="15.75" customHeight="1">
      <c r="J551" s="33" t="n"/>
    </row>
    <row r="552" ht="15.75" customHeight="1">
      <c r="J552" s="33" t="n"/>
    </row>
    <row r="553" ht="15.75" customHeight="1">
      <c r="J553" s="33" t="n"/>
    </row>
    <row r="554" ht="15.75" customHeight="1">
      <c r="J554" s="33" t="n"/>
    </row>
    <row r="555" ht="15.75" customHeight="1">
      <c r="J555" s="33" t="n"/>
    </row>
    <row r="556" ht="15.75" customHeight="1">
      <c r="J556" s="33" t="n"/>
    </row>
    <row r="557" ht="15.75" customHeight="1">
      <c r="J557" s="33" t="n"/>
    </row>
    <row r="558" ht="15.75" customHeight="1">
      <c r="J558" s="33" t="n"/>
    </row>
    <row r="559" ht="15.75" customHeight="1">
      <c r="J559" s="33" t="n"/>
    </row>
    <row r="560" ht="15.75" customHeight="1">
      <c r="J560" s="33" t="n"/>
    </row>
    <row r="561" ht="15.75" customHeight="1">
      <c r="J561" s="33" t="n"/>
    </row>
    <row r="562" ht="15.75" customHeight="1">
      <c r="J562" s="33" t="n"/>
    </row>
    <row r="563" ht="15.75" customHeight="1">
      <c r="J563" s="33" t="n"/>
    </row>
    <row r="564" ht="15.75" customHeight="1">
      <c r="J564" s="33" t="n"/>
    </row>
    <row r="565" ht="15.75" customHeight="1">
      <c r="J565" s="33" t="n"/>
    </row>
    <row r="566" ht="15.75" customHeight="1">
      <c r="J566" s="33" t="n"/>
    </row>
    <row r="567" ht="15.75" customHeight="1">
      <c r="J567" s="33" t="n"/>
    </row>
    <row r="568" ht="15.75" customHeight="1">
      <c r="J568" s="33" t="n"/>
    </row>
    <row r="569" ht="15.75" customHeight="1">
      <c r="J569" s="33" t="n"/>
    </row>
    <row r="570" ht="15.75" customHeight="1">
      <c r="J570" s="33" t="n"/>
    </row>
    <row r="571" ht="15.75" customHeight="1">
      <c r="J571" s="33" t="n"/>
    </row>
    <row r="572" ht="15.75" customHeight="1">
      <c r="J572" s="33" t="n"/>
    </row>
    <row r="573" ht="15.75" customHeight="1">
      <c r="J573" s="33" t="n"/>
    </row>
    <row r="574" ht="15.75" customHeight="1">
      <c r="J574" s="33" t="n"/>
    </row>
    <row r="575" ht="15.75" customHeight="1">
      <c r="J575" s="33" t="n"/>
    </row>
    <row r="576" ht="15.75" customHeight="1">
      <c r="J576" s="33" t="n"/>
    </row>
    <row r="577" ht="15.75" customHeight="1">
      <c r="J577" s="33" t="n"/>
    </row>
    <row r="578" ht="15.75" customHeight="1">
      <c r="J578" s="33" t="n"/>
    </row>
    <row r="579" ht="15.75" customHeight="1">
      <c r="J579" s="33" t="n"/>
    </row>
    <row r="580" ht="15.75" customHeight="1">
      <c r="J580" s="33" t="n"/>
    </row>
    <row r="581" ht="15.75" customHeight="1">
      <c r="J581" s="33" t="n"/>
    </row>
    <row r="582" ht="15.75" customHeight="1">
      <c r="J582" s="33" t="n"/>
    </row>
    <row r="583" ht="15.75" customHeight="1">
      <c r="J583" s="33" t="n"/>
    </row>
    <row r="584" ht="15.75" customHeight="1">
      <c r="J584" s="33" t="n"/>
    </row>
    <row r="585" ht="15.75" customHeight="1">
      <c r="J585" s="33" t="n"/>
    </row>
    <row r="586" ht="15.75" customHeight="1">
      <c r="J586" s="33" t="n"/>
    </row>
    <row r="587" ht="15.75" customHeight="1">
      <c r="J587" s="33" t="n"/>
    </row>
    <row r="588" ht="15.75" customHeight="1">
      <c r="J588" s="33" t="n"/>
    </row>
    <row r="589" ht="15.75" customHeight="1">
      <c r="J589" s="33" t="n"/>
    </row>
    <row r="590" ht="15.75" customHeight="1">
      <c r="J590" s="33" t="n"/>
    </row>
    <row r="591" ht="15.75" customHeight="1">
      <c r="J591" s="33" t="n"/>
    </row>
    <row r="592" ht="15.75" customHeight="1">
      <c r="J592" s="33" t="n"/>
    </row>
    <row r="593" ht="15.75" customHeight="1">
      <c r="J593" s="33" t="n"/>
    </row>
    <row r="594" ht="15.75" customHeight="1">
      <c r="J594" s="33" t="n"/>
    </row>
    <row r="595" ht="15.75" customHeight="1">
      <c r="J595" s="33" t="n"/>
    </row>
    <row r="596" ht="15.75" customHeight="1">
      <c r="J596" s="33" t="n"/>
    </row>
    <row r="597" ht="15.75" customHeight="1">
      <c r="J597" s="33" t="n"/>
    </row>
    <row r="598" ht="15.75" customHeight="1">
      <c r="J598" s="33" t="n"/>
    </row>
    <row r="599" ht="15.75" customHeight="1">
      <c r="J599" s="33" t="n"/>
    </row>
    <row r="600" ht="15.75" customHeight="1">
      <c r="J600" s="33" t="n"/>
    </row>
    <row r="601" ht="15.75" customHeight="1">
      <c r="J601" s="33" t="n"/>
    </row>
    <row r="602" ht="15.75" customHeight="1">
      <c r="J602" s="33" t="n"/>
    </row>
    <row r="603" ht="15.75" customHeight="1">
      <c r="J603" s="33" t="n"/>
    </row>
    <row r="604" ht="15.75" customHeight="1">
      <c r="J604" s="33" t="n"/>
    </row>
    <row r="605" ht="15.75" customHeight="1">
      <c r="J605" s="33" t="n"/>
    </row>
    <row r="606" ht="15.75" customHeight="1">
      <c r="J606" s="33" t="n"/>
    </row>
    <row r="607" ht="15.75" customHeight="1">
      <c r="J607" s="33" t="n"/>
    </row>
    <row r="608" ht="15.75" customHeight="1">
      <c r="J608" s="33" t="n"/>
    </row>
    <row r="609" ht="15.75" customHeight="1">
      <c r="J609" s="33" t="n"/>
    </row>
    <row r="610" ht="15.75" customHeight="1">
      <c r="J610" s="33" t="n"/>
    </row>
    <row r="611" ht="15.75" customHeight="1">
      <c r="J611" s="33" t="n"/>
    </row>
    <row r="612" ht="15.75" customHeight="1">
      <c r="J612" s="33" t="n"/>
    </row>
    <row r="613" ht="15.75" customHeight="1">
      <c r="J613" s="33" t="n"/>
    </row>
    <row r="614" ht="15.75" customHeight="1">
      <c r="J614" s="33" t="n"/>
    </row>
    <row r="615" ht="15.75" customHeight="1">
      <c r="J615" s="33" t="n"/>
    </row>
    <row r="616" ht="15.75" customHeight="1">
      <c r="J616" s="33" t="n"/>
    </row>
    <row r="617" ht="15.75" customHeight="1">
      <c r="J617" s="33" t="n"/>
    </row>
    <row r="618" ht="15.75" customHeight="1">
      <c r="J618" s="33" t="n"/>
    </row>
    <row r="619" ht="15.75" customHeight="1">
      <c r="J619" s="33" t="n"/>
    </row>
    <row r="620" ht="15.75" customHeight="1">
      <c r="J620" s="33" t="n"/>
    </row>
    <row r="621" ht="15.75" customHeight="1">
      <c r="J621" s="33" t="n"/>
    </row>
    <row r="622" ht="15.75" customHeight="1">
      <c r="J622" s="33" t="n"/>
    </row>
    <row r="623" ht="15.75" customHeight="1">
      <c r="J623" s="33" t="n"/>
    </row>
    <row r="624" ht="15.75" customHeight="1">
      <c r="J624" s="33" t="n"/>
    </row>
    <row r="625" ht="15.75" customHeight="1">
      <c r="J625" s="33" t="n"/>
    </row>
    <row r="626" ht="15.75" customHeight="1">
      <c r="J626" s="33" t="n"/>
    </row>
    <row r="627" ht="15.75" customHeight="1">
      <c r="J627" s="33" t="n"/>
    </row>
    <row r="628" ht="15.75" customHeight="1">
      <c r="J628" s="33" t="n"/>
    </row>
    <row r="629" ht="15.75" customHeight="1">
      <c r="J629" s="33" t="n"/>
    </row>
    <row r="630" ht="15.75" customHeight="1">
      <c r="J630" s="33" t="n"/>
    </row>
    <row r="631" ht="15.75" customHeight="1">
      <c r="J631" s="33" t="n"/>
    </row>
    <row r="632" ht="15.75" customHeight="1">
      <c r="J632" s="33" t="n"/>
    </row>
    <row r="633" ht="15.75" customHeight="1">
      <c r="J633" s="33" t="n"/>
    </row>
    <row r="634" ht="15.75" customHeight="1">
      <c r="J634" s="33" t="n"/>
    </row>
    <row r="635" ht="15.75" customHeight="1">
      <c r="J635" s="33" t="n"/>
    </row>
    <row r="636" ht="15.75" customHeight="1">
      <c r="J636" s="33" t="n"/>
    </row>
    <row r="637" ht="15.75" customHeight="1">
      <c r="J637" s="33" t="n"/>
    </row>
    <row r="638" ht="15.75" customHeight="1">
      <c r="J638" s="33" t="n"/>
    </row>
    <row r="639" ht="15.75" customHeight="1">
      <c r="J639" s="33" t="n"/>
    </row>
    <row r="640" ht="15.75" customHeight="1">
      <c r="J640" s="33" t="n"/>
    </row>
    <row r="641" ht="15.75" customHeight="1">
      <c r="J641" s="33" t="n"/>
    </row>
    <row r="642" ht="15.75" customHeight="1">
      <c r="J642" s="33" t="n"/>
    </row>
    <row r="643" ht="15.75" customHeight="1">
      <c r="J643" s="33" t="n"/>
    </row>
    <row r="644" ht="15.75" customHeight="1">
      <c r="J644" s="33" t="n"/>
    </row>
    <row r="645" ht="15.75" customHeight="1">
      <c r="J645" s="33" t="n"/>
    </row>
    <row r="646" ht="15.75" customHeight="1">
      <c r="J646" s="33" t="n"/>
    </row>
    <row r="647" ht="15.75" customHeight="1">
      <c r="J647" s="33" t="n"/>
    </row>
    <row r="648" ht="15.75" customHeight="1">
      <c r="J648" s="33" t="n"/>
    </row>
    <row r="649" ht="15.75" customHeight="1">
      <c r="J649" s="33" t="n"/>
    </row>
    <row r="650" ht="15.75" customHeight="1">
      <c r="J650" s="33" t="n"/>
    </row>
    <row r="651" ht="15.75" customHeight="1">
      <c r="J651" s="33" t="n"/>
    </row>
    <row r="652" ht="15.75" customHeight="1">
      <c r="J652" s="33" t="n"/>
    </row>
    <row r="653" ht="15.75" customHeight="1">
      <c r="J653" s="33" t="n"/>
    </row>
    <row r="654" ht="15.75" customHeight="1">
      <c r="J654" s="33" t="n"/>
    </row>
    <row r="655" ht="15.75" customHeight="1">
      <c r="J655" s="33" t="n"/>
    </row>
    <row r="656" ht="15.75" customHeight="1">
      <c r="J656" s="33" t="n"/>
    </row>
    <row r="657" ht="15.75" customHeight="1">
      <c r="J657" s="33" t="n"/>
    </row>
    <row r="658" ht="15.75" customHeight="1">
      <c r="J658" s="33" t="n"/>
    </row>
    <row r="659" ht="15.75" customHeight="1">
      <c r="J659" s="33" t="n"/>
    </row>
    <row r="660" ht="15.75" customHeight="1">
      <c r="J660" s="33" t="n"/>
    </row>
    <row r="661" ht="15.75" customHeight="1">
      <c r="J661" s="33" t="n"/>
    </row>
    <row r="662" ht="15.75" customHeight="1">
      <c r="J662" s="33" t="n"/>
    </row>
    <row r="663" ht="15.75" customHeight="1">
      <c r="J663" s="33" t="n"/>
    </row>
    <row r="664" ht="15.75" customHeight="1">
      <c r="J664" s="33" t="n"/>
    </row>
    <row r="665" ht="15.75" customHeight="1">
      <c r="J665" s="33" t="n"/>
    </row>
    <row r="666" ht="15.75" customHeight="1">
      <c r="J666" s="33" t="n"/>
    </row>
    <row r="667" ht="15.75" customHeight="1">
      <c r="J667" s="33" t="n"/>
    </row>
    <row r="668" ht="15.75" customHeight="1">
      <c r="J668" s="33" t="n"/>
    </row>
    <row r="669" ht="15.75" customHeight="1">
      <c r="J669" s="33" t="n"/>
    </row>
    <row r="670" ht="15.75" customHeight="1">
      <c r="J670" s="33" t="n"/>
    </row>
    <row r="671" ht="15.75" customHeight="1">
      <c r="J671" s="33" t="n"/>
    </row>
    <row r="672" ht="15.75" customHeight="1">
      <c r="J672" s="33" t="n"/>
    </row>
    <row r="673" ht="15.75" customHeight="1">
      <c r="J673" s="33" t="n"/>
    </row>
    <row r="674" ht="15.75" customHeight="1">
      <c r="J674" s="33" t="n"/>
    </row>
    <row r="675" ht="15.75" customHeight="1">
      <c r="J675" s="33" t="n"/>
    </row>
    <row r="676" ht="15.75" customHeight="1">
      <c r="J676" s="33" t="n"/>
    </row>
    <row r="677" ht="15.75" customHeight="1">
      <c r="J677" s="33" t="n"/>
    </row>
    <row r="678" ht="15.75" customHeight="1">
      <c r="J678" s="33" t="n"/>
    </row>
    <row r="679" ht="15.75" customHeight="1">
      <c r="J679" s="33" t="n"/>
    </row>
    <row r="680" ht="15.75" customHeight="1">
      <c r="J680" s="33" t="n"/>
    </row>
    <row r="681" ht="15.75" customHeight="1">
      <c r="J681" s="33" t="n"/>
    </row>
    <row r="682" ht="15.75" customHeight="1">
      <c r="J682" s="33" t="n"/>
    </row>
    <row r="683" ht="15.75" customHeight="1">
      <c r="J683" s="33" t="n"/>
    </row>
    <row r="684" ht="15.75" customHeight="1">
      <c r="J684" s="33" t="n"/>
    </row>
    <row r="685" ht="15.75" customHeight="1">
      <c r="J685" s="33" t="n"/>
    </row>
    <row r="686" ht="15.75" customHeight="1">
      <c r="J686" s="33" t="n"/>
    </row>
    <row r="687" ht="15.75" customHeight="1">
      <c r="J687" s="33" t="n"/>
    </row>
    <row r="688" ht="15.75" customHeight="1">
      <c r="J688" s="33" t="n"/>
    </row>
    <row r="689" ht="15.75" customHeight="1">
      <c r="J689" s="33" t="n"/>
    </row>
    <row r="690" ht="15.75" customHeight="1">
      <c r="J690" s="33" t="n"/>
    </row>
    <row r="691" ht="15.75" customHeight="1">
      <c r="J691" s="33" t="n"/>
    </row>
    <row r="692" ht="15.75" customHeight="1">
      <c r="J692" s="33" t="n"/>
    </row>
    <row r="693" ht="15.75" customHeight="1">
      <c r="J693" s="33" t="n"/>
    </row>
    <row r="694" ht="15.75" customHeight="1">
      <c r="J694" s="33" t="n"/>
    </row>
    <row r="695" ht="15.75" customHeight="1">
      <c r="J695" s="33" t="n"/>
    </row>
    <row r="696" ht="15.75" customHeight="1">
      <c r="J696" s="33" t="n"/>
    </row>
    <row r="697" ht="15.75" customHeight="1">
      <c r="J697" s="33" t="n"/>
    </row>
    <row r="698" ht="15.75" customHeight="1">
      <c r="J698" s="33" t="n"/>
    </row>
    <row r="699" ht="15.75" customHeight="1">
      <c r="J699" s="33" t="n"/>
    </row>
    <row r="700" ht="15.75" customHeight="1">
      <c r="J700" s="33" t="n"/>
    </row>
    <row r="701" ht="15.75" customHeight="1">
      <c r="J701" s="33" t="n"/>
    </row>
    <row r="702" ht="15.75" customHeight="1">
      <c r="J702" s="33" t="n"/>
    </row>
    <row r="703" ht="15.75" customHeight="1">
      <c r="J703" s="33" t="n"/>
    </row>
    <row r="704" ht="15.75" customHeight="1">
      <c r="J704" s="33" t="n"/>
    </row>
    <row r="705" ht="15.75" customHeight="1">
      <c r="J705" s="33" t="n"/>
    </row>
    <row r="706" ht="15.75" customHeight="1">
      <c r="J706" s="33" t="n"/>
    </row>
    <row r="707" ht="15.75" customHeight="1">
      <c r="J707" s="33" t="n"/>
    </row>
    <row r="708" ht="15.75" customHeight="1">
      <c r="J708" s="33" t="n"/>
    </row>
    <row r="709" ht="15.75" customHeight="1">
      <c r="J709" s="33" t="n"/>
    </row>
    <row r="710" ht="15.75" customHeight="1">
      <c r="J710" s="33" t="n"/>
    </row>
    <row r="711" ht="15.75" customHeight="1">
      <c r="J711" s="33" t="n"/>
    </row>
    <row r="712" ht="15.75" customHeight="1">
      <c r="J712" s="33" t="n"/>
    </row>
    <row r="713" ht="15.75" customHeight="1">
      <c r="J713" s="33" t="n"/>
    </row>
    <row r="714" ht="15.75" customHeight="1">
      <c r="J714" s="33" t="n"/>
    </row>
    <row r="715" ht="15.75" customHeight="1">
      <c r="J715" s="33" t="n"/>
    </row>
    <row r="716" ht="15.75" customHeight="1">
      <c r="J716" s="33" t="n"/>
    </row>
    <row r="717" ht="15.75" customHeight="1">
      <c r="J717" s="33" t="n"/>
    </row>
    <row r="718" ht="15.75" customHeight="1">
      <c r="J718" s="33" t="n"/>
    </row>
    <row r="719" ht="15.75" customHeight="1">
      <c r="J719" s="33" t="n"/>
    </row>
    <row r="720" ht="15.75" customHeight="1">
      <c r="J720" s="33" t="n"/>
    </row>
    <row r="721" ht="15.75" customHeight="1">
      <c r="J721" s="33" t="n"/>
    </row>
    <row r="722" ht="15.75" customHeight="1">
      <c r="J722" s="33" t="n"/>
    </row>
    <row r="723" ht="15.75" customHeight="1">
      <c r="J723" s="33" t="n"/>
    </row>
    <row r="724" ht="15.75" customHeight="1">
      <c r="J724" s="33" t="n"/>
    </row>
    <row r="725" ht="15.75" customHeight="1">
      <c r="J725" s="33" t="n"/>
    </row>
    <row r="726" ht="15.75" customHeight="1">
      <c r="J726" s="33" t="n"/>
    </row>
    <row r="727" ht="15.75" customHeight="1">
      <c r="J727" s="33" t="n"/>
    </row>
    <row r="728" ht="15.75" customHeight="1">
      <c r="J728" s="33" t="n"/>
    </row>
    <row r="729" ht="15.75" customHeight="1">
      <c r="J729" s="33" t="n"/>
    </row>
    <row r="730" ht="15.75" customHeight="1">
      <c r="J730" s="33" t="n"/>
    </row>
    <row r="731" ht="15.75" customHeight="1">
      <c r="J731" s="33" t="n"/>
    </row>
    <row r="732" ht="15.75" customHeight="1">
      <c r="J732" s="33" t="n"/>
    </row>
    <row r="733" ht="15.75" customHeight="1">
      <c r="J733" s="33" t="n"/>
    </row>
    <row r="734" ht="15.75" customHeight="1">
      <c r="J734" s="33" t="n"/>
    </row>
    <row r="735" ht="15.75" customHeight="1">
      <c r="J735" s="33" t="n"/>
    </row>
    <row r="736" ht="15.75" customHeight="1">
      <c r="J736" s="33" t="n"/>
    </row>
    <row r="737" ht="15.75" customHeight="1">
      <c r="J737" s="33" t="n"/>
    </row>
    <row r="738" ht="15.75" customHeight="1">
      <c r="J738" s="33" t="n"/>
    </row>
    <row r="739" ht="15.75" customHeight="1">
      <c r="J739" s="33" t="n"/>
    </row>
    <row r="740" ht="15.75" customHeight="1">
      <c r="J740" s="33" t="n"/>
    </row>
    <row r="741" ht="15.75" customHeight="1">
      <c r="J741" s="33" t="n"/>
    </row>
    <row r="742" ht="15.75" customHeight="1">
      <c r="J742" s="33" t="n"/>
    </row>
    <row r="743" ht="15.75" customHeight="1">
      <c r="J743" s="33" t="n"/>
    </row>
    <row r="744" ht="15.75" customHeight="1">
      <c r="J744" s="33" t="n"/>
    </row>
    <row r="745" ht="15.75" customHeight="1">
      <c r="J745" s="33" t="n"/>
    </row>
    <row r="746" ht="15.75" customHeight="1">
      <c r="J746" s="33" t="n"/>
    </row>
    <row r="747" ht="15.75" customHeight="1">
      <c r="J747" s="33" t="n"/>
    </row>
    <row r="748" ht="15.75" customHeight="1">
      <c r="J748" s="33" t="n"/>
    </row>
    <row r="749" ht="15.75" customHeight="1">
      <c r="J749" s="33" t="n"/>
    </row>
    <row r="750" ht="15.75" customHeight="1">
      <c r="J750" s="33" t="n"/>
    </row>
    <row r="751" ht="15.75" customHeight="1">
      <c r="J751" s="33" t="n"/>
    </row>
    <row r="752" ht="15.75" customHeight="1">
      <c r="J752" s="33" t="n"/>
    </row>
    <row r="753" ht="15.75" customHeight="1">
      <c r="J753" s="33" t="n"/>
    </row>
    <row r="754" ht="15.75" customHeight="1">
      <c r="J754" s="33" t="n"/>
    </row>
    <row r="755" ht="15.75" customHeight="1">
      <c r="J755" s="33" t="n"/>
    </row>
    <row r="756" ht="15.75" customHeight="1">
      <c r="J756" s="33" t="n"/>
    </row>
    <row r="757" ht="15.75" customHeight="1">
      <c r="J757" s="33" t="n"/>
    </row>
    <row r="758" ht="15.75" customHeight="1">
      <c r="J758" s="33" t="n"/>
    </row>
    <row r="759" ht="15.75" customHeight="1">
      <c r="J759" s="33" t="n"/>
    </row>
    <row r="760" ht="15.75" customHeight="1">
      <c r="J760" s="33" t="n"/>
    </row>
    <row r="761" ht="15.75" customHeight="1">
      <c r="J761" s="33" t="n"/>
    </row>
    <row r="762" ht="15.75" customHeight="1">
      <c r="J762" s="33" t="n"/>
    </row>
    <row r="763" ht="15.75" customHeight="1">
      <c r="J763" s="33" t="n"/>
    </row>
    <row r="764" ht="15.75" customHeight="1">
      <c r="J764" s="33" t="n"/>
    </row>
    <row r="765" ht="15.75" customHeight="1">
      <c r="J765" s="33" t="n"/>
    </row>
    <row r="766" ht="15.75" customHeight="1">
      <c r="J766" s="33" t="n"/>
    </row>
    <row r="767" ht="15.75" customHeight="1">
      <c r="J767" s="33" t="n"/>
    </row>
    <row r="768" ht="15.75" customHeight="1">
      <c r="J768" s="33" t="n"/>
    </row>
    <row r="769" ht="15.75" customHeight="1">
      <c r="J769" s="33" t="n"/>
    </row>
    <row r="770" ht="15.75" customHeight="1">
      <c r="J770" s="33" t="n"/>
    </row>
    <row r="771" ht="15.75" customHeight="1">
      <c r="J771" s="33" t="n"/>
    </row>
    <row r="772" ht="15.75" customHeight="1">
      <c r="J772" s="33" t="n"/>
    </row>
    <row r="773" ht="15.75" customHeight="1">
      <c r="J773" s="33" t="n"/>
    </row>
    <row r="774" ht="15.75" customHeight="1">
      <c r="J774" s="33" t="n"/>
    </row>
    <row r="775" ht="15.75" customHeight="1">
      <c r="J775" s="33" t="n"/>
    </row>
    <row r="776" ht="15.75" customHeight="1">
      <c r="J776" s="33" t="n"/>
    </row>
    <row r="777" ht="15.75" customHeight="1">
      <c r="J777" s="33" t="n"/>
    </row>
    <row r="778" ht="15.75" customHeight="1">
      <c r="J778" s="33" t="n"/>
    </row>
    <row r="779" ht="15.75" customHeight="1">
      <c r="J779" s="33" t="n"/>
    </row>
    <row r="780" ht="15.75" customHeight="1">
      <c r="J780" s="33" t="n"/>
    </row>
    <row r="781" ht="15.75" customHeight="1">
      <c r="J781" s="33" t="n"/>
    </row>
    <row r="782" ht="15.75" customHeight="1">
      <c r="J782" s="33" t="n"/>
    </row>
    <row r="783" ht="15.75" customHeight="1">
      <c r="J783" s="33" t="n"/>
    </row>
    <row r="784" ht="15.75" customHeight="1">
      <c r="J784" s="33" t="n"/>
    </row>
    <row r="785" ht="15.75" customHeight="1">
      <c r="J785" s="33" t="n"/>
    </row>
    <row r="786" ht="15.75" customHeight="1">
      <c r="J786" s="33" t="n"/>
    </row>
    <row r="787" ht="15.75" customHeight="1">
      <c r="J787" s="33" t="n"/>
    </row>
    <row r="788" ht="15.75" customHeight="1">
      <c r="J788" s="33" t="n"/>
    </row>
    <row r="789" ht="15.75" customHeight="1">
      <c r="J789" s="33" t="n"/>
    </row>
    <row r="790" ht="15.75" customHeight="1">
      <c r="J790" s="33" t="n"/>
    </row>
    <row r="791" ht="15.75" customHeight="1">
      <c r="J791" s="33" t="n"/>
    </row>
    <row r="792" ht="15.75" customHeight="1">
      <c r="J792" s="33" t="n"/>
    </row>
    <row r="793" ht="15.75" customHeight="1">
      <c r="J793" s="33" t="n"/>
    </row>
    <row r="794" ht="15.75" customHeight="1">
      <c r="J794" s="33" t="n"/>
    </row>
    <row r="795" ht="15.75" customHeight="1">
      <c r="J795" s="33" t="n"/>
    </row>
    <row r="796" ht="15.75" customHeight="1">
      <c r="J796" s="33" t="n"/>
    </row>
    <row r="797" ht="15.75" customHeight="1">
      <c r="J797" s="33" t="n"/>
    </row>
    <row r="798" ht="15.75" customHeight="1">
      <c r="J798" s="33" t="n"/>
    </row>
    <row r="799" ht="15.75" customHeight="1">
      <c r="J799" s="33" t="n"/>
    </row>
    <row r="800" ht="15.75" customHeight="1">
      <c r="J800" s="33" t="n"/>
    </row>
    <row r="801" ht="15.75" customHeight="1">
      <c r="J801" s="33" t="n"/>
    </row>
    <row r="802" ht="15.75" customHeight="1">
      <c r="J802" s="33" t="n"/>
    </row>
    <row r="803" ht="15.75" customHeight="1">
      <c r="J803" s="33" t="n"/>
    </row>
    <row r="804" ht="15.75" customHeight="1">
      <c r="J804" s="33" t="n"/>
    </row>
    <row r="805" ht="15.75" customHeight="1">
      <c r="J805" s="33" t="n"/>
    </row>
    <row r="806" ht="15.75" customHeight="1">
      <c r="J806" s="33" t="n"/>
    </row>
    <row r="807" ht="15.75" customHeight="1">
      <c r="J807" s="33" t="n"/>
    </row>
    <row r="808" ht="15.75" customHeight="1">
      <c r="J808" s="33" t="n"/>
    </row>
    <row r="809" ht="15.75" customHeight="1">
      <c r="J809" s="33" t="n"/>
    </row>
    <row r="810" ht="15.75" customHeight="1">
      <c r="J810" s="33" t="n"/>
    </row>
    <row r="811" ht="15.75" customHeight="1">
      <c r="J811" s="33" t="n"/>
    </row>
    <row r="812" ht="15.75" customHeight="1">
      <c r="J812" s="33" t="n"/>
    </row>
    <row r="813" ht="15.75" customHeight="1">
      <c r="J813" s="33" t="n"/>
    </row>
    <row r="814" ht="15.75" customHeight="1">
      <c r="J814" s="33" t="n"/>
    </row>
    <row r="815" ht="15.75" customHeight="1">
      <c r="J815" s="33" t="n"/>
    </row>
    <row r="816" ht="15.75" customHeight="1">
      <c r="J816" s="33" t="n"/>
    </row>
    <row r="817" ht="15.75" customHeight="1">
      <c r="J817" s="33" t="n"/>
    </row>
    <row r="818" ht="15.75" customHeight="1">
      <c r="J818" s="33" t="n"/>
    </row>
    <row r="819" ht="15.75" customHeight="1">
      <c r="J819" s="33" t="n"/>
    </row>
    <row r="820" ht="15.75" customHeight="1">
      <c r="J820" s="33" t="n"/>
    </row>
    <row r="821" ht="15.75" customHeight="1">
      <c r="J821" s="33" t="n"/>
    </row>
    <row r="822" ht="15.75" customHeight="1">
      <c r="J822" s="33" t="n"/>
    </row>
    <row r="823" ht="15.75" customHeight="1">
      <c r="J823" s="33" t="n"/>
    </row>
    <row r="824" ht="15.75" customHeight="1">
      <c r="J824" s="33" t="n"/>
    </row>
    <row r="825" ht="15.75" customHeight="1">
      <c r="J825" s="33" t="n"/>
    </row>
    <row r="826" ht="15.75" customHeight="1">
      <c r="J826" s="33" t="n"/>
    </row>
    <row r="827" ht="15.75" customHeight="1">
      <c r="J827" s="33" t="n"/>
    </row>
    <row r="828" ht="15.75" customHeight="1">
      <c r="J828" s="33" t="n"/>
    </row>
    <row r="829" ht="15.75" customHeight="1">
      <c r="J829" s="33" t="n"/>
    </row>
    <row r="830" ht="15.75" customHeight="1">
      <c r="J830" s="33" t="n"/>
    </row>
    <row r="831" ht="15.75" customHeight="1">
      <c r="J831" s="33" t="n"/>
    </row>
    <row r="832" ht="15.75" customHeight="1">
      <c r="J832" s="33" t="n"/>
    </row>
    <row r="833" ht="15.75" customHeight="1">
      <c r="J833" s="33" t="n"/>
    </row>
    <row r="834" ht="15.75" customHeight="1">
      <c r="J834" s="33" t="n"/>
    </row>
    <row r="835" ht="15.75" customHeight="1">
      <c r="J835" s="33" t="n"/>
    </row>
    <row r="836" ht="15.75" customHeight="1">
      <c r="J836" s="33" t="n"/>
    </row>
    <row r="837" ht="15.75" customHeight="1">
      <c r="J837" s="33" t="n"/>
    </row>
    <row r="838" ht="15.75" customHeight="1">
      <c r="J838" s="33" t="n"/>
    </row>
    <row r="839" ht="15.75" customHeight="1">
      <c r="J839" s="33" t="n"/>
    </row>
    <row r="840" ht="15.75" customHeight="1">
      <c r="J840" s="33" t="n"/>
    </row>
    <row r="841" ht="15.75" customHeight="1">
      <c r="J841" s="33" t="n"/>
    </row>
    <row r="842" ht="15.75" customHeight="1">
      <c r="J842" s="33" t="n"/>
    </row>
    <row r="843" ht="15.75" customHeight="1">
      <c r="J843" s="33" t="n"/>
    </row>
    <row r="844" ht="15.75" customHeight="1">
      <c r="J844" s="33" t="n"/>
    </row>
    <row r="845" ht="15.75" customHeight="1">
      <c r="J845" s="33" t="n"/>
    </row>
    <row r="846" ht="15.75" customHeight="1">
      <c r="J846" s="33" t="n"/>
    </row>
    <row r="847" ht="15.75" customHeight="1">
      <c r="J847" s="33" t="n"/>
    </row>
    <row r="848" ht="15.75" customHeight="1">
      <c r="J848" s="33" t="n"/>
    </row>
    <row r="849" ht="15.75" customHeight="1">
      <c r="J849" s="33" t="n"/>
    </row>
    <row r="850" ht="15.75" customHeight="1">
      <c r="J850" s="33" t="n"/>
    </row>
    <row r="851" ht="15.75" customHeight="1">
      <c r="J851" s="33" t="n"/>
    </row>
    <row r="852" ht="15.75" customHeight="1">
      <c r="J852" s="33" t="n"/>
    </row>
    <row r="853" ht="15.75" customHeight="1">
      <c r="J853" s="33" t="n"/>
    </row>
    <row r="854" ht="15.75" customHeight="1">
      <c r="J854" s="33" t="n"/>
    </row>
    <row r="855" ht="15.75" customHeight="1">
      <c r="J855" s="33" t="n"/>
    </row>
    <row r="856" ht="15.75" customHeight="1">
      <c r="J856" s="33" t="n"/>
    </row>
    <row r="857" ht="15.75" customHeight="1">
      <c r="J857" s="33" t="n"/>
    </row>
    <row r="858" ht="15.75" customHeight="1">
      <c r="J858" s="33" t="n"/>
    </row>
    <row r="859" ht="15.75" customHeight="1">
      <c r="J859" s="33" t="n"/>
    </row>
    <row r="860" ht="15.75" customHeight="1">
      <c r="J860" s="33" t="n"/>
    </row>
    <row r="861" ht="15.75" customHeight="1">
      <c r="J861" s="33" t="n"/>
    </row>
    <row r="862" ht="15.75" customHeight="1">
      <c r="J862" s="33" t="n"/>
    </row>
    <row r="863" ht="15.75" customHeight="1">
      <c r="J863" s="33" t="n"/>
    </row>
    <row r="864" ht="15.75" customHeight="1">
      <c r="J864" s="33" t="n"/>
    </row>
    <row r="865" ht="15.75" customHeight="1">
      <c r="J865" s="33" t="n"/>
    </row>
    <row r="866" ht="15.75" customHeight="1">
      <c r="J866" s="33" t="n"/>
    </row>
    <row r="867" ht="15.75" customHeight="1">
      <c r="J867" s="33" t="n"/>
    </row>
    <row r="868" ht="15.75" customHeight="1">
      <c r="J868" s="33" t="n"/>
    </row>
    <row r="869" ht="15.75" customHeight="1">
      <c r="J869" s="33" t="n"/>
    </row>
    <row r="870" ht="15.75" customHeight="1">
      <c r="J870" s="33" t="n"/>
    </row>
    <row r="871" ht="15.75" customHeight="1">
      <c r="J871" s="33" t="n"/>
    </row>
    <row r="872" ht="15.75" customHeight="1">
      <c r="J872" s="33" t="n"/>
    </row>
    <row r="873" ht="15.75" customHeight="1">
      <c r="J873" s="33" t="n"/>
    </row>
    <row r="874" ht="15.75" customHeight="1">
      <c r="J874" s="33" t="n"/>
    </row>
    <row r="875" ht="15.75" customHeight="1">
      <c r="J875" s="33" t="n"/>
    </row>
    <row r="876" ht="15.75" customHeight="1">
      <c r="J876" s="33" t="n"/>
    </row>
    <row r="877" ht="15.75" customHeight="1">
      <c r="J877" s="33" t="n"/>
    </row>
    <row r="878" ht="15.75" customHeight="1">
      <c r="J878" s="33" t="n"/>
    </row>
    <row r="879" ht="15.75" customHeight="1">
      <c r="J879" s="33" t="n"/>
    </row>
    <row r="880" ht="15.75" customHeight="1">
      <c r="J880" s="33" t="n"/>
    </row>
    <row r="881" ht="15.75" customHeight="1">
      <c r="J881" s="33" t="n"/>
    </row>
    <row r="882" ht="15.75" customHeight="1">
      <c r="J882" s="33" t="n"/>
    </row>
    <row r="883" ht="15.75" customHeight="1">
      <c r="J883" s="33" t="n"/>
    </row>
    <row r="884" ht="15.75" customHeight="1">
      <c r="J884" s="33" t="n"/>
    </row>
    <row r="885" ht="15.75" customHeight="1">
      <c r="J885" s="33" t="n"/>
    </row>
    <row r="886" ht="15.75" customHeight="1">
      <c r="J886" s="33" t="n"/>
    </row>
    <row r="887" ht="15.75" customHeight="1">
      <c r="J887" s="33" t="n"/>
    </row>
    <row r="888" ht="15.75" customHeight="1">
      <c r="J888" s="33" t="n"/>
    </row>
    <row r="889" ht="15.75" customHeight="1">
      <c r="J889" s="33" t="n"/>
    </row>
    <row r="890" ht="15.75" customHeight="1">
      <c r="J890" s="33" t="n"/>
    </row>
    <row r="891" ht="15.75" customHeight="1">
      <c r="J891" s="33" t="n"/>
    </row>
    <row r="892" ht="15.75" customHeight="1">
      <c r="J892" s="33" t="n"/>
    </row>
    <row r="893" ht="15.75" customHeight="1">
      <c r="J893" s="33" t="n"/>
    </row>
    <row r="894" ht="15.75" customHeight="1">
      <c r="J894" s="33" t="n"/>
    </row>
    <row r="895" ht="15.75" customHeight="1">
      <c r="J895" s="33" t="n"/>
    </row>
    <row r="896" ht="15.75" customHeight="1">
      <c r="J896" s="33" t="n"/>
    </row>
    <row r="897" ht="15.75" customHeight="1">
      <c r="J897" s="33" t="n"/>
    </row>
    <row r="898" ht="15.75" customHeight="1">
      <c r="J898" s="33" t="n"/>
    </row>
    <row r="899" ht="15.75" customHeight="1">
      <c r="J899" s="33" t="n"/>
    </row>
    <row r="900" ht="15.75" customHeight="1">
      <c r="J900" s="33" t="n"/>
    </row>
    <row r="901" ht="15.75" customHeight="1">
      <c r="J901" s="33" t="n"/>
    </row>
    <row r="902" ht="15.75" customHeight="1">
      <c r="J902" s="33" t="n"/>
    </row>
    <row r="903" ht="15.75" customHeight="1">
      <c r="J903" s="33" t="n"/>
    </row>
    <row r="904" ht="15.75" customHeight="1">
      <c r="J904" s="33" t="n"/>
    </row>
    <row r="905" ht="15.75" customHeight="1">
      <c r="J905" s="33" t="n"/>
    </row>
    <row r="906" ht="15.75" customHeight="1">
      <c r="J906" s="33" t="n"/>
    </row>
    <row r="907" ht="15.75" customHeight="1">
      <c r="J907" s="33" t="n"/>
    </row>
    <row r="908" ht="15.75" customHeight="1">
      <c r="J908" s="33" t="n"/>
    </row>
    <row r="909" ht="15.75" customHeight="1">
      <c r="J909" s="33" t="n"/>
    </row>
    <row r="910" ht="15.75" customHeight="1">
      <c r="J910" s="33" t="n"/>
    </row>
    <row r="911" ht="15.75" customHeight="1">
      <c r="J911" s="33" t="n"/>
    </row>
    <row r="912" ht="15.75" customHeight="1">
      <c r="J912" s="33" t="n"/>
    </row>
    <row r="913" ht="15.75" customHeight="1">
      <c r="J913" s="33" t="n"/>
    </row>
    <row r="914" ht="15.75" customHeight="1">
      <c r="J914" s="33" t="n"/>
    </row>
    <row r="915" ht="15.75" customHeight="1">
      <c r="J915" s="33" t="n"/>
    </row>
    <row r="916" ht="15.75" customHeight="1">
      <c r="J916" s="33" t="n"/>
    </row>
    <row r="917" ht="15.75" customHeight="1">
      <c r="J917" s="33" t="n"/>
    </row>
    <row r="918" ht="15.75" customHeight="1">
      <c r="J918" s="33" t="n"/>
    </row>
    <row r="919" ht="15.75" customHeight="1">
      <c r="J919" s="33" t="n"/>
    </row>
    <row r="920" ht="15.75" customHeight="1">
      <c r="J920" s="33" t="n"/>
    </row>
    <row r="921" ht="15.75" customHeight="1">
      <c r="J921" s="33" t="n"/>
    </row>
    <row r="922" ht="15.75" customHeight="1">
      <c r="J922" s="33" t="n"/>
    </row>
    <row r="923" ht="15.75" customHeight="1">
      <c r="J923" s="33" t="n"/>
    </row>
    <row r="924" ht="15.75" customHeight="1">
      <c r="J924" s="33" t="n"/>
    </row>
    <row r="925" ht="15.75" customHeight="1">
      <c r="J925" s="33" t="n"/>
    </row>
    <row r="926" ht="15.75" customHeight="1">
      <c r="J926" s="33" t="n"/>
    </row>
    <row r="927" ht="15.75" customHeight="1">
      <c r="J927" s="33" t="n"/>
    </row>
    <row r="928" ht="15.75" customHeight="1">
      <c r="J928" s="33" t="n"/>
    </row>
    <row r="929" ht="15.75" customHeight="1">
      <c r="J929" s="33" t="n"/>
    </row>
    <row r="930" ht="15.75" customHeight="1">
      <c r="J930" s="33" t="n"/>
    </row>
    <row r="931" ht="15.75" customHeight="1">
      <c r="J931" s="33" t="n"/>
    </row>
    <row r="932" ht="15.75" customHeight="1">
      <c r="J932" s="33" t="n"/>
    </row>
    <row r="933" ht="15.75" customHeight="1">
      <c r="J933" s="33" t="n"/>
    </row>
    <row r="934" ht="15.75" customHeight="1">
      <c r="J934" s="33" t="n"/>
    </row>
    <row r="935" ht="15.75" customHeight="1">
      <c r="J935" s="33" t="n"/>
    </row>
    <row r="936" ht="15.75" customHeight="1">
      <c r="J936" s="33" t="n"/>
    </row>
    <row r="937" ht="15.75" customHeight="1">
      <c r="J937" s="33" t="n"/>
    </row>
    <row r="938" ht="15.75" customHeight="1">
      <c r="J938" s="33" t="n"/>
    </row>
    <row r="939" ht="15.75" customHeight="1">
      <c r="J939" s="33" t="n"/>
    </row>
    <row r="940" ht="15.75" customHeight="1">
      <c r="J940" s="33" t="n"/>
    </row>
    <row r="941" ht="15.75" customHeight="1">
      <c r="J941" s="33" t="n"/>
    </row>
    <row r="942" ht="15.75" customHeight="1">
      <c r="J942" s="33" t="n"/>
    </row>
    <row r="943" ht="15.75" customHeight="1">
      <c r="J943" s="33" t="n"/>
    </row>
    <row r="944" ht="15.75" customHeight="1">
      <c r="J944" s="33" t="n"/>
    </row>
    <row r="945" ht="15.75" customHeight="1">
      <c r="J945" s="33" t="n"/>
    </row>
    <row r="946" ht="15.75" customHeight="1">
      <c r="J946" s="33" t="n"/>
    </row>
    <row r="947" ht="15.75" customHeight="1">
      <c r="J947" s="33" t="n"/>
    </row>
    <row r="948" ht="15.75" customHeight="1">
      <c r="J948" s="33" t="n"/>
    </row>
    <row r="949" ht="15.75" customHeight="1">
      <c r="J949" s="33" t="n"/>
    </row>
    <row r="950" ht="15.75" customHeight="1">
      <c r="J950" s="33" t="n"/>
    </row>
    <row r="951" ht="15.75" customHeight="1">
      <c r="J951" s="33" t="n"/>
    </row>
    <row r="952" ht="15.75" customHeight="1">
      <c r="J952" s="33" t="n"/>
    </row>
    <row r="953" ht="15.75" customHeight="1">
      <c r="J953" s="33" t="n"/>
    </row>
    <row r="954" ht="15.75" customHeight="1">
      <c r="J954" s="33" t="n"/>
    </row>
    <row r="955" ht="15.75" customHeight="1">
      <c r="J955" s="33" t="n"/>
    </row>
    <row r="956" ht="15.75" customHeight="1">
      <c r="J956" s="33" t="n"/>
    </row>
    <row r="957" ht="15.75" customHeight="1">
      <c r="J957" s="33" t="n"/>
    </row>
    <row r="958" ht="15.75" customHeight="1">
      <c r="J958" s="33" t="n"/>
    </row>
    <row r="959" ht="15.75" customHeight="1">
      <c r="J959" s="33" t="n"/>
    </row>
    <row r="960" ht="15.75" customHeight="1">
      <c r="J960" s="33" t="n"/>
    </row>
    <row r="961" ht="15.75" customHeight="1">
      <c r="J961" s="33" t="n"/>
    </row>
    <row r="962" ht="15.75" customHeight="1">
      <c r="J962" s="33" t="n"/>
    </row>
    <row r="963" ht="15.75" customHeight="1">
      <c r="J963" s="33" t="n"/>
    </row>
    <row r="964" ht="15.75" customHeight="1">
      <c r="J964" s="33" t="n"/>
    </row>
    <row r="965" ht="15.75" customHeight="1">
      <c r="J965" s="33" t="n"/>
    </row>
    <row r="966" ht="15.75" customHeight="1">
      <c r="J966" s="33" t="n"/>
    </row>
    <row r="967" ht="15.75" customHeight="1">
      <c r="J967" s="33" t="n"/>
    </row>
    <row r="968" ht="15.75" customHeight="1">
      <c r="J968" s="33" t="n"/>
    </row>
    <row r="969" ht="15.75" customHeight="1">
      <c r="J969" s="33" t="n"/>
    </row>
    <row r="970" ht="15.75" customHeight="1">
      <c r="J970" s="33" t="n"/>
    </row>
    <row r="971" ht="15.75" customHeight="1">
      <c r="J971" s="33" t="n"/>
    </row>
    <row r="972" ht="15.75" customHeight="1">
      <c r="J972" s="33" t="n"/>
    </row>
    <row r="973" ht="15.75" customHeight="1">
      <c r="J973" s="33" t="n"/>
    </row>
    <row r="974" ht="15.75" customHeight="1">
      <c r="J974" s="33" t="n"/>
    </row>
    <row r="975" ht="15.75" customHeight="1">
      <c r="J975" s="33" t="n"/>
    </row>
    <row r="976" ht="15.75" customHeight="1">
      <c r="J976" s="33" t="n"/>
    </row>
    <row r="977" ht="15.75" customHeight="1">
      <c r="J977" s="33" t="n"/>
    </row>
    <row r="978" ht="15.75" customHeight="1">
      <c r="J978" s="33" t="n"/>
    </row>
    <row r="979" ht="15.75" customHeight="1">
      <c r="J979" s="33" t="n"/>
    </row>
    <row r="980" ht="15.75" customHeight="1">
      <c r="J980" s="33" t="n"/>
    </row>
    <row r="981" ht="15.75" customHeight="1">
      <c r="J981" s="33" t="n"/>
    </row>
    <row r="982" ht="15.75" customHeight="1">
      <c r="J982" s="33" t="n"/>
    </row>
    <row r="983" ht="15.75" customHeight="1">
      <c r="J983" s="33" t="n"/>
    </row>
    <row r="984" ht="15.75" customHeight="1">
      <c r="J984" s="33" t="n"/>
    </row>
    <row r="985" ht="15.75" customHeight="1">
      <c r="J985" s="33" t="n"/>
    </row>
    <row r="986" ht="15.75" customHeight="1">
      <c r="J986" s="33" t="n"/>
    </row>
    <row r="987" ht="15.75" customHeight="1">
      <c r="J987" s="33" t="n"/>
    </row>
    <row r="988" ht="15.75" customHeight="1">
      <c r="J988" s="33" t="n"/>
    </row>
    <row r="989" ht="15.75" customHeight="1">
      <c r="J989" s="33" t="n"/>
    </row>
    <row r="990" ht="15.75" customHeight="1">
      <c r="J990" s="33" t="n"/>
    </row>
    <row r="991" ht="15.75" customHeight="1">
      <c r="J991" s="33" t="n"/>
    </row>
    <row r="992" ht="15.75" customHeight="1">
      <c r="J992" s="33" t="n"/>
    </row>
    <row r="993" ht="15.75" customHeight="1">
      <c r="J993" s="33" t="n"/>
    </row>
    <row r="994" ht="15.75" customHeight="1">
      <c r="J994" s="33" t="n"/>
    </row>
    <row r="995" ht="15.75" customHeight="1">
      <c r="J995" s="33" t="n"/>
    </row>
    <row r="996" ht="15.75" customHeight="1">
      <c r="J996" s="33" t="n"/>
    </row>
    <row r="997" ht="15.75" customHeight="1">
      <c r="J997" s="33" t="n"/>
    </row>
    <row r="998" ht="15.75" customHeight="1">
      <c r="J998" s="33" t="n"/>
    </row>
    <row r="999" ht="15.75" customHeight="1">
      <c r="J999" s="33" t="n"/>
    </row>
    <row r="1000" ht="15.75" customHeight="1">
      <c r="J1000" s="33" t="n"/>
    </row>
    <row r="1001" ht="15.75" customHeight="1">
      <c r="J1001" s="33" t="n"/>
    </row>
    <row r="1002" ht="15.75" customHeight="1">
      <c r="J1002" s="33" t="n"/>
    </row>
    <row r="1003" ht="15.75" customHeight="1">
      <c r="J1003" s="33" t="n"/>
    </row>
    <row r="1004" ht="15.75" customHeight="1">
      <c r="J1004" s="33" t="n"/>
    </row>
    <row r="1005" ht="15.75" customHeight="1">
      <c r="J1005" s="33" t="n"/>
    </row>
    <row r="1006" ht="15.75" customHeight="1">
      <c r="J1006" s="33" t="n"/>
    </row>
    <row r="1007" ht="15.75" customHeight="1">
      <c r="J1007" s="33" t="n"/>
    </row>
    <row r="1008" ht="15.75" customHeight="1">
      <c r="J1008" s="33" t="n"/>
    </row>
    <row r="1009" ht="15.75" customHeight="1">
      <c r="J1009" s="33" t="n"/>
    </row>
    <row r="1010" ht="15.75" customHeight="1">
      <c r="J1010" s="33" t="n"/>
    </row>
    <row r="1011" ht="15.75" customHeight="1">
      <c r="J1011" s="33" t="n"/>
    </row>
    <row r="1012" ht="15.75" customHeight="1">
      <c r="J1012" s="33" t="n"/>
    </row>
    <row r="1013" ht="15.75" customHeight="1">
      <c r="J1013" s="33" t="n"/>
    </row>
    <row r="1014" ht="15.75" customHeight="1">
      <c r="J1014" s="33" t="n"/>
    </row>
    <row r="1015" ht="15.75" customHeight="1">
      <c r="J1015" s="33" t="n"/>
    </row>
    <row r="1016" ht="15.75" customHeight="1">
      <c r="J1016" s="33" t="n"/>
    </row>
    <row r="1017" ht="15.75" customHeight="1">
      <c r="J1017" s="33" t="n"/>
    </row>
    <row r="1018" ht="15.75" customHeight="1">
      <c r="J1018" s="33" t="n"/>
    </row>
    <row r="1019" ht="15.75" customHeight="1">
      <c r="J1019" s="33" t="n"/>
    </row>
    <row r="1020" ht="15.75" customHeight="1">
      <c r="J1020" s="33" t="n"/>
    </row>
    <row r="1021" ht="15.75" customHeight="1">
      <c r="J1021" s="33" t="n"/>
    </row>
    <row r="1022" ht="15.75" customHeight="1">
      <c r="J1022" s="33" t="n"/>
    </row>
    <row r="1023" ht="15.75" customHeight="1">
      <c r="J1023" s="33" t="n"/>
    </row>
    <row r="1024" ht="15.75" customHeight="1">
      <c r="J1024" s="33" t="n"/>
    </row>
    <row r="1025" ht="15.75" customHeight="1">
      <c r="J1025" s="33" t="n"/>
    </row>
    <row r="1026" ht="15.75" customHeight="1">
      <c r="J1026" s="33" t="n"/>
    </row>
    <row r="1027" ht="15.75" customHeight="1">
      <c r="J1027" s="33" t="n"/>
    </row>
    <row r="1028" ht="15.75" customHeight="1">
      <c r="J1028" s="33" t="n"/>
    </row>
    <row r="1029" ht="15.75" customHeight="1">
      <c r="J1029" s="33" t="n"/>
    </row>
    <row r="1030" ht="15.75" customHeight="1">
      <c r="J1030" s="33" t="n"/>
    </row>
    <row r="1031" ht="15.75" customHeight="1">
      <c r="J1031" s="33" t="n"/>
    </row>
    <row r="1032" ht="15.75" customHeight="1">
      <c r="J1032" s="33" t="n"/>
    </row>
    <row r="1033" ht="15.75" customHeight="1">
      <c r="J1033" s="33" t="n"/>
    </row>
    <row r="1034" ht="15.75" customHeight="1">
      <c r="J1034" s="33" t="n"/>
    </row>
    <row r="1035" ht="15.75" customHeight="1">
      <c r="J1035" s="33" t="n"/>
    </row>
    <row r="1036" ht="15.75" customHeight="1">
      <c r="J1036" s="33" t="n"/>
    </row>
    <row r="1037" ht="15.75" customHeight="1">
      <c r="J1037" s="33" t="n"/>
    </row>
    <row r="1038" ht="15.75" customHeight="1">
      <c r="J1038" s="33" t="n"/>
    </row>
    <row r="1039" ht="15.75" customHeight="1">
      <c r="J1039" s="33" t="n"/>
    </row>
    <row r="1040" ht="15.75" customHeight="1">
      <c r="J1040" s="33" t="n"/>
    </row>
    <row r="1041" ht="15.75" customHeight="1">
      <c r="J1041" s="33" t="n"/>
    </row>
    <row r="1042" ht="15.75" customHeight="1">
      <c r="J1042" s="33" t="n"/>
    </row>
    <row r="1043" ht="15.75" customHeight="1">
      <c r="J1043" s="33" t="n"/>
    </row>
    <row r="1044" ht="15.75" customHeight="1">
      <c r="J1044" s="33" t="n"/>
    </row>
    <row r="1045" ht="15.75" customHeight="1">
      <c r="J1045" s="33" t="n"/>
    </row>
    <row r="1046" ht="15.75" customHeight="1">
      <c r="J1046" s="33" t="n"/>
    </row>
    <row r="1047" ht="15.75" customHeight="1">
      <c r="J1047" s="33" t="n"/>
    </row>
    <row r="1048" ht="15.75" customHeight="1">
      <c r="J1048" s="33" t="n"/>
    </row>
    <row r="1049" ht="15.75" customHeight="1">
      <c r="J1049" s="33" t="n"/>
    </row>
    <row r="1050" ht="15.75" customHeight="1">
      <c r="J1050" s="33" t="n"/>
    </row>
    <row r="1051" ht="15.75" customHeight="1">
      <c r="J1051" s="33" t="n"/>
    </row>
    <row r="1052" ht="15.75" customHeight="1">
      <c r="J1052" s="33" t="n"/>
    </row>
    <row r="1053" ht="15.75" customHeight="1">
      <c r="J1053" s="33" t="n"/>
    </row>
    <row r="1054" ht="15.75" customHeight="1">
      <c r="J1054" s="33" t="n"/>
    </row>
    <row r="1055" ht="15.75" customHeight="1">
      <c r="J1055" s="33" t="n"/>
    </row>
    <row r="1056" ht="15.75" customHeight="1">
      <c r="J1056" s="33" t="n"/>
    </row>
    <row r="1057" ht="15.75" customHeight="1">
      <c r="J1057" s="33" t="n"/>
    </row>
    <row r="1058" ht="15.75" customHeight="1">
      <c r="J1058" s="33" t="n"/>
    </row>
    <row r="1059" ht="15.75" customHeight="1">
      <c r="J1059" s="33" t="n"/>
    </row>
    <row r="1060" ht="15.75" customHeight="1">
      <c r="J1060" s="33" t="n"/>
    </row>
    <row r="1061" ht="15.75" customHeight="1">
      <c r="J1061" s="33" t="n"/>
    </row>
    <row r="1062" ht="15.75" customHeight="1">
      <c r="J1062" s="33" t="n"/>
    </row>
    <row r="1063" ht="15.75" customHeight="1">
      <c r="J1063" s="33" t="n"/>
    </row>
    <row r="1064" ht="15.75" customHeight="1">
      <c r="J1064" s="33" t="n"/>
    </row>
    <row r="1065" ht="15.75" customHeight="1">
      <c r="J1065" s="33" t="n"/>
    </row>
    <row r="1066" ht="15.75" customHeight="1">
      <c r="J1066" s="33" t="n"/>
    </row>
    <row r="1067" ht="15.75" customHeight="1">
      <c r="J1067" s="33" t="n"/>
    </row>
    <row r="1068" ht="15.75" customHeight="1">
      <c r="J1068" s="33" t="n"/>
    </row>
    <row r="1069" ht="15.75" customHeight="1">
      <c r="J1069" s="33" t="n"/>
    </row>
    <row r="1070" ht="15.75" customHeight="1">
      <c r="J1070" s="33" t="n"/>
    </row>
    <row r="1071" ht="15.75" customHeight="1">
      <c r="J1071" s="33" t="n"/>
    </row>
    <row r="1072" ht="15.75" customHeight="1">
      <c r="J1072" s="33" t="n"/>
    </row>
    <row r="1073" ht="15.75" customHeight="1">
      <c r="J1073" s="33" t="n"/>
    </row>
    <row r="1074" ht="15.75" customHeight="1">
      <c r="J1074" s="33" t="n"/>
    </row>
    <row r="1075" ht="15.75" customHeight="1">
      <c r="J1075" s="33" t="n"/>
    </row>
    <row r="1076" ht="15.75" customHeight="1">
      <c r="J1076" s="33" t="n"/>
    </row>
    <row r="1077" ht="15.75" customHeight="1">
      <c r="J1077" s="33" t="n"/>
    </row>
    <row r="1078" ht="15.75" customHeight="1">
      <c r="J1078" s="33" t="n"/>
    </row>
    <row r="1079" ht="15.75" customHeight="1">
      <c r="J1079" s="33" t="n"/>
    </row>
    <row r="1080" ht="15.75" customHeight="1">
      <c r="J1080" s="33" t="n"/>
    </row>
    <row r="1081" ht="15.75" customHeight="1">
      <c r="J1081" s="33" t="n"/>
    </row>
    <row r="1082" ht="15.75" customHeight="1">
      <c r="J1082" s="33" t="n"/>
    </row>
    <row r="1083" ht="15.75" customHeight="1">
      <c r="J1083" s="33" t="n"/>
    </row>
    <row r="1084" ht="15.75" customHeight="1">
      <c r="J1084" s="33" t="n"/>
    </row>
    <row r="1085" ht="15.75" customHeight="1">
      <c r="J1085" s="33" t="n"/>
    </row>
    <row r="1086" ht="15.75" customHeight="1">
      <c r="J1086" s="33" t="n"/>
    </row>
    <row r="1087" ht="15.75" customHeight="1">
      <c r="J1087" s="33" t="n"/>
    </row>
    <row r="1088" ht="15.75" customHeight="1">
      <c r="J1088" s="33" t="n"/>
    </row>
    <row r="1089" ht="15.75" customHeight="1">
      <c r="J1089" s="33" t="n"/>
    </row>
    <row r="1090" ht="15.75" customHeight="1">
      <c r="J1090" s="33" t="n"/>
    </row>
    <row r="1091" ht="15.75" customHeight="1">
      <c r="J1091" s="33" t="n"/>
    </row>
    <row r="1092" ht="15.75" customHeight="1">
      <c r="J1092" s="33" t="n"/>
    </row>
    <row r="1093" ht="15.75" customHeight="1">
      <c r="J1093" s="33" t="n"/>
    </row>
    <row r="1094" ht="15.75" customHeight="1">
      <c r="J1094" s="33" t="n"/>
    </row>
    <row r="1095" ht="15.75" customHeight="1">
      <c r="J1095" s="33" t="n"/>
    </row>
    <row r="1096" ht="15.75" customHeight="1">
      <c r="J1096" s="33" t="n"/>
    </row>
    <row r="1097" ht="15.75" customHeight="1">
      <c r="J1097" s="33" t="n"/>
    </row>
    <row r="1098" ht="15.75" customHeight="1">
      <c r="J1098" s="33" t="n"/>
    </row>
    <row r="1099" ht="15.75" customHeight="1">
      <c r="J1099" s="33" t="n"/>
    </row>
    <row r="1100" ht="15.75" customHeight="1">
      <c r="J1100" s="33" t="n"/>
    </row>
    <row r="1101" ht="15.75" customHeight="1">
      <c r="J1101" s="33" t="n"/>
    </row>
    <row r="1102" ht="15.75" customHeight="1">
      <c r="J1102" s="33" t="n"/>
    </row>
    <row r="1103" ht="15.75" customHeight="1">
      <c r="J1103" s="33" t="n"/>
    </row>
    <row r="1104" ht="15.75" customHeight="1">
      <c r="J1104" s="33" t="n"/>
    </row>
    <row r="1105" ht="15.75" customHeight="1">
      <c r="J1105" s="33" t="n"/>
    </row>
    <row r="1106" ht="15.75" customHeight="1">
      <c r="J1106" s="33" t="n"/>
    </row>
    <row r="1107" ht="15.75" customHeight="1">
      <c r="J1107" s="33" t="n"/>
    </row>
    <row r="1108" ht="15.75" customHeight="1">
      <c r="J1108" s="33" t="n"/>
    </row>
    <row r="1109" ht="15.75" customHeight="1">
      <c r="J1109" s="33" t="n"/>
    </row>
    <row r="1110" ht="15.75" customHeight="1">
      <c r="J1110" s="33" t="n"/>
    </row>
    <row r="1111" ht="15.75" customHeight="1">
      <c r="J1111" s="33" t="n"/>
    </row>
    <row r="1112" ht="15.75" customHeight="1">
      <c r="J1112" s="33" t="n"/>
    </row>
    <row r="1113" ht="15.75" customHeight="1">
      <c r="J1113" s="33" t="n"/>
    </row>
    <row r="1114" ht="15.75" customHeight="1">
      <c r="J1114" s="33" t="n"/>
    </row>
    <row r="1115" ht="15.75" customHeight="1">
      <c r="J1115" s="33" t="n"/>
    </row>
    <row r="1116" ht="15.75" customHeight="1">
      <c r="J1116" s="33" t="n"/>
    </row>
    <row r="1117" ht="15.75" customHeight="1">
      <c r="J1117" s="33" t="n"/>
    </row>
    <row r="1118" ht="15.75" customHeight="1">
      <c r="J1118" s="33" t="n"/>
    </row>
    <row r="1119" ht="15.75" customHeight="1">
      <c r="J1119" s="33" t="n"/>
    </row>
    <row r="1120" ht="15.75" customHeight="1">
      <c r="J1120" s="33" t="n"/>
    </row>
    <row r="1121" ht="15.75" customHeight="1">
      <c r="J1121" s="33" t="n"/>
    </row>
    <row r="1122" ht="15.75" customHeight="1">
      <c r="J1122" s="33" t="n"/>
    </row>
    <row r="1123" ht="15.75" customHeight="1">
      <c r="J1123" s="33" t="n"/>
    </row>
    <row r="1124" ht="15.75" customHeight="1">
      <c r="J1124" s="33" t="n"/>
    </row>
    <row r="1125" ht="15.75" customHeight="1">
      <c r="J1125" s="33" t="n"/>
    </row>
    <row r="1126" ht="15.75" customHeight="1">
      <c r="J1126" s="33" t="n"/>
    </row>
    <row r="1127" ht="15.75" customHeight="1">
      <c r="J1127" s="33" t="n"/>
    </row>
    <row r="1128" ht="15.75" customHeight="1">
      <c r="J1128" s="33" t="n"/>
    </row>
    <row r="1129" ht="15.75" customHeight="1">
      <c r="J1129" s="33" t="n"/>
    </row>
    <row r="1130" ht="15.75" customHeight="1">
      <c r="J1130" s="33" t="n"/>
    </row>
    <row r="1131" ht="15.75" customHeight="1">
      <c r="J1131" s="33" t="n"/>
    </row>
    <row r="1132" ht="15.75" customHeight="1">
      <c r="J1132" s="33" t="n"/>
    </row>
    <row r="1133" ht="15.75" customHeight="1">
      <c r="J1133" s="33" t="n"/>
    </row>
    <row r="1134" ht="15.75" customHeight="1">
      <c r="J1134" s="33" t="n"/>
    </row>
    <row r="1135" ht="15.75" customHeight="1">
      <c r="J1135" s="33" t="n"/>
    </row>
    <row r="1136" ht="15.75" customHeight="1">
      <c r="J1136" s="33" t="n"/>
    </row>
    <row r="1137" ht="15.75" customHeight="1">
      <c r="J1137" s="33" t="n"/>
    </row>
    <row r="1138" ht="15.75" customHeight="1">
      <c r="J1138" s="33" t="n"/>
    </row>
    <row r="1139" ht="15.75" customHeight="1">
      <c r="J1139" s="33" t="n"/>
    </row>
    <row r="1140" ht="15.75" customHeight="1">
      <c r="J1140" s="33" t="n"/>
    </row>
    <row r="1141" ht="15.75" customHeight="1">
      <c r="J1141" s="33" t="n"/>
    </row>
    <row r="1142" ht="15.75" customHeight="1">
      <c r="J1142" s="33" t="n"/>
    </row>
    <row r="1143" ht="15.75" customHeight="1">
      <c r="J1143" s="33" t="n"/>
    </row>
    <row r="1144" ht="15.75" customHeight="1">
      <c r="J1144" s="33" t="n"/>
    </row>
    <row r="1145" ht="15.75" customHeight="1">
      <c r="J1145" s="33" t="n"/>
    </row>
    <row r="1146" ht="15.75" customHeight="1">
      <c r="J1146" s="33" t="n"/>
    </row>
    <row r="1147" ht="15.75" customHeight="1">
      <c r="J1147" s="33" t="n"/>
    </row>
    <row r="1148" ht="15.75" customHeight="1">
      <c r="J1148" s="33" t="n"/>
    </row>
    <row r="1149" ht="15.75" customHeight="1">
      <c r="J1149" s="33" t="n"/>
    </row>
    <row r="1150" ht="15.75" customHeight="1">
      <c r="J1150" s="33" t="n"/>
    </row>
    <row r="1151" ht="15.75" customHeight="1">
      <c r="J1151" s="33" t="n"/>
    </row>
    <row r="1152" ht="15.75" customHeight="1">
      <c r="J1152" s="33" t="n"/>
    </row>
    <row r="1153" ht="15.75" customHeight="1">
      <c r="J1153" s="33" t="n"/>
    </row>
    <row r="1154" ht="15.75" customHeight="1">
      <c r="J1154" s="33" t="n"/>
    </row>
    <row r="1155" ht="15.75" customHeight="1">
      <c r="J1155" s="33" t="n"/>
    </row>
    <row r="1156" ht="15.75" customHeight="1">
      <c r="J1156" s="33" t="n"/>
    </row>
    <row r="1157" ht="15.75" customHeight="1">
      <c r="J1157" s="33" t="n"/>
    </row>
    <row r="1158" ht="15.75" customHeight="1">
      <c r="J1158" s="33" t="n"/>
    </row>
    <row r="1159" ht="15.75" customHeight="1">
      <c r="J1159" s="33" t="n"/>
    </row>
    <row r="1160" ht="15.75" customHeight="1">
      <c r="J1160" s="33" t="n"/>
    </row>
    <row r="1161" ht="15.75" customHeight="1">
      <c r="J1161" s="33" t="n"/>
    </row>
    <row r="1162" ht="15.75" customHeight="1">
      <c r="J1162" s="33" t="n"/>
    </row>
    <row r="1163" ht="15.75" customHeight="1">
      <c r="J1163" s="33" t="n"/>
    </row>
    <row r="1164" ht="15.75" customHeight="1">
      <c r="J1164" s="33" t="n"/>
    </row>
    <row r="1165" ht="15.75" customHeight="1">
      <c r="J1165" s="33" t="n"/>
    </row>
    <row r="1166" ht="15.75" customHeight="1">
      <c r="J1166" s="33" t="n"/>
    </row>
    <row r="1167" ht="15.75" customHeight="1">
      <c r="J1167" s="33" t="n"/>
    </row>
    <row r="1168" ht="15.75" customHeight="1">
      <c r="J1168" s="33" t="n"/>
    </row>
    <row r="1169" ht="15.75" customHeight="1">
      <c r="J1169" s="33" t="n"/>
    </row>
    <row r="1170" ht="15.75" customHeight="1">
      <c r="J1170" s="33" t="n"/>
    </row>
    <row r="1171" ht="15.75" customHeight="1">
      <c r="J1171" s="33" t="n"/>
    </row>
    <row r="1172" ht="15.75" customHeight="1">
      <c r="J1172" s="33" t="n"/>
    </row>
    <row r="1173" ht="15.75" customHeight="1">
      <c r="J1173" s="33" t="n"/>
    </row>
    <row r="1174" ht="15.75" customHeight="1">
      <c r="J1174" s="33" t="n"/>
    </row>
    <row r="1175" ht="15.75" customHeight="1">
      <c r="J1175" s="33" t="n"/>
    </row>
    <row r="1176" ht="15.75" customHeight="1">
      <c r="J1176" s="33" t="n"/>
    </row>
    <row r="1177" ht="15.75" customHeight="1">
      <c r="J1177" s="33" t="n"/>
    </row>
    <row r="1178" ht="15.75" customHeight="1">
      <c r="J1178" s="33" t="n"/>
    </row>
    <row r="1179" ht="15.75" customHeight="1">
      <c r="J1179" s="33" t="n"/>
    </row>
    <row r="1180" ht="15.75" customHeight="1">
      <c r="J1180" s="33" t="n"/>
    </row>
    <row r="1181" ht="15.75" customHeight="1">
      <c r="J1181" s="33" t="n"/>
    </row>
    <row r="1182" ht="15.75" customHeight="1">
      <c r="J1182" s="33" t="n"/>
    </row>
    <row r="1183" ht="15.75" customHeight="1">
      <c r="J1183" s="33" t="n"/>
    </row>
    <row r="1184" ht="15.75" customHeight="1">
      <c r="J1184" s="33" t="n"/>
    </row>
    <row r="1185" ht="15.75" customHeight="1">
      <c r="J1185" s="33" t="n"/>
    </row>
    <row r="1186" ht="15.75" customHeight="1">
      <c r="J1186" s="33" t="n"/>
    </row>
    <row r="1187" ht="15.75" customHeight="1">
      <c r="J1187" s="33" t="n"/>
    </row>
    <row r="1188" ht="15.75" customHeight="1">
      <c r="J1188" s="33" t="n"/>
    </row>
    <row r="1189" ht="15.75" customHeight="1">
      <c r="J1189" s="33" t="n"/>
    </row>
    <row r="1190" ht="15.75" customHeight="1">
      <c r="J1190" s="33" t="n"/>
    </row>
    <row r="1191" ht="15.75" customHeight="1">
      <c r="J1191" s="33" t="n"/>
    </row>
    <row r="1192" ht="15.75" customHeight="1">
      <c r="J1192" s="33" t="n"/>
    </row>
    <row r="1193" ht="15.75" customHeight="1">
      <c r="J1193" s="33" t="n"/>
    </row>
    <row r="1194" ht="15.75" customHeight="1">
      <c r="J1194" s="33" t="n"/>
    </row>
    <row r="1195" ht="15.75" customHeight="1">
      <c r="J1195" s="33" t="n"/>
    </row>
    <row r="1196" ht="15.75" customHeight="1">
      <c r="J1196" s="33" t="n"/>
    </row>
    <row r="1197" ht="15.75" customHeight="1">
      <c r="J1197" s="33" t="n"/>
    </row>
    <row r="1198" ht="15.75" customHeight="1">
      <c r="J1198" s="33" t="n"/>
    </row>
    <row r="1199" ht="15.75" customHeight="1">
      <c r="J1199" s="33" t="n"/>
    </row>
    <row r="1200" ht="15.75" customHeight="1">
      <c r="J1200" s="33" t="n"/>
    </row>
    <row r="1201" ht="15.75" customHeight="1">
      <c r="J1201" s="33" t="n"/>
    </row>
    <row r="1202" ht="15.75" customHeight="1">
      <c r="J1202" s="33" t="n"/>
    </row>
    <row r="1203" ht="15.75" customHeight="1">
      <c r="J1203" s="33" t="n"/>
    </row>
    <row r="1204" ht="15.75" customHeight="1">
      <c r="J1204" s="33" t="n"/>
    </row>
    <row r="1205" ht="15.75" customHeight="1">
      <c r="J1205" s="33" t="n"/>
    </row>
    <row r="1206" ht="15.75" customHeight="1">
      <c r="J1206" s="33" t="n"/>
    </row>
    <row r="1207" ht="15.75" customHeight="1">
      <c r="J1207" s="33" t="n"/>
    </row>
    <row r="1208" ht="15.75" customHeight="1">
      <c r="J1208" s="33" t="n"/>
    </row>
    <row r="1209" ht="15.75" customHeight="1">
      <c r="J1209" s="33" t="n"/>
    </row>
    <row r="1210" ht="15.75" customHeight="1">
      <c r="J1210" s="33" t="n"/>
    </row>
    <row r="1211" ht="15.75" customHeight="1">
      <c r="J1211" s="33" t="n"/>
    </row>
    <row r="1212" ht="15.75" customHeight="1">
      <c r="J1212" s="33" t="n"/>
    </row>
    <row r="1213" ht="15.75" customHeight="1">
      <c r="J1213" s="33" t="n"/>
    </row>
    <row r="1214" ht="15.75" customHeight="1">
      <c r="J1214" s="33" t="n"/>
    </row>
    <row r="1215" ht="15.75" customHeight="1">
      <c r="J1215" s="33" t="n"/>
    </row>
    <row r="1216" ht="15.75" customHeight="1">
      <c r="J1216" s="33" t="n"/>
    </row>
    <row r="1217" ht="15.75" customHeight="1">
      <c r="J1217" s="33" t="n"/>
    </row>
    <row r="1218" ht="15.75" customHeight="1">
      <c r="J1218" s="33" t="n"/>
    </row>
    <row r="1219" ht="15.75" customHeight="1">
      <c r="J1219" s="33" t="n"/>
    </row>
    <row r="1220" ht="15.75" customHeight="1">
      <c r="J1220" s="33" t="n"/>
    </row>
    <row r="1221" ht="15.75" customHeight="1">
      <c r="J1221" s="33" t="n"/>
    </row>
    <row r="1222" ht="15.75" customHeight="1">
      <c r="J1222" s="33" t="n"/>
    </row>
    <row r="1223" ht="15.75" customHeight="1">
      <c r="J1223" s="33" t="n"/>
    </row>
    <row r="1224" ht="15.75" customHeight="1">
      <c r="J1224" s="33" t="n"/>
    </row>
    <row r="1225" ht="15.75" customHeight="1">
      <c r="J1225" s="33" t="n"/>
    </row>
    <row r="1226" ht="15.75" customHeight="1">
      <c r="J1226" s="33" t="n"/>
    </row>
    <row r="1227" ht="15.75" customHeight="1">
      <c r="J1227" s="33" t="n"/>
    </row>
    <row r="1228" ht="15.75" customHeight="1">
      <c r="J1228" s="33" t="n"/>
    </row>
    <row r="1229" ht="15.75" customHeight="1">
      <c r="J1229" s="33" t="n"/>
    </row>
    <row r="1230" ht="15.75" customHeight="1">
      <c r="J1230" s="33" t="n"/>
    </row>
    <row r="1231" ht="15.75" customHeight="1">
      <c r="J1231" s="33" t="n"/>
    </row>
    <row r="1232" ht="15.75" customHeight="1">
      <c r="J1232" s="33" t="n"/>
    </row>
    <row r="1233" ht="15.75" customHeight="1">
      <c r="J1233" s="33" t="n"/>
    </row>
    <row r="1234" ht="15.75" customHeight="1">
      <c r="J1234" s="33" t="n"/>
    </row>
    <row r="1235" ht="15.75" customHeight="1">
      <c r="J1235" s="33" t="n"/>
    </row>
    <row r="1236" ht="15.75" customHeight="1">
      <c r="J1236" s="33" t="n"/>
    </row>
    <row r="1237" ht="15.75" customHeight="1">
      <c r="J1237" s="33" t="n"/>
    </row>
    <row r="1238" ht="15.75" customHeight="1">
      <c r="J1238" s="33" t="n"/>
    </row>
  </sheetData>
  <mergeCells count="12">
    <mergeCell ref="C27:C162"/>
    <mergeCell ref="D27:D162"/>
    <mergeCell ref="B2:B25"/>
    <mergeCell ref="A163:A298"/>
    <mergeCell ref="D163:D298"/>
    <mergeCell ref="B163:B298"/>
    <mergeCell ref="C163:C298"/>
    <mergeCell ref="A2:A25"/>
    <mergeCell ref="D2:D25"/>
    <mergeCell ref="C2:C25"/>
    <mergeCell ref="B27:B162"/>
    <mergeCell ref="A27:A16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4" customWidth="1" min="4" max="4"/>
    <col width="70" customWidth="1" min="5" max="5"/>
    <col width="13" customWidth="1" min="6" max="6"/>
    <col width="10" customWidth="1" min="7" max="7"/>
    <col width="10" customWidth="1" min="8" max="8"/>
  </cols>
  <sheetData>
    <row r="1">
      <c r="A1" s="103" t="inlineStr">
        <is>
          <t>WEEKLY REPORT – Tiến độ lấy hóa đơn (tự cập nhật theo sheet WBS2)</t>
        </is>
      </c>
    </row>
    <row r="2" ht="45" customHeight="1">
      <c r="A2" s="104" t="inlineStr">
        <is>
          <t>Số lượng = công thức đếm trên WBS2 theo cột Status và From Date (sửa WBS2 là số ở đây đổi theo). Cột “Danh sách NCC” là bản chốt ngày 28/10/2026, không tự cập nhật. Thêm tuần mới: chèn 1 dòng dưới tuần cuối, chép công thức dòng trên, sửa Từ ngày / Đến ngày.</t>
        </is>
      </c>
    </row>
    <row r="4">
      <c r="A4" s="105" t="inlineStr">
        <is>
          <t>1. Captcha – training</t>
        </is>
      </c>
    </row>
    <row r="5">
      <c r="A5" s="106" t="inlineStr">
        <is>
          <t>Tuần</t>
        </is>
      </c>
      <c r="B5" s="106" t="inlineStr">
        <is>
          <t>Từ ngày</t>
        </is>
      </c>
      <c r="C5" s="106" t="inlineStr">
        <is>
          <t>Đến ngày</t>
        </is>
      </c>
      <c r="D5" s="106" t="inlineStr">
        <is>
          <t>Hoàn thành thêm (số NCC)</t>
        </is>
      </c>
      <c r="E5" s="106" t="inlineStr">
        <is>
          <t>Danh sách NCC hoàn thành thêm</t>
        </is>
      </c>
      <c r="F5" s="106" t="inlineStr">
        <is>
          <t>Lũy kế hoàn thành</t>
        </is>
      </c>
      <c r="G5" s="106" t="inlineStr">
        <is>
          <t>Tổng NCC</t>
        </is>
      </c>
      <c r="H5" s="106" t="inlineStr">
        <is>
          <t>Còn lại</t>
        </is>
      </c>
    </row>
    <row r="6">
      <c r="A6" s="107" t="inlineStr">
        <is>
          <t>Đến tuần 42</t>
        </is>
      </c>
      <c r="B6" s="108" t="n"/>
      <c r="C6" s="108" t="n">
        <v>46313</v>
      </c>
      <c r="D6" s="109">
        <f>COUNTIFS(WBS2!$I$2:$I$25,"Hoàn thành",WBS2!$G$2:$G$25,"&lt;="&amp;$C6)</f>
        <v/>
      </c>
      <c r="E6" s="110" t="inlineStr">
        <is>
          <t>Softdreams (EasyInvoice), CyberLotus, Ngô Gia Phát, Megabiz, Đông Nam Á (TAX24), Visnam, VNPT, My-Invoice, Liên Sơn, WEBCASH (wetax), Nhóm Mây, Technology Convergence, PVOIL</t>
        </is>
      </c>
      <c r="F6" s="107">
        <f>COUNTIFS(WBS2!$I$2:$I$25,"Hoàn thành",WBS2!$G$2:$G$25,"&lt;="&amp;$C6)</f>
        <v/>
      </c>
      <c r="G6" s="109">
        <f>COUNTA(WBS2!$E$2:$E$25)</f>
        <v/>
      </c>
      <c r="H6" s="107">
        <f>G6-F6</f>
        <v/>
      </c>
    </row>
    <row r="7">
      <c r="A7" s="107" t="inlineStr">
        <is>
          <t>Tuần 43</t>
        </is>
      </c>
      <c r="B7" s="108" t="n">
        <v>46314</v>
      </c>
      <c r="C7" s="108" t="n">
        <v>46320</v>
      </c>
      <c r="D7" s="109">
        <f>COUNTIFS(WBS2!$I$2:$I$25,"Hoàn thành",WBS2!$G$2:$G$25,"&gt;="&amp;$B7,WBS2!$G$2:$G$25,"&lt;="&amp;$C7)</f>
        <v/>
      </c>
      <c r="E7" s="110" t="inlineStr">
        <is>
          <t>Thái Sơn, Tổng cục Thuế</t>
        </is>
      </c>
      <c r="F7" s="107">
        <f>COUNTIFS(WBS2!$I$2:$I$25,"Hoàn thành",WBS2!$G$2:$G$25,"&lt;="&amp;$C7)</f>
        <v/>
      </c>
      <c r="G7" s="109">
        <f>COUNTA(WBS2!$E$2:$E$25)</f>
        <v/>
      </c>
      <c r="H7" s="107">
        <f>G7-F7</f>
        <v/>
      </c>
    </row>
    <row r="8">
      <c r="A8" s="107" t="inlineStr">
        <is>
          <t>Tuần 44</t>
        </is>
      </c>
      <c r="B8" s="108" t="n">
        <v>46321</v>
      </c>
      <c r="C8" s="108" t="n">
        <v>46327</v>
      </c>
      <c r="D8" s="109">
        <f>COUNTIFS(WBS2!$I$2:$I$25,"Hoàn thành",WBS2!$G$2:$G$25,"&gt;="&amp;$B8,WBS2!$G$2:$G$25,"&lt;="&amp;$C8)</f>
        <v/>
      </c>
      <c r="E8" s="110" t="inlineStr"/>
      <c r="F8" s="107">
        <f>COUNTIFS(WBS2!$I$2:$I$25,"Hoàn thành",WBS2!$G$2:$G$25,"&lt;="&amp;$C8)</f>
        <v/>
      </c>
      <c r="G8" s="109">
        <f>COUNTA(WBS2!$E$2:$E$25)</f>
        <v/>
      </c>
      <c r="H8" s="107">
        <f>G8-F8</f>
        <v/>
      </c>
    </row>
    <row r="9">
      <c r="A9" s="111" t="inlineStr">
        <is>
          <t>Lấy thêm từ sau tuần 42</t>
        </is>
      </c>
      <c r="B9" s="112" t="n"/>
      <c r="C9" s="112" t="n"/>
      <c r="D9" s="113">
        <f>SUM(D7:D8)</f>
        <v/>
      </c>
      <c r="E9" s="112" t="n"/>
      <c r="F9" s="112" t="n"/>
      <c r="G9" s="112" t="n"/>
      <c r="H9" s="112" t="n"/>
    </row>
    <row r="10">
      <c r="A10" s="114" t="inlineStr">
        <is>
          <t>Còn lại gồm:</t>
        </is>
      </c>
    </row>
    <row r="11">
      <c r="A11" s="110" t="inlineStr">
        <is>
          <t>Đang training</t>
        </is>
      </c>
      <c r="B11" s="115" t="n"/>
      <c r="C11" s="116" t="n"/>
      <c r="D11" s="107">
        <f>COUNTIFS(WBS2!$I$2:$I$25,"Đang training")</f>
        <v/>
      </c>
      <c r="E11" s="110" t="inlineStr">
        <is>
          <t>ASIA, VN-Invoice, VI NA (SmartSign), PA Việt Nam, VNISC, Bitware, Viễn thông Đông Sài Gòn, Lạc Việt, Dịch vụ công (chạy trên máy khác, đến 31/10/2026)</t>
        </is>
      </c>
      <c r="F11" s="115" t="n"/>
      <c r="G11" s="115" t="n"/>
      <c r="H11" s="116" t="n"/>
    </row>
    <row r="12">
      <c r="A12" s="110" t="inlineStr">
        <is>
          <t>Chưa làm</t>
        </is>
      </c>
      <c r="B12" s="115" t="n"/>
      <c r="C12" s="116" t="n"/>
      <c r="D12" s="107">
        <f>COUNTIFS(WBS2!$I$2:$I$25,"Chưa hoàn thành")</f>
        <v/>
      </c>
      <c r="E12" s="110" t="inlineStr"/>
      <c r="F12" s="115" t="n"/>
      <c r="G12" s="115" t="n"/>
      <c r="H12" s="116" t="n"/>
    </row>
    <row r="14">
      <c r="A14" s="105" t="inlineStr">
        <is>
          <t>2. Lấy PDF qua link tra cứu (từ XML Thuế)</t>
        </is>
      </c>
    </row>
    <row r="15">
      <c r="A15" s="106" t="inlineStr">
        <is>
          <t>Tuần</t>
        </is>
      </c>
      <c r="B15" s="106" t="inlineStr">
        <is>
          <t>Từ ngày</t>
        </is>
      </c>
      <c r="C15" s="106" t="inlineStr">
        <is>
          <t>Đến ngày</t>
        </is>
      </c>
      <c r="D15" s="106" t="inlineStr">
        <is>
          <t>Lấy thêm (số NCC)</t>
        </is>
      </c>
      <c r="E15" s="106" t="inlineStr">
        <is>
          <t>Danh sách NCC lấy thêm</t>
        </is>
      </c>
      <c r="F15" s="106" t="inlineStr">
        <is>
          <t>Lũy kế đã lấy</t>
        </is>
      </c>
      <c r="G15" s="106" t="inlineStr">
        <is>
          <t>Tổng NCC</t>
        </is>
      </c>
      <c r="H15" s="106" t="inlineStr">
        <is>
          <t>Còn lại</t>
        </is>
      </c>
    </row>
    <row r="16">
      <c r="A16" s="107" t="inlineStr">
        <is>
          <t>Đến tuần 42</t>
        </is>
      </c>
      <c r="B16" s="108" t="n"/>
      <c r="C16" s="108" t="n">
        <v>46313</v>
      </c>
      <c r="D16" s="109">
        <f>COUNTIFS(WBS2!$I$27:$I$162,"Hoàn thành",WBS2!$G$27:$G$162,"&lt;="&amp;$C16)</f>
        <v/>
      </c>
      <c r="E16" s="110" t="inlineStr">
        <is>
          <t>Softdreams (EasyInvoice), MISA, M-INVOICE, Viettel, BKAV, Visnam, VNPT, HILO, My Software, VETC, iPOS</t>
        </is>
      </c>
      <c r="F16" s="107">
        <f>COUNTIFS(WBS2!$I$27:$I$162,"Hoàn thành",WBS2!$G$27:$G$162,"&lt;="&amp;$C16)</f>
        <v/>
      </c>
      <c r="G16" s="109">
        <f>COUNTA(WBS2!$E$27:$E$162)</f>
        <v/>
      </c>
      <c r="H16" s="107">
        <f>G16-F16</f>
        <v/>
      </c>
    </row>
    <row r="17">
      <c r="A17" s="107" t="inlineStr">
        <is>
          <t>Tuần 43</t>
        </is>
      </c>
      <c r="B17" s="108" t="n">
        <v>46314</v>
      </c>
      <c r="C17" s="108" t="n">
        <v>46320</v>
      </c>
      <c r="D17" s="109">
        <f>COUNTIFS(WBS2!$I$27:$I$162,"Hoàn thành",WBS2!$G$27:$G$162,"&gt;="&amp;$B17,WBS2!$G$27:$G$162,"&lt;="&amp;$C17)</f>
        <v/>
      </c>
      <c r="E17" s="110" t="inlineStr">
        <is>
          <t>Vĩnh Hy, CyberLotus, Thái Sơn, Minh Khang, VI NA (SmartSign), FAST, PA Việt Nam, VNISC</t>
        </is>
      </c>
      <c r="F17" s="107">
        <f>COUNTIFS(WBS2!$I$27:$I$162,"Hoàn thành",WBS2!$G$27:$G$162,"&lt;="&amp;$C17)</f>
        <v/>
      </c>
      <c r="G17" s="109">
        <f>COUNTA(WBS2!$E$27:$E$162)</f>
        <v/>
      </c>
      <c r="H17" s="107">
        <f>G17-F17</f>
        <v/>
      </c>
    </row>
    <row r="18">
      <c r="A18" s="107" t="inlineStr">
        <is>
          <t>Tuần 44</t>
        </is>
      </c>
      <c r="B18" s="108" t="n">
        <v>46321</v>
      </c>
      <c r="C18" s="108" t="n">
        <v>46327</v>
      </c>
      <c r="D18" s="109">
        <f>COUNTIFS(WBS2!$I$27:$I$162,"Hoàn thành",WBS2!$G$27:$G$162,"&gt;="&amp;$B18,WBS2!$G$27:$G$162,"&lt;="&amp;$C18)</f>
        <v/>
      </c>
      <c r="E18" s="110" t="inlineStr">
        <is>
          <t>Mắt Bão, Win Tech (WinInvoice), MobiFone, ASIA, Online VI NA, Rosy, Phương Nam (eVAT), WEBCASH (wetax), VININVOICE, KiotViet</t>
        </is>
      </c>
      <c r="F18" s="107">
        <f>COUNTIFS(WBS2!$I$27:$I$162,"Hoàn thành",WBS2!$G$27:$G$162,"&lt;="&amp;$C18)</f>
        <v/>
      </c>
      <c r="G18" s="109">
        <f>COUNTA(WBS2!$E$27:$E$162)</f>
        <v/>
      </c>
      <c r="H18" s="107">
        <f>G18-F18</f>
        <v/>
      </c>
    </row>
    <row r="19">
      <c r="A19" s="111" t="inlineStr">
        <is>
          <t>Lấy thêm từ sau tuần 42</t>
        </is>
      </c>
      <c r="B19" s="112" t="n"/>
      <c r="C19" s="112" t="n"/>
      <c r="D19" s="113">
        <f>SUM(D17:D18)</f>
        <v/>
      </c>
      <c r="E19" s="112" t="n"/>
      <c r="F19" s="112" t="n"/>
      <c r="G19" s="112" t="n"/>
      <c r="H19" s="112" t="n"/>
    </row>
    <row r="20">
      <c r="A20" s="114" t="inlineStr">
        <is>
          <t>Còn lại gồm:</t>
        </is>
      </c>
    </row>
    <row r="21">
      <c r="A21" s="110" t="inlineStr">
        <is>
          <t>Sẵn sàng (có adapter, chưa có HĐ thật để thử)</t>
        </is>
      </c>
      <c r="B21" s="115" t="n"/>
      <c r="C21" s="116" t="n"/>
      <c r="D21" s="107">
        <f>COUNTIFS(WBS2!$I$27:$I$162,"Sẵn sàng")</f>
        <v/>
      </c>
      <c r="E21" s="110" t="inlineStr">
        <is>
          <t>Kế hoạch 01/11 – 30/11/2026</t>
        </is>
      </c>
      <c r="F21" s="115" t="n"/>
      <c r="G21" s="115" t="n"/>
      <c r="H21" s="116" t="n"/>
    </row>
    <row r="22">
      <c r="A22" s="110" t="inlineStr">
        <is>
          <t>Chưa hoàn thành</t>
        </is>
      </c>
      <c r="B22" s="115" t="n"/>
      <c r="C22" s="116" t="n"/>
      <c r="D22" s="107">
        <f>COUNTIFS(WBS2!$I$27:$I$162,"Chưa hoàn thành")</f>
        <v/>
      </c>
      <c r="E22" s="110" t="inlineStr">
        <is>
          <t>Lý do xem cột Ghi chú WBS2 (reCAPTCHA/Turnstile, cổng đăng nhập, chờ model captcha, cần mã tra cứu thật)</t>
        </is>
      </c>
      <c r="F22" s="115" t="n"/>
      <c r="G22" s="115" t="n"/>
      <c r="H22" s="116" t="n"/>
    </row>
    <row r="23">
      <c r="A23" s="110" t="inlineStr">
        <is>
          <t xml:space="preserve">   – kế hoạch tháng 11/2026</t>
        </is>
      </c>
      <c r="B23" s="115" t="n"/>
      <c r="C23" s="116" t="n"/>
      <c r="D23" s="107">
        <f>COUNTIFS(WBS2!$I$27:$I$162,"Chưa hoàn thành",WBS2!$H$27:$H$162,"&gt;="&amp;DATE(2026,11,1),WBS2!$H$27:$H$162,"&lt;="&amp;DATE(2026,11,30))</f>
        <v/>
      </c>
      <c r="E23" s="110" t="inlineStr">
        <is>
          <t>Nhóm khả thi</t>
        </is>
      </c>
      <c r="F23" s="115" t="n"/>
      <c r="G23" s="115" t="n"/>
      <c r="H23" s="116" t="n"/>
    </row>
    <row r="24">
      <c r="A24" s="110" t="inlineStr">
        <is>
          <t xml:space="preserve">   – kế hoạch tháng 12/2026</t>
        </is>
      </c>
      <c r="B24" s="115" t="n"/>
      <c r="C24" s="116" t="n"/>
      <c r="D24" s="107">
        <f>COUNTIFS(WBS2!$I$27:$I$162,"Chưa hoàn thành",WBS2!$H$27:$H$162,"&gt;="&amp;DATE(2026,12,1),WBS2!$H$27:$H$162,"&lt;="&amp;DATE(2026,12,31))</f>
        <v/>
      </c>
      <c r="E24" s="110" t="inlineStr"/>
      <c r="F24" s="115" t="n"/>
      <c r="G24" s="115" t="n"/>
      <c r="H24" s="116" t="n"/>
    </row>
    <row r="26">
      <c r="A26" s="105" t="inlineStr">
        <is>
          <t>3. Lấy PDF qua mail</t>
        </is>
      </c>
    </row>
    <row r="27">
      <c r="A27" s="106" t="inlineStr">
        <is>
          <t>Tuần</t>
        </is>
      </c>
      <c r="B27" s="106" t="inlineStr">
        <is>
          <t>Từ ngày</t>
        </is>
      </c>
      <c r="C27" s="106" t="inlineStr">
        <is>
          <t>Đến ngày</t>
        </is>
      </c>
      <c r="D27" s="106" t="inlineStr">
        <is>
          <t>Lấy thêm (số NCC)</t>
        </is>
      </c>
      <c r="E27" s="106" t="inlineStr">
        <is>
          <t>Danh sách NCC lấy thêm</t>
        </is>
      </c>
      <c r="F27" s="106" t="inlineStr">
        <is>
          <t>Lũy kế đã lấy</t>
        </is>
      </c>
      <c r="G27" s="106" t="inlineStr">
        <is>
          <t>Tổng NCC</t>
        </is>
      </c>
      <c r="H27" s="106" t="inlineStr">
        <is>
          <t>Còn lại</t>
        </is>
      </c>
    </row>
    <row r="28">
      <c r="A28" s="107" t="inlineStr">
        <is>
          <t>Đến tuần 42</t>
        </is>
      </c>
      <c r="B28" s="108" t="n"/>
      <c r="C28" s="108" t="n">
        <v>46313</v>
      </c>
      <c r="D28" s="109">
        <f>COUNTIFS(WBS2!$I$163:$I$298,"Hoàn thành",WBS2!$G$163:$G$298,"&lt;="&amp;$C28)</f>
        <v/>
      </c>
      <c r="E28" s="110" t="inlineStr">
        <is>
          <t>M-INVOICE, Thái Sơn, Viettel, VNPT, HILO, VNISC</t>
        </is>
      </c>
      <c r="F28" s="107">
        <f>COUNTIFS(WBS2!$I$163:$I$298,"Hoàn thành",WBS2!$G$163:$G$298,"&lt;="&amp;$C28)</f>
        <v/>
      </c>
      <c r="G28" s="109">
        <f>COUNTA(WBS2!$E$163:$E$298)</f>
        <v/>
      </c>
      <c r="H28" s="107">
        <f>G28-F28</f>
        <v/>
      </c>
    </row>
    <row r="29">
      <c r="A29" s="107" t="inlineStr">
        <is>
          <t>Tuần 43</t>
        </is>
      </c>
      <c r="B29" s="108" t="n">
        <v>46314</v>
      </c>
      <c r="C29" s="108" t="n">
        <v>46320</v>
      </c>
      <c r="D29" s="109">
        <f>COUNTIFS(WBS2!$I$163:$I$298,"Hoàn thành",WBS2!$G$163:$G$298,"&gt;="&amp;$B29,WBS2!$G$163:$G$298,"&lt;="&amp;$C29)</f>
        <v/>
      </c>
      <c r="E29" s="110" t="inlineStr">
        <is>
          <t>FPT, EFY, Softdreams (EasyInvoice), Mắt Bão, MISA, BKAV, Visnam, VN-Invoice, VI NA (SmartSign), FAST, HT, PA Việt Nam, Online VI NA, Phương Nam (eVAT), VININVOICE, iPOS</t>
        </is>
      </c>
      <c r="F29" s="107">
        <f>COUNTIFS(WBS2!$I$163:$I$298,"Hoàn thành",WBS2!$G$163:$G$298,"&lt;="&amp;$C29)</f>
        <v/>
      </c>
      <c r="G29" s="109">
        <f>COUNTA(WBS2!$E$163:$E$298)</f>
        <v/>
      </c>
      <c r="H29" s="107">
        <f>G29-F29</f>
        <v/>
      </c>
    </row>
    <row r="30">
      <c r="A30" s="107" t="inlineStr">
        <is>
          <t>Tuần 44</t>
        </is>
      </c>
      <c r="B30" s="108" t="n">
        <v>46321</v>
      </c>
      <c r="C30" s="108" t="n">
        <v>46327</v>
      </c>
      <c r="D30" s="109">
        <f>COUNTIFS(WBS2!$I$163:$I$298,"Hoàn thành",WBS2!$G$163:$G$298,"&gt;="&amp;$B30,WBS2!$G$163:$G$298,"&lt;="&amp;$C30)</f>
        <v/>
      </c>
      <c r="E30" s="110" t="inlineStr">
        <is>
          <t>Vĩnh Hy, Win Tech (WinInvoice), MobiFone, ASIA, Minh Khang, TS24, Rosy, WEBCASH (wetax), VETC, KiotViet</t>
        </is>
      </c>
      <c r="F30" s="107">
        <f>COUNTIFS(WBS2!$I$163:$I$298,"Hoàn thành",WBS2!$G$163:$G$298,"&lt;="&amp;$C30)</f>
        <v/>
      </c>
      <c r="G30" s="109">
        <f>COUNTA(WBS2!$E$163:$E$298)</f>
        <v/>
      </c>
      <c r="H30" s="107">
        <f>G30-F30</f>
        <v/>
      </c>
    </row>
    <row r="31">
      <c r="A31" s="111" t="inlineStr">
        <is>
          <t>Lấy thêm từ sau tuần 42</t>
        </is>
      </c>
      <c r="B31" s="112" t="n"/>
      <c r="C31" s="112" t="n"/>
      <c r="D31" s="113">
        <f>SUM(D29:D30)</f>
        <v/>
      </c>
      <c r="E31" s="112" t="n"/>
      <c r="F31" s="112" t="n"/>
      <c r="G31" s="112" t="n"/>
      <c r="H31" s="112" t="n"/>
    </row>
    <row r="32">
      <c r="A32" s="114" t="inlineStr">
        <is>
          <t>Còn lại gồm:</t>
        </is>
      </c>
    </row>
    <row r="33">
      <c r="A33" s="110" t="inlineStr">
        <is>
          <t>Sẵn sàng (đã nhận link/mã trong mail, chưa có mail thật)</t>
        </is>
      </c>
      <c r="B33" s="115" t="n"/>
      <c r="C33" s="116" t="n"/>
      <c r="D33" s="107">
        <f>COUNTIFS(WBS2!$I$163:$I$298,"Sẵn sàng")</f>
        <v/>
      </c>
      <c r="E33" s="110" t="inlineStr">
        <is>
          <t>Kế hoạch 01/11 – 30/11/2026</t>
        </is>
      </c>
      <c r="F33" s="115" t="n"/>
      <c r="G33" s="115" t="n"/>
      <c r="H33" s="116" t="n"/>
    </row>
    <row r="34">
      <c r="A34" s="110" t="inlineStr">
        <is>
          <t>Chưa hoàn thành</t>
        </is>
      </c>
      <c r="B34" s="115" t="n"/>
      <c r="C34" s="116" t="n"/>
      <c r="D34" s="107">
        <f>COUNTIFS(WBS2!$I$163:$I$298,"Chưa hoàn thành")</f>
        <v/>
      </c>
      <c r="E34" s="110" t="inlineStr"/>
      <c r="F34" s="115" t="n"/>
      <c r="G34" s="115" t="n"/>
      <c r="H34" s="116" t="n"/>
    </row>
    <row r="35">
      <c r="A35" s="110" t="inlineStr">
        <is>
          <t xml:space="preserve">   – kế hoạch tháng 11/2026</t>
        </is>
      </c>
      <c r="B35" s="115" t="n"/>
      <c r="C35" s="116" t="n"/>
      <c r="D35" s="107">
        <f>COUNTIFS(WBS2!$I$163:$I$298,"Chưa hoàn thành",WBS2!$H$163:$H$298,"&gt;="&amp;DATE(2026,11,1),WBS2!$H$163:$H$298,"&lt;="&amp;DATE(2026,11,30))</f>
        <v/>
      </c>
      <c r="E35" s="110" t="inlineStr">
        <is>
          <t>Nhóm khả thi</t>
        </is>
      </c>
      <c r="F35" s="115" t="n"/>
      <c r="G35" s="115" t="n"/>
      <c r="H35" s="116" t="n"/>
    </row>
    <row r="36">
      <c r="A36" s="110" t="inlineStr">
        <is>
          <t xml:space="preserve">   – kế hoạch tháng 12/2026</t>
        </is>
      </c>
      <c r="B36" s="115" t="n"/>
      <c r="C36" s="116" t="n"/>
      <c r="D36" s="107">
        <f>COUNTIFS(WBS2!$I$163:$I$298,"Chưa hoàn thành",WBS2!$H$163:$H$298,"&gt;="&amp;DATE(2026,12,1),WBS2!$H$163:$H$298,"&lt;="&amp;DATE(2026,12,31))</f>
        <v/>
      </c>
      <c r="E36" s="110" t="inlineStr"/>
      <c r="F36" s="115" t="n"/>
      <c r="G36" s="115" t="n"/>
      <c r="H36" s="116" t="n"/>
    </row>
    <row r="38">
      <c r="A38" s="114" t="inlineStr">
        <is>
          <t>Ghi chú (số liệu DB chốt 28/10/2026)</t>
        </is>
      </c>
    </row>
    <row r="39" ht="30" customHeight="1">
      <c r="A39" s="104" t="inlineStr">
        <is>
          <t>• Ngoài 136 NCC trong danh sách, qua mail còn lấy được của 247Express (cổng riêng) và Fahasa (FPT tự cài).</t>
        </is>
      </c>
    </row>
    <row r="40" ht="30" customHeight="1">
      <c r="A40" s="104" t="inlineStr">
        <is>
          <t>• PDF bản gốc trong DB: 1.361 = 837 qua link tra cứu theo XML + 476 file đính kèm mail + 48 tải bằng link/mã trong mail.</t>
        </is>
      </c>
    </row>
    <row r="41" ht="30" customHeight="1">
      <c r="A41" s="104" t="inlineStr">
        <is>
          <t>• Mail đã đọc 4.309; link trong mail: 2.904 đã tải, 1.651 dùng file kèm trong mail, 705 còn chờ (host chưa có adapter / reCAPTCHA như CMC).</t>
        </is>
      </c>
    </row>
    <row r="42" ht="30" customHeight="1">
      <c r="A42" s="104" t="inlineStr">
        <is>
          <t>• Training: WBS2 ghi Ngô Gia Phát (g_200x80) “Hoàn thành” nhưng history.csv chỉ 5,9% – cần xem lại.</t>
        </is>
      </c>
    </row>
  </sheetData>
  <mergeCells count="25">
    <mergeCell ref="A39:H39"/>
    <mergeCell ref="A21:C21"/>
    <mergeCell ref="A12:C12"/>
    <mergeCell ref="E22:H22"/>
    <mergeCell ref="A33:C33"/>
    <mergeCell ref="A23:C23"/>
    <mergeCell ref="E12:H12"/>
    <mergeCell ref="A22:C22"/>
    <mergeCell ref="E21:H21"/>
    <mergeCell ref="A41:H41"/>
    <mergeCell ref="E33:H33"/>
    <mergeCell ref="A35:C35"/>
    <mergeCell ref="E24:H24"/>
    <mergeCell ref="E23:H23"/>
    <mergeCell ref="A2:H2"/>
    <mergeCell ref="E35:H35"/>
    <mergeCell ref="A42:H42"/>
    <mergeCell ref="A34:C34"/>
    <mergeCell ref="A24:C24"/>
    <mergeCell ref="A40:H40"/>
    <mergeCell ref="A36:C36"/>
    <mergeCell ref="A11:C11"/>
    <mergeCell ref="E34:H34"/>
    <mergeCell ref="E11:H11"/>
    <mergeCell ref="E36:H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2026-10-26T08:04:01Z</dcterms:created>
  <dcterms:modified xmlns:dcterms="http://purl.org/dc/terms/" xmlns:xsi="http://www.w3.org/2001/XMLSchema-instance" xsi:type="dcterms:W3CDTF">2026-10-28T09:03:58Z</dcterms:modified>
  <cp:lastModifiedBy>thể lại</cp:lastModifiedBy>
</cp:coreProperties>
</file>