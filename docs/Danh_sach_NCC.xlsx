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ject\scan-captcha-project\docs\"/>
    </mc:Choice>
  </mc:AlternateContent>
  <xr:revisionPtr revIDLastSave="0" documentId="13_ncr:1_{FBB2951A-D8BB-417B-B762-E49A1A7AA0C3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Tổng quát" sheetId="1" r:id="rId1"/>
    <sheet name="Chi tiết" sheetId="2" r:id="rId2"/>
    <sheet name="Link captcha" sheetId="3" r:id="rId3"/>
    <sheet name="WBS" sheetId="4" r:id="rId4"/>
    <sheet name="WBS2" sheetId="5" r:id="rId5"/>
    <sheet name="WEEKLY_REPORT" sheetId="6" r:id="rId6"/>
  </sheets>
  <definedNames>
    <definedName name="_xlnm._FilterDatabase" localSheetId="1" hidden="1">'Chi tiết'!$A$1:$Z$141</definedName>
    <definedName name="_xlnm._FilterDatabase" localSheetId="4" hidden="1">'WBS2'!$A$1:$J$298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6" l="1"/>
  <c r="D35" i="6"/>
  <c r="D34" i="6"/>
  <c r="D33" i="6"/>
  <c r="G30" i="6"/>
  <c r="F30" i="6"/>
  <c r="D30" i="6"/>
  <c r="G29" i="6"/>
  <c r="F29" i="6"/>
  <c r="D29" i="6"/>
  <c r="D31" i="6" s="1"/>
  <c r="G28" i="6"/>
  <c r="F28" i="6"/>
  <c r="D28" i="6"/>
  <c r="D24" i="6"/>
  <c r="D23" i="6"/>
  <c r="D22" i="6"/>
  <c r="D21" i="6"/>
  <c r="G18" i="6"/>
  <c r="F18" i="6"/>
  <c r="D18" i="6"/>
  <c r="G17" i="6"/>
  <c r="F17" i="6"/>
  <c r="D17" i="6"/>
  <c r="D19" i="6" s="1"/>
  <c r="G16" i="6"/>
  <c r="F16" i="6"/>
  <c r="D16" i="6"/>
  <c r="D12" i="6"/>
  <c r="D11" i="6"/>
  <c r="G8" i="6"/>
  <c r="F8" i="6"/>
  <c r="D8" i="6"/>
  <c r="G7" i="6"/>
  <c r="F7" i="6"/>
  <c r="D7" i="6"/>
  <c r="D9" i="6" s="1"/>
  <c r="G6" i="6"/>
  <c r="F6" i="6"/>
  <c r="D6" i="6"/>
  <c r="H140" i="2"/>
  <c r="H139" i="2"/>
  <c r="AP137" i="2"/>
  <c r="AN137" i="2"/>
  <c r="AO137" i="2" s="1"/>
  <c r="AM137" i="2"/>
  <c r="AK137" i="2"/>
  <c r="AL137" i="2" s="1"/>
  <c r="AJ137" i="2"/>
  <c r="H137" i="2"/>
  <c r="AP136" i="2"/>
  <c r="AN136" i="2"/>
  <c r="AO136" i="2" s="1"/>
  <c r="AM136" i="2"/>
  <c r="AK136" i="2"/>
  <c r="AL136" i="2" s="1"/>
  <c r="AJ136" i="2"/>
  <c r="H136" i="2"/>
  <c r="AP135" i="2"/>
  <c r="AN135" i="2"/>
  <c r="AO135" i="2" s="1"/>
  <c r="AM135" i="2"/>
  <c r="AK135" i="2"/>
  <c r="AL135" i="2" s="1"/>
  <c r="AJ135" i="2"/>
  <c r="H135" i="2"/>
  <c r="AP134" i="2"/>
  <c r="AN134" i="2"/>
  <c r="AO134" i="2" s="1"/>
  <c r="AM134" i="2"/>
  <c r="AK134" i="2"/>
  <c r="AL134" i="2" s="1"/>
  <c r="AJ134" i="2"/>
  <c r="H134" i="2"/>
  <c r="AP133" i="2"/>
  <c r="AN133" i="2"/>
  <c r="AO133" i="2" s="1"/>
  <c r="AM133" i="2"/>
  <c r="AK133" i="2"/>
  <c r="AL133" i="2" s="1"/>
  <c r="AJ133" i="2"/>
  <c r="H133" i="2"/>
  <c r="AP132" i="2"/>
  <c r="AN132" i="2"/>
  <c r="AO132" i="2" s="1"/>
  <c r="AM132" i="2"/>
  <c r="AK132" i="2"/>
  <c r="AL132" i="2" s="1"/>
  <c r="AJ132" i="2"/>
  <c r="H132" i="2"/>
  <c r="AP131" i="2"/>
  <c r="AN131" i="2"/>
  <c r="AO131" i="2" s="1"/>
  <c r="AM131" i="2"/>
  <c r="AK131" i="2"/>
  <c r="AL131" i="2" s="1"/>
  <c r="AJ131" i="2"/>
  <c r="H131" i="2"/>
  <c r="AP130" i="2"/>
  <c r="AN130" i="2"/>
  <c r="AO130" i="2" s="1"/>
  <c r="AM130" i="2"/>
  <c r="AK130" i="2"/>
  <c r="AL130" i="2" s="1"/>
  <c r="AJ130" i="2"/>
  <c r="H130" i="2"/>
  <c r="AP129" i="2"/>
  <c r="AN129" i="2"/>
  <c r="AO129" i="2" s="1"/>
  <c r="AM129" i="2"/>
  <c r="AK129" i="2"/>
  <c r="AL129" i="2" s="1"/>
  <c r="AJ129" i="2"/>
  <c r="H129" i="2"/>
  <c r="AP128" i="2"/>
  <c r="AN128" i="2"/>
  <c r="AO128" i="2" s="1"/>
  <c r="AM128" i="2"/>
  <c r="AK128" i="2"/>
  <c r="AL128" i="2" s="1"/>
  <c r="AJ128" i="2"/>
  <c r="H128" i="2"/>
  <c r="AP127" i="2"/>
  <c r="AN127" i="2"/>
  <c r="AO127" i="2" s="1"/>
  <c r="AM127" i="2"/>
  <c r="AK127" i="2"/>
  <c r="AL127" i="2" s="1"/>
  <c r="AJ127" i="2"/>
  <c r="H127" i="2"/>
  <c r="AP126" i="2"/>
  <c r="AN126" i="2"/>
  <c r="AO126" i="2" s="1"/>
  <c r="AM126" i="2"/>
  <c r="AK126" i="2"/>
  <c r="AL126" i="2" s="1"/>
  <c r="AJ126" i="2"/>
  <c r="H126" i="2"/>
  <c r="AP125" i="2"/>
  <c r="AN125" i="2"/>
  <c r="AO125" i="2" s="1"/>
  <c r="AM125" i="2"/>
  <c r="AK125" i="2"/>
  <c r="AL125" i="2" s="1"/>
  <c r="AJ125" i="2"/>
  <c r="H125" i="2"/>
  <c r="AP124" i="2"/>
  <c r="AN124" i="2"/>
  <c r="AO124" i="2" s="1"/>
  <c r="AM124" i="2"/>
  <c r="AK124" i="2"/>
  <c r="AL124" i="2" s="1"/>
  <c r="AJ124" i="2"/>
  <c r="H124" i="2"/>
  <c r="AP123" i="2"/>
  <c r="AN123" i="2"/>
  <c r="AO123" i="2" s="1"/>
  <c r="AM123" i="2"/>
  <c r="AK123" i="2"/>
  <c r="AL123" i="2" s="1"/>
  <c r="AJ123" i="2"/>
  <c r="H123" i="2"/>
  <c r="AP122" i="2"/>
  <c r="AN122" i="2"/>
  <c r="AO122" i="2" s="1"/>
  <c r="AM122" i="2"/>
  <c r="AK122" i="2"/>
  <c r="AL122" i="2" s="1"/>
  <c r="AJ122" i="2"/>
  <c r="H122" i="2"/>
  <c r="AP121" i="2"/>
  <c r="AN121" i="2"/>
  <c r="AO121" i="2" s="1"/>
  <c r="AM121" i="2"/>
  <c r="AK121" i="2"/>
  <c r="AL121" i="2" s="1"/>
  <c r="AJ121" i="2"/>
  <c r="H121" i="2"/>
  <c r="AP120" i="2"/>
  <c r="AN120" i="2"/>
  <c r="AO120" i="2" s="1"/>
  <c r="AM120" i="2"/>
  <c r="AK120" i="2"/>
  <c r="AL120" i="2" s="1"/>
  <c r="AJ120" i="2"/>
  <c r="H120" i="2"/>
  <c r="AP119" i="2"/>
  <c r="AN119" i="2"/>
  <c r="AO119" i="2" s="1"/>
  <c r="AM119" i="2"/>
  <c r="AK119" i="2"/>
  <c r="AL119" i="2" s="1"/>
  <c r="AJ119" i="2"/>
  <c r="H119" i="2"/>
  <c r="AP118" i="2"/>
  <c r="AN118" i="2"/>
  <c r="AO118" i="2" s="1"/>
  <c r="AM118" i="2"/>
  <c r="AK118" i="2"/>
  <c r="AL118" i="2" s="1"/>
  <c r="AJ118" i="2"/>
  <c r="H118" i="2"/>
  <c r="AP117" i="2"/>
  <c r="AN117" i="2"/>
  <c r="AO117" i="2" s="1"/>
  <c r="AM117" i="2"/>
  <c r="AK117" i="2"/>
  <c r="AL117" i="2" s="1"/>
  <c r="AJ117" i="2"/>
  <c r="H117" i="2"/>
  <c r="AP116" i="2"/>
  <c r="AN116" i="2"/>
  <c r="AO116" i="2" s="1"/>
  <c r="AM116" i="2"/>
  <c r="AK116" i="2"/>
  <c r="AL116" i="2" s="1"/>
  <c r="AJ116" i="2"/>
  <c r="H116" i="2"/>
  <c r="AP115" i="2"/>
  <c r="AN115" i="2"/>
  <c r="AO115" i="2" s="1"/>
  <c r="AM115" i="2"/>
  <c r="AK115" i="2"/>
  <c r="AL115" i="2" s="1"/>
  <c r="AJ115" i="2"/>
  <c r="H115" i="2"/>
  <c r="AP114" i="2"/>
  <c r="AN114" i="2"/>
  <c r="AO114" i="2" s="1"/>
  <c r="AM114" i="2"/>
  <c r="AK114" i="2"/>
  <c r="AL114" i="2" s="1"/>
  <c r="AJ114" i="2"/>
  <c r="H114" i="2"/>
  <c r="AP113" i="2"/>
  <c r="AN113" i="2"/>
  <c r="AO113" i="2" s="1"/>
  <c r="AM113" i="2"/>
  <c r="AK113" i="2"/>
  <c r="AL113" i="2" s="1"/>
  <c r="AJ113" i="2"/>
  <c r="H113" i="2"/>
  <c r="AP112" i="2"/>
  <c r="AN112" i="2"/>
  <c r="AO112" i="2" s="1"/>
  <c r="AM112" i="2"/>
  <c r="AK112" i="2"/>
  <c r="AL112" i="2" s="1"/>
  <c r="AJ112" i="2"/>
  <c r="H112" i="2"/>
  <c r="AP111" i="2"/>
  <c r="AN111" i="2"/>
  <c r="AO111" i="2" s="1"/>
  <c r="AM111" i="2"/>
  <c r="AK111" i="2"/>
  <c r="AL111" i="2" s="1"/>
  <c r="AJ111" i="2"/>
  <c r="H111" i="2"/>
  <c r="AP110" i="2"/>
  <c r="AN110" i="2"/>
  <c r="AO110" i="2" s="1"/>
  <c r="AM110" i="2"/>
  <c r="AK110" i="2"/>
  <c r="AL110" i="2" s="1"/>
  <c r="AJ110" i="2"/>
  <c r="H110" i="2"/>
  <c r="AP109" i="2"/>
  <c r="AN109" i="2"/>
  <c r="AO109" i="2" s="1"/>
  <c r="AM109" i="2"/>
  <c r="AK109" i="2"/>
  <c r="AL109" i="2" s="1"/>
  <c r="AJ109" i="2"/>
  <c r="H109" i="2"/>
  <c r="AP108" i="2"/>
  <c r="AN108" i="2"/>
  <c r="AO108" i="2" s="1"/>
  <c r="AM108" i="2"/>
  <c r="AK108" i="2"/>
  <c r="AL108" i="2" s="1"/>
  <c r="AJ108" i="2"/>
  <c r="H108" i="2"/>
  <c r="AP107" i="2"/>
  <c r="AN107" i="2"/>
  <c r="AO107" i="2" s="1"/>
  <c r="AM107" i="2"/>
  <c r="AK107" i="2"/>
  <c r="AL107" i="2" s="1"/>
  <c r="AJ107" i="2"/>
  <c r="H107" i="2"/>
  <c r="AP106" i="2"/>
  <c r="AN106" i="2"/>
  <c r="AO106" i="2" s="1"/>
  <c r="AM106" i="2"/>
  <c r="AK106" i="2"/>
  <c r="AL106" i="2" s="1"/>
  <c r="AJ106" i="2"/>
  <c r="H106" i="2"/>
  <c r="AP105" i="2"/>
  <c r="AN105" i="2"/>
  <c r="AO105" i="2" s="1"/>
  <c r="AM105" i="2"/>
  <c r="AK105" i="2"/>
  <c r="AL105" i="2" s="1"/>
  <c r="AJ105" i="2"/>
  <c r="H105" i="2"/>
  <c r="AP104" i="2"/>
  <c r="AN104" i="2"/>
  <c r="AO104" i="2" s="1"/>
  <c r="AM104" i="2"/>
  <c r="AK104" i="2"/>
  <c r="AL104" i="2" s="1"/>
  <c r="AJ104" i="2"/>
  <c r="H104" i="2"/>
  <c r="AP103" i="2"/>
  <c r="AN103" i="2"/>
  <c r="AO103" i="2" s="1"/>
  <c r="AM103" i="2"/>
  <c r="AK103" i="2"/>
  <c r="AL103" i="2" s="1"/>
  <c r="AJ103" i="2"/>
  <c r="H103" i="2"/>
  <c r="AP102" i="2"/>
  <c r="AN102" i="2"/>
  <c r="AO102" i="2" s="1"/>
  <c r="AM102" i="2"/>
  <c r="AK102" i="2"/>
  <c r="AL102" i="2" s="1"/>
  <c r="AJ102" i="2"/>
  <c r="H102" i="2"/>
  <c r="AP101" i="2"/>
  <c r="AN101" i="2"/>
  <c r="AO101" i="2" s="1"/>
  <c r="AM101" i="2"/>
  <c r="AK101" i="2"/>
  <c r="AL101" i="2" s="1"/>
  <c r="AJ101" i="2"/>
  <c r="H101" i="2"/>
  <c r="AP100" i="2"/>
  <c r="AN100" i="2"/>
  <c r="AO100" i="2" s="1"/>
  <c r="AM100" i="2"/>
  <c r="AK100" i="2"/>
  <c r="AL100" i="2" s="1"/>
  <c r="AJ100" i="2"/>
  <c r="H100" i="2"/>
  <c r="AP99" i="2"/>
  <c r="AN99" i="2"/>
  <c r="AO99" i="2" s="1"/>
  <c r="AM99" i="2"/>
  <c r="AK99" i="2"/>
  <c r="AL99" i="2" s="1"/>
  <c r="AJ99" i="2"/>
  <c r="H99" i="2"/>
  <c r="AP98" i="2"/>
  <c r="AN98" i="2"/>
  <c r="AO98" i="2" s="1"/>
  <c r="AM98" i="2"/>
  <c r="AK98" i="2"/>
  <c r="AL98" i="2" s="1"/>
  <c r="AJ98" i="2"/>
  <c r="H98" i="2"/>
  <c r="AP97" i="2"/>
  <c r="AN97" i="2"/>
  <c r="AO97" i="2" s="1"/>
  <c r="AM97" i="2"/>
  <c r="AK97" i="2"/>
  <c r="AL97" i="2" s="1"/>
  <c r="AJ97" i="2"/>
  <c r="H97" i="2"/>
  <c r="AP96" i="2"/>
  <c r="AN96" i="2"/>
  <c r="AO96" i="2" s="1"/>
  <c r="AM96" i="2"/>
  <c r="AK96" i="2"/>
  <c r="AL96" i="2" s="1"/>
  <c r="AJ96" i="2"/>
  <c r="H96" i="2"/>
  <c r="AP95" i="2"/>
  <c r="AN95" i="2"/>
  <c r="AO95" i="2" s="1"/>
  <c r="AM95" i="2"/>
  <c r="AK95" i="2"/>
  <c r="AL95" i="2" s="1"/>
  <c r="AJ95" i="2"/>
  <c r="H95" i="2"/>
  <c r="AP94" i="2"/>
  <c r="AN94" i="2"/>
  <c r="AO94" i="2" s="1"/>
  <c r="AM94" i="2"/>
  <c r="AK94" i="2"/>
  <c r="AL94" i="2" s="1"/>
  <c r="AJ94" i="2"/>
  <c r="H94" i="2"/>
  <c r="AP93" i="2"/>
  <c r="AN93" i="2"/>
  <c r="AO93" i="2" s="1"/>
  <c r="AM93" i="2"/>
  <c r="AK93" i="2"/>
  <c r="AL93" i="2" s="1"/>
  <c r="AJ93" i="2"/>
  <c r="H93" i="2"/>
  <c r="AP92" i="2"/>
  <c r="AN92" i="2"/>
  <c r="AO92" i="2" s="1"/>
  <c r="AM92" i="2"/>
  <c r="AK92" i="2"/>
  <c r="AL92" i="2" s="1"/>
  <c r="AJ92" i="2"/>
  <c r="H92" i="2"/>
  <c r="AP91" i="2"/>
  <c r="AN91" i="2"/>
  <c r="AO91" i="2" s="1"/>
  <c r="AM91" i="2"/>
  <c r="AK91" i="2"/>
  <c r="AL91" i="2" s="1"/>
  <c r="AJ91" i="2"/>
  <c r="H91" i="2"/>
  <c r="AP90" i="2"/>
  <c r="AN90" i="2"/>
  <c r="AO90" i="2" s="1"/>
  <c r="AM90" i="2"/>
  <c r="AK90" i="2"/>
  <c r="AL90" i="2" s="1"/>
  <c r="AJ90" i="2"/>
  <c r="H90" i="2"/>
  <c r="AP89" i="2"/>
  <c r="AN89" i="2"/>
  <c r="AO89" i="2" s="1"/>
  <c r="AM89" i="2"/>
  <c r="AK89" i="2"/>
  <c r="AL89" i="2" s="1"/>
  <c r="AJ89" i="2"/>
  <c r="H89" i="2"/>
  <c r="AP88" i="2"/>
  <c r="AN88" i="2"/>
  <c r="AO88" i="2" s="1"/>
  <c r="AM88" i="2"/>
  <c r="AK88" i="2"/>
  <c r="AL88" i="2" s="1"/>
  <c r="AJ88" i="2"/>
  <c r="H88" i="2"/>
  <c r="AP87" i="2"/>
  <c r="AN87" i="2"/>
  <c r="AO87" i="2" s="1"/>
  <c r="AM87" i="2"/>
  <c r="AK87" i="2"/>
  <c r="AL87" i="2" s="1"/>
  <c r="AJ87" i="2"/>
  <c r="H87" i="2"/>
  <c r="AP86" i="2"/>
  <c r="AN86" i="2"/>
  <c r="AO86" i="2" s="1"/>
  <c r="AM86" i="2"/>
  <c r="AK86" i="2"/>
  <c r="AL86" i="2" s="1"/>
  <c r="AJ86" i="2"/>
  <c r="H86" i="2"/>
  <c r="AP85" i="2"/>
  <c r="AN85" i="2"/>
  <c r="AO85" i="2" s="1"/>
  <c r="AM85" i="2"/>
  <c r="AK85" i="2"/>
  <c r="AL85" i="2" s="1"/>
  <c r="AJ85" i="2"/>
  <c r="H85" i="2"/>
  <c r="AP84" i="2"/>
  <c r="AN84" i="2"/>
  <c r="AO84" i="2" s="1"/>
  <c r="AM84" i="2"/>
  <c r="AK84" i="2"/>
  <c r="AL84" i="2" s="1"/>
  <c r="AJ84" i="2"/>
  <c r="H84" i="2"/>
  <c r="AP83" i="2"/>
  <c r="AN83" i="2"/>
  <c r="AO83" i="2" s="1"/>
  <c r="AM83" i="2"/>
  <c r="AK83" i="2"/>
  <c r="AL83" i="2" s="1"/>
  <c r="AJ83" i="2"/>
  <c r="H83" i="2"/>
  <c r="AP82" i="2"/>
  <c r="AN82" i="2"/>
  <c r="AO82" i="2" s="1"/>
  <c r="AM82" i="2"/>
  <c r="AK82" i="2"/>
  <c r="AL82" i="2" s="1"/>
  <c r="AJ82" i="2"/>
  <c r="H82" i="2"/>
  <c r="AP81" i="2"/>
  <c r="AN81" i="2"/>
  <c r="AO81" i="2" s="1"/>
  <c r="AM81" i="2"/>
  <c r="AK81" i="2"/>
  <c r="AL81" i="2" s="1"/>
  <c r="AJ81" i="2"/>
  <c r="H81" i="2"/>
  <c r="AP80" i="2"/>
  <c r="AN80" i="2"/>
  <c r="AO80" i="2" s="1"/>
  <c r="AM80" i="2"/>
  <c r="AK80" i="2"/>
  <c r="AL80" i="2" s="1"/>
  <c r="AJ80" i="2"/>
  <c r="H80" i="2"/>
  <c r="AP79" i="2"/>
  <c r="AN79" i="2"/>
  <c r="AO79" i="2" s="1"/>
  <c r="AM79" i="2"/>
  <c r="AK79" i="2"/>
  <c r="AL79" i="2" s="1"/>
  <c r="AJ79" i="2"/>
  <c r="H79" i="2"/>
  <c r="AP78" i="2"/>
  <c r="AN78" i="2"/>
  <c r="AO78" i="2" s="1"/>
  <c r="AM78" i="2"/>
  <c r="AK78" i="2"/>
  <c r="AL78" i="2" s="1"/>
  <c r="AJ78" i="2"/>
  <c r="H78" i="2"/>
  <c r="AP77" i="2"/>
  <c r="AN77" i="2"/>
  <c r="AO77" i="2" s="1"/>
  <c r="AM77" i="2"/>
  <c r="AK77" i="2"/>
  <c r="AL77" i="2" s="1"/>
  <c r="AJ77" i="2"/>
  <c r="H77" i="2"/>
  <c r="AP76" i="2"/>
  <c r="AN76" i="2"/>
  <c r="AO76" i="2" s="1"/>
  <c r="AM76" i="2"/>
  <c r="AK76" i="2"/>
  <c r="AL76" i="2" s="1"/>
  <c r="AJ76" i="2"/>
  <c r="H76" i="2"/>
  <c r="AP75" i="2"/>
  <c r="AN75" i="2"/>
  <c r="AO75" i="2" s="1"/>
  <c r="AM75" i="2"/>
  <c r="AK75" i="2"/>
  <c r="AL75" i="2" s="1"/>
  <c r="AJ75" i="2"/>
  <c r="H75" i="2"/>
  <c r="AP74" i="2"/>
  <c r="AN74" i="2"/>
  <c r="AO74" i="2" s="1"/>
  <c r="AM74" i="2"/>
  <c r="AK74" i="2"/>
  <c r="AL74" i="2" s="1"/>
  <c r="AJ74" i="2"/>
  <c r="H74" i="2"/>
  <c r="AP73" i="2"/>
  <c r="AN73" i="2"/>
  <c r="AO73" i="2" s="1"/>
  <c r="AM73" i="2"/>
  <c r="AK73" i="2"/>
  <c r="AL73" i="2" s="1"/>
  <c r="AJ73" i="2"/>
  <c r="H73" i="2"/>
  <c r="AP72" i="2"/>
  <c r="AN72" i="2"/>
  <c r="AO72" i="2" s="1"/>
  <c r="AM72" i="2"/>
  <c r="AK72" i="2"/>
  <c r="AL72" i="2" s="1"/>
  <c r="AJ72" i="2"/>
  <c r="H72" i="2"/>
  <c r="AP71" i="2"/>
  <c r="AN71" i="2"/>
  <c r="AO71" i="2" s="1"/>
  <c r="AM71" i="2"/>
  <c r="AK71" i="2"/>
  <c r="AL71" i="2" s="1"/>
  <c r="AJ71" i="2"/>
  <c r="H71" i="2"/>
  <c r="AP70" i="2"/>
  <c r="AN70" i="2"/>
  <c r="AO70" i="2" s="1"/>
  <c r="AM70" i="2"/>
  <c r="AK70" i="2"/>
  <c r="AL70" i="2" s="1"/>
  <c r="AJ70" i="2"/>
  <c r="H70" i="2"/>
  <c r="AP69" i="2"/>
  <c r="AN69" i="2"/>
  <c r="AO69" i="2" s="1"/>
  <c r="AM69" i="2"/>
  <c r="AK69" i="2"/>
  <c r="AL69" i="2" s="1"/>
  <c r="AJ69" i="2"/>
  <c r="H69" i="2"/>
  <c r="AP68" i="2"/>
  <c r="AN68" i="2"/>
  <c r="AO68" i="2" s="1"/>
  <c r="AM68" i="2"/>
  <c r="AK68" i="2"/>
  <c r="AL68" i="2" s="1"/>
  <c r="AJ68" i="2"/>
  <c r="H68" i="2"/>
  <c r="AP67" i="2"/>
  <c r="AN67" i="2"/>
  <c r="AO67" i="2" s="1"/>
  <c r="AM67" i="2"/>
  <c r="AK67" i="2"/>
  <c r="AL67" i="2" s="1"/>
  <c r="AJ67" i="2"/>
  <c r="H67" i="2"/>
  <c r="AP66" i="2"/>
  <c r="AN66" i="2"/>
  <c r="AO66" i="2" s="1"/>
  <c r="AM66" i="2"/>
  <c r="AK66" i="2"/>
  <c r="AL66" i="2" s="1"/>
  <c r="AJ66" i="2"/>
  <c r="H66" i="2"/>
  <c r="AP65" i="2"/>
  <c r="AN65" i="2"/>
  <c r="AO65" i="2" s="1"/>
  <c r="AM65" i="2"/>
  <c r="AK65" i="2"/>
  <c r="AL65" i="2" s="1"/>
  <c r="AJ65" i="2"/>
  <c r="H65" i="2"/>
  <c r="AP64" i="2"/>
  <c r="AN64" i="2"/>
  <c r="AO64" i="2" s="1"/>
  <c r="AM64" i="2"/>
  <c r="AK64" i="2"/>
  <c r="AL64" i="2" s="1"/>
  <c r="AJ64" i="2"/>
  <c r="H64" i="2"/>
  <c r="AP63" i="2"/>
  <c r="AN63" i="2"/>
  <c r="AO63" i="2" s="1"/>
  <c r="AM63" i="2"/>
  <c r="AK63" i="2"/>
  <c r="AL63" i="2" s="1"/>
  <c r="AJ63" i="2"/>
  <c r="H63" i="2"/>
  <c r="AP62" i="2"/>
  <c r="AN62" i="2"/>
  <c r="AO62" i="2" s="1"/>
  <c r="AM62" i="2"/>
  <c r="AK62" i="2"/>
  <c r="AL62" i="2" s="1"/>
  <c r="AJ62" i="2"/>
  <c r="H62" i="2"/>
  <c r="AP61" i="2"/>
  <c r="AN61" i="2"/>
  <c r="AO61" i="2" s="1"/>
  <c r="AM61" i="2"/>
  <c r="AK61" i="2"/>
  <c r="AL61" i="2" s="1"/>
  <c r="AJ61" i="2"/>
  <c r="H61" i="2"/>
  <c r="AP60" i="2"/>
  <c r="AN60" i="2"/>
  <c r="AO60" i="2" s="1"/>
  <c r="AM60" i="2"/>
  <c r="AK60" i="2"/>
  <c r="AL60" i="2" s="1"/>
  <c r="AJ60" i="2"/>
  <c r="H60" i="2"/>
  <c r="AP59" i="2"/>
  <c r="AN59" i="2"/>
  <c r="AO59" i="2" s="1"/>
  <c r="AM59" i="2"/>
  <c r="AK59" i="2"/>
  <c r="AL59" i="2" s="1"/>
  <c r="AJ59" i="2"/>
  <c r="H59" i="2"/>
  <c r="AP58" i="2"/>
  <c r="AN58" i="2"/>
  <c r="AO58" i="2" s="1"/>
  <c r="AM58" i="2"/>
  <c r="AK58" i="2"/>
  <c r="AL58" i="2" s="1"/>
  <c r="AJ58" i="2"/>
  <c r="H58" i="2"/>
  <c r="AP57" i="2"/>
  <c r="AN57" i="2"/>
  <c r="AO57" i="2" s="1"/>
  <c r="AM57" i="2"/>
  <c r="AK57" i="2"/>
  <c r="AL57" i="2" s="1"/>
  <c r="AJ57" i="2"/>
  <c r="H57" i="2"/>
  <c r="AP56" i="2"/>
  <c r="AN56" i="2"/>
  <c r="AO56" i="2" s="1"/>
  <c r="AM56" i="2"/>
  <c r="AK56" i="2"/>
  <c r="AL56" i="2" s="1"/>
  <c r="AJ56" i="2"/>
  <c r="H56" i="2"/>
  <c r="AP55" i="2"/>
  <c r="AN55" i="2"/>
  <c r="AO55" i="2" s="1"/>
  <c r="AM55" i="2"/>
  <c r="AK55" i="2"/>
  <c r="AL55" i="2" s="1"/>
  <c r="AJ55" i="2"/>
  <c r="H55" i="2"/>
  <c r="AP54" i="2"/>
  <c r="AN54" i="2"/>
  <c r="AO54" i="2" s="1"/>
  <c r="AM54" i="2"/>
  <c r="AK54" i="2"/>
  <c r="AL54" i="2" s="1"/>
  <c r="AJ54" i="2"/>
  <c r="H54" i="2"/>
  <c r="AP53" i="2"/>
  <c r="AN53" i="2"/>
  <c r="AO53" i="2" s="1"/>
  <c r="AM53" i="2"/>
  <c r="AK53" i="2"/>
  <c r="AL53" i="2" s="1"/>
  <c r="AJ53" i="2"/>
  <c r="H53" i="2"/>
  <c r="AP52" i="2"/>
  <c r="AN52" i="2"/>
  <c r="AO52" i="2" s="1"/>
  <c r="AM52" i="2"/>
  <c r="AK52" i="2"/>
  <c r="AL52" i="2" s="1"/>
  <c r="AJ52" i="2"/>
  <c r="H52" i="2"/>
  <c r="AP51" i="2"/>
  <c r="AN51" i="2"/>
  <c r="AO51" i="2" s="1"/>
  <c r="AM51" i="2"/>
  <c r="AK51" i="2"/>
  <c r="AL51" i="2" s="1"/>
  <c r="AJ51" i="2"/>
  <c r="H51" i="2"/>
  <c r="AP50" i="2"/>
  <c r="AN50" i="2"/>
  <c r="AO50" i="2" s="1"/>
  <c r="AM50" i="2"/>
  <c r="AK50" i="2"/>
  <c r="AL50" i="2" s="1"/>
  <c r="AJ50" i="2"/>
  <c r="H50" i="2"/>
  <c r="AP49" i="2"/>
  <c r="AN49" i="2"/>
  <c r="AO49" i="2" s="1"/>
  <c r="AM49" i="2"/>
  <c r="AK49" i="2"/>
  <c r="AL49" i="2" s="1"/>
  <c r="AJ49" i="2"/>
  <c r="H49" i="2"/>
  <c r="AP48" i="2"/>
  <c r="AN48" i="2"/>
  <c r="AO48" i="2" s="1"/>
  <c r="AM48" i="2"/>
  <c r="AK48" i="2"/>
  <c r="AL48" i="2" s="1"/>
  <c r="AJ48" i="2"/>
  <c r="H48" i="2"/>
  <c r="AP47" i="2"/>
  <c r="AN47" i="2"/>
  <c r="AO47" i="2" s="1"/>
  <c r="AM47" i="2"/>
  <c r="AK47" i="2"/>
  <c r="AL47" i="2" s="1"/>
  <c r="AJ47" i="2"/>
  <c r="H47" i="2"/>
  <c r="AP46" i="2"/>
  <c r="AN46" i="2"/>
  <c r="AO46" i="2" s="1"/>
  <c r="AM46" i="2"/>
  <c r="AK46" i="2"/>
  <c r="AL46" i="2" s="1"/>
  <c r="AJ46" i="2"/>
  <c r="H46" i="2"/>
  <c r="AP45" i="2"/>
  <c r="AN45" i="2"/>
  <c r="AO45" i="2" s="1"/>
  <c r="AM45" i="2"/>
  <c r="AK45" i="2"/>
  <c r="AL45" i="2" s="1"/>
  <c r="AJ45" i="2"/>
  <c r="H45" i="2"/>
  <c r="AP44" i="2"/>
  <c r="AN44" i="2"/>
  <c r="AO44" i="2" s="1"/>
  <c r="AM44" i="2"/>
  <c r="AK44" i="2"/>
  <c r="AL44" i="2" s="1"/>
  <c r="AJ44" i="2"/>
  <c r="H44" i="2"/>
  <c r="AP43" i="2"/>
  <c r="AN43" i="2"/>
  <c r="AO43" i="2" s="1"/>
  <c r="AM43" i="2"/>
  <c r="AK43" i="2"/>
  <c r="AL43" i="2" s="1"/>
  <c r="AJ43" i="2"/>
  <c r="H43" i="2"/>
  <c r="AP42" i="2"/>
  <c r="AN42" i="2"/>
  <c r="AO42" i="2" s="1"/>
  <c r="AM42" i="2"/>
  <c r="AK42" i="2"/>
  <c r="AL42" i="2" s="1"/>
  <c r="AJ42" i="2"/>
  <c r="H42" i="2"/>
  <c r="AP41" i="2"/>
  <c r="AN41" i="2"/>
  <c r="AO41" i="2" s="1"/>
  <c r="AM41" i="2"/>
  <c r="AK41" i="2"/>
  <c r="AL41" i="2" s="1"/>
  <c r="AJ41" i="2"/>
  <c r="H41" i="2"/>
  <c r="AP40" i="2"/>
  <c r="AN40" i="2"/>
  <c r="AO40" i="2" s="1"/>
  <c r="AM40" i="2"/>
  <c r="AK40" i="2"/>
  <c r="AL40" i="2" s="1"/>
  <c r="AJ40" i="2"/>
  <c r="H40" i="2"/>
  <c r="AP39" i="2"/>
  <c r="AN39" i="2"/>
  <c r="AO39" i="2" s="1"/>
  <c r="AM39" i="2"/>
  <c r="AK39" i="2"/>
  <c r="AL39" i="2" s="1"/>
  <c r="AJ39" i="2"/>
  <c r="H39" i="2"/>
  <c r="AP38" i="2"/>
  <c r="AN38" i="2"/>
  <c r="AO38" i="2" s="1"/>
  <c r="AM38" i="2"/>
  <c r="AK38" i="2"/>
  <c r="AL38" i="2" s="1"/>
  <c r="AJ38" i="2"/>
  <c r="H38" i="2"/>
  <c r="AP37" i="2"/>
  <c r="AN37" i="2"/>
  <c r="AO37" i="2" s="1"/>
  <c r="AM37" i="2"/>
  <c r="AK37" i="2"/>
  <c r="AL37" i="2" s="1"/>
  <c r="AJ37" i="2"/>
  <c r="H37" i="2"/>
  <c r="AP36" i="2"/>
  <c r="AN36" i="2"/>
  <c r="AO36" i="2" s="1"/>
  <c r="AM36" i="2"/>
  <c r="AK36" i="2"/>
  <c r="AL36" i="2" s="1"/>
  <c r="AJ36" i="2"/>
  <c r="H36" i="2"/>
  <c r="AP35" i="2"/>
  <c r="AN35" i="2"/>
  <c r="AO35" i="2" s="1"/>
  <c r="AM35" i="2"/>
  <c r="AK35" i="2"/>
  <c r="AL35" i="2" s="1"/>
  <c r="AJ35" i="2"/>
  <c r="H35" i="2"/>
  <c r="AP34" i="2"/>
  <c r="AN34" i="2"/>
  <c r="AO34" i="2" s="1"/>
  <c r="AM34" i="2"/>
  <c r="AK34" i="2"/>
  <c r="AL34" i="2" s="1"/>
  <c r="AJ34" i="2"/>
  <c r="H34" i="2"/>
  <c r="AP33" i="2"/>
  <c r="AN33" i="2"/>
  <c r="AO33" i="2" s="1"/>
  <c r="AM33" i="2"/>
  <c r="AK33" i="2"/>
  <c r="AL33" i="2" s="1"/>
  <c r="AJ33" i="2"/>
  <c r="H33" i="2"/>
  <c r="AP32" i="2"/>
  <c r="AN32" i="2"/>
  <c r="AO32" i="2" s="1"/>
  <c r="AM32" i="2"/>
  <c r="AK32" i="2"/>
  <c r="AL32" i="2" s="1"/>
  <c r="AJ32" i="2"/>
  <c r="H32" i="2"/>
  <c r="AP31" i="2"/>
  <c r="AN31" i="2"/>
  <c r="AO31" i="2" s="1"/>
  <c r="AM31" i="2"/>
  <c r="AK31" i="2"/>
  <c r="AL31" i="2" s="1"/>
  <c r="AJ31" i="2"/>
  <c r="H31" i="2"/>
  <c r="AP30" i="2"/>
  <c r="AN30" i="2"/>
  <c r="AO30" i="2" s="1"/>
  <c r="AM30" i="2"/>
  <c r="AK30" i="2"/>
  <c r="AL30" i="2" s="1"/>
  <c r="AJ30" i="2"/>
  <c r="H30" i="2"/>
  <c r="AP29" i="2"/>
  <c r="AN29" i="2"/>
  <c r="AO29" i="2" s="1"/>
  <c r="AM29" i="2"/>
  <c r="AK29" i="2"/>
  <c r="AL29" i="2" s="1"/>
  <c r="AJ29" i="2"/>
  <c r="H29" i="2"/>
  <c r="AP28" i="2"/>
  <c r="AN28" i="2"/>
  <c r="AO28" i="2" s="1"/>
  <c r="AM28" i="2"/>
  <c r="AK28" i="2"/>
  <c r="AL28" i="2" s="1"/>
  <c r="AJ28" i="2"/>
  <c r="H28" i="2"/>
  <c r="AP27" i="2"/>
  <c r="AN27" i="2"/>
  <c r="AO27" i="2" s="1"/>
  <c r="AM27" i="2"/>
  <c r="AK27" i="2"/>
  <c r="AL27" i="2" s="1"/>
  <c r="AJ27" i="2"/>
  <c r="H27" i="2"/>
  <c r="AP26" i="2"/>
  <c r="AN26" i="2"/>
  <c r="AO26" i="2" s="1"/>
  <c r="AM26" i="2"/>
  <c r="AK26" i="2"/>
  <c r="AL26" i="2" s="1"/>
  <c r="AJ26" i="2"/>
  <c r="H26" i="2"/>
  <c r="AP25" i="2"/>
  <c r="AN25" i="2"/>
  <c r="AO25" i="2" s="1"/>
  <c r="AM25" i="2"/>
  <c r="AK25" i="2"/>
  <c r="AL25" i="2" s="1"/>
  <c r="AJ25" i="2"/>
  <c r="H25" i="2"/>
  <c r="AP24" i="2"/>
  <c r="AN24" i="2"/>
  <c r="AO24" i="2" s="1"/>
  <c r="AM24" i="2"/>
  <c r="AK24" i="2"/>
  <c r="AL24" i="2" s="1"/>
  <c r="AJ24" i="2"/>
  <c r="H24" i="2"/>
  <c r="AP23" i="2"/>
  <c r="AN23" i="2"/>
  <c r="AO23" i="2" s="1"/>
  <c r="AM23" i="2"/>
  <c r="AK23" i="2"/>
  <c r="AL23" i="2" s="1"/>
  <c r="AJ23" i="2"/>
  <c r="H23" i="2"/>
  <c r="AP22" i="2"/>
  <c r="AN22" i="2"/>
  <c r="AO22" i="2" s="1"/>
  <c r="AM22" i="2"/>
  <c r="AK22" i="2"/>
  <c r="AL22" i="2" s="1"/>
  <c r="AJ22" i="2"/>
  <c r="H22" i="2"/>
  <c r="AP21" i="2"/>
  <c r="AN21" i="2"/>
  <c r="AO21" i="2" s="1"/>
  <c r="AM21" i="2"/>
  <c r="AK21" i="2"/>
  <c r="AL21" i="2" s="1"/>
  <c r="AJ21" i="2"/>
  <c r="H21" i="2"/>
  <c r="AP20" i="2"/>
  <c r="AN20" i="2"/>
  <c r="AO20" i="2" s="1"/>
  <c r="AM20" i="2"/>
  <c r="AK20" i="2"/>
  <c r="AL20" i="2" s="1"/>
  <c r="AJ20" i="2"/>
  <c r="H20" i="2"/>
  <c r="AP19" i="2"/>
  <c r="AN19" i="2"/>
  <c r="AO19" i="2" s="1"/>
  <c r="AM19" i="2"/>
  <c r="AK19" i="2"/>
  <c r="AL19" i="2" s="1"/>
  <c r="AJ19" i="2"/>
  <c r="H19" i="2"/>
  <c r="AP18" i="2"/>
  <c r="AN18" i="2"/>
  <c r="AO18" i="2" s="1"/>
  <c r="AM18" i="2"/>
  <c r="AK18" i="2"/>
  <c r="AL18" i="2" s="1"/>
  <c r="AJ18" i="2"/>
  <c r="H18" i="2"/>
  <c r="AP17" i="2"/>
  <c r="AN17" i="2"/>
  <c r="AO17" i="2" s="1"/>
  <c r="AM17" i="2"/>
  <c r="AK17" i="2"/>
  <c r="AL17" i="2" s="1"/>
  <c r="AJ17" i="2"/>
  <c r="H17" i="2"/>
  <c r="AP16" i="2"/>
  <c r="AN16" i="2"/>
  <c r="AO16" i="2" s="1"/>
  <c r="AM16" i="2"/>
  <c r="AK16" i="2"/>
  <c r="AL16" i="2" s="1"/>
  <c r="AJ16" i="2"/>
  <c r="H16" i="2"/>
  <c r="AP15" i="2"/>
  <c r="AN15" i="2"/>
  <c r="AO15" i="2" s="1"/>
  <c r="AM15" i="2"/>
  <c r="AK15" i="2"/>
  <c r="AL15" i="2" s="1"/>
  <c r="AJ15" i="2"/>
  <c r="H15" i="2"/>
  <c r="AP14" i="2"/>
  <c r="AN14" i="2"/>
  <c r="AO14" i="2" s="1"/>
  <c r="AM14" i="2"/>
  <c r="AK14" i="2"/>
  <c r="AL14" i="2" s="1"/>
  <c r="AJ14" i="2"/>
  <c r="H14" i="2"/>
  <c r="AP13" i="2"/>
  <c r="AN13" i="2"/>
  <c r="AO13" i="2" s="1"/>
  <c r="AM13" i="2"/>
  <c r="AK13" i="2"/>
  <c r="AL13" i="2" s="1"/>
  <c r="AJ13" i="2"/>
  <c r="H13" i="2"/>
  <c r="AP12" i="2"/>
  <c r="AN12" i="2"/>
  <c r="AO12" i="2" s="1"/>
  <c r="AM12" i="2"/>
  <c r="AK12" i="2"/>
  <c r="AL12" i="2" s="1"/>
  <c r="AJ12" i="2"/>
  <c r="H12" i="2"/>
  <c r="AP11" i="2"/>
  <c r="AN11" i="2"/>
  <c r="AO11" i="2" s="1"/>
  <c r="AM11" i="2"/>
  <c r="AK11" i="2"/>
  <c r="AL11" i="2" s="1"/>
  <c r="AJ11" i="2"/>
  <c r="H11" i="2"/>
  <c r="AP10" i="2"/>
  <c r="AN10" i="2"/>
  <c r="AO10" i="2" s="1"/>
  <c r="AM10" i="2"/>
  <c r="AK10" i="2"/>
  <c r="AL10" i="2" s="1"/>
  <c r="AJ10" i="2"/>
  <c r="H10" i="2"/>
  <c r="AP9" i="2"/>
  <c r="AN9" i="2"/>
  <c r="AO9" i="2" s="1"/>
  <c r="AM9" i="2"/>
  <c r="AK9" i="2"/>
  <c r="AL9" i="2" s="1"/>
  <c r="AJ9" i="2"/>
  <c r="H9" i="2"/>
  <c r="AP8" i="2"/>
  <c r="AN8" i="2"/>
  <c r="AO8" i="2" s="1"/>
  <c r="AM8" i="2"/>
  <c r="AK8" i="2"/>
  <c r="AL8" i="2" s="1"/>
  <c r="AJ8" i="2"/>
  <c r="H8" i="2"/>
  <c r="AP7" i="2"/>
  <c r="AN7" i="2"/>
  <c r="AO7" i="2" s="1"/>
  <c r="AM7" i="2"/>
  <c r="AK7" i="2"/>
  <c r="AL7" i="2" s="1"/>
  <c r="AJ7" i="2"/>
  <c r="H7" i="2"/>
  <c r="AP6" i="2"/>
  <c r="AN6" i="2"/>
  <c r="AO6" i="2" s="1"/>
  <c r="AM6" i="2"/>
  <c r="AK6" i="2"/>
  <c r="AL6" i="2" s="1"/>
  <c r="AJ6" i="2"/>
  <c r="H6" i="2"/>
  <c r="AP5" i="2"/>
  <c r="AN5" i="2"/>
  <c r="AO5" i="2" s="1"/>
  <c r="AM5" i="2"/>
  <c r="AK5" i="2"/>
  <c r="AL5" i="2" s="1"/>
  <c r="AJ5" i="2"/>
  <c r="H5" i="2"/>
  <c r="AP4" i="2"/>
  <c r="AN4" i="2"/>
  <c r="AO4" i="2" s="1"/>
  <c r="AM4" i="2"/>
  <c r="AK4" i="2"/>
  <c r="AL4" i="2" s="1"/>
  <c r="AJ4" i="2"/>
  <c r="H4" i="2"/>
  <c r="AP3" i="2"/>
  <c r="AN3" i="2"/>
  <c r="AO3" i="2" s="1"/>
  <c r="AM3" i="2"/>
  <c r="AK3" i="2"/>
  <c r="AL3" i="2" s="1"/>
  <c r="AJ3" i="2"/>
  <c r="H3" i="2"/>
  <c r="AP2" i="2"/>
  <c r="AN2" i="2"/>
  <c r="AO2" i="2" s="1"/>
  <c r="AM2" i="2"/>
  <c r="AK2" i="2"/>
  <c r="AL2" i="2" s="1"/>
  <c r="AJ2" i="2"/>
  <c r="H2" i="2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C95" i="1"/>
  <c r="C94" i="1"/>
  <c r="C93" i="1"/>
  <c r="C92" i="1"/>
  <c r="C91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87" i="1" s="1"/>
  <c r="C65" i="1"/>
  <c r="C64" i="1"/>
  <c r="C63" i="1"/>
  <c r="C62" i="1"/>
  <c r="C61" i="1"/>
  <c r="C66" i="1" s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39" i="1"/>
  <c r="C38" i="1"/>
  <c r="C37" i="1"/>
  <c r="C36" i="1"/>
  <c r="C35" i="1"/>
  <c r="E28" i="1"/>
  <c r="D22" i="1"/>
  <c r="C22" i="1"/>
  <c r="E22" i="1" s="1"/>
  <c r="D21" i="1"/>
  <c r="D23" i="1" s="1"/>
  <c r="C21" i="1"/>
  <c r="E21" i="1" s="1"/>
  <c r="C20" i="1"/>
  <c r="D15" i="1"/>
  <c r="C15" i="1"/>
  <c r="E15" i="1" s="1"/>
  <c r="D14" i="1"/>
  <c r="C14" i="1"/>
  <c r="E14" i="1" s="1"/>
  <c r="D13" i="1"/>
  <c r="C13" i="1"/>
  <c r="E13" i="1" s="1"/>
  <c r="D12" i="1"/>
  <c r="C12" i="1"/>
  <c r="E12" i="1" s="1"/>
  <c r="D11" i="1"/>
  <c r="C11" i="1"/>
  <c r="E11" i="1" s="1"/>
  <c r="D10" i="1"/>
  <c r="C10" i="1"/>
  <c r="E10" i="1" s="1"/>
  <c r="D9" i="1"/>
  <c r="C9" i="1"/>
  <c r="E9" i="1" s="1"/>
  <c r="D8" i="1"/>
  <c r="E8" i="1" s="1"/>
  <c r="D7" i="1"/>
  <c r="C7" i="1"/>
  <c r="E7" i="1" s="1"/>
  <c r="D6" i="1"/>
  <c r="C6" i="1"/>
  <c r="D5" i="1"/>
  <c r="H30" i="6" l="1"/>
  <c r="H29" i="6"/>
  <c r="H17" i="6"/>
  <c r="H8" i="6"/>
  <c r="H7" i="6"/>
  <c r="H6" i="6"/>
  <c r="H28" i="6"/>
  <c r="H18" i="6"/>
  <c r="H16" i="6"/>
  <c r="D70" i="1"/>
  <c r="D71" i="1"/>
  <c r="D61" i="1"/>
  <c r="D54" i="1"/>
  <c r="C40" i="1"/>
  <c r="D81" i="1"/>
  <c r="D48" i="1"/>
  <c r="D80" i="1"/>
  <c r="D78" i="1"/>
  <c r="D55" i="1"/>
  <c r="D64" i="1"/>
  <c r="D65" i="1"/>
  <c r="D51" i="1"/>
  <c r="D77" i="1"/>
  <c r="D50" i="1"/>
  <c r="D76" i="1"/>
  <c r="D73" i="1"/>
  <c r="D72" i="1"/>
  <c r="D56" i="1"/>
  <c r="D47" i="1"/>
  <c r="D46" i="1"/>
  <c r="D45" i="1"/>
  <c r="D52" i="1"/>
  <c r="D49" i="1"/>
  <c r="D74" i="1"/>
  <c r="D79" i="1"/>
  <c r="D44" i="1"/>
  <c r="D63" i="1"/>
  <c r="D62" i="1"/>
  <c r="D75" i="1"/>
  <c r="D57" i="1"/>
  <c r="D53" i="1"/>
  <c r="D86" i="1"/>
  <c r="D85" i="1"/>
  <c r="D84" i="1"/>
  <c r="D83" i="1"/>
  <c r="D82" i="1"/>
  <c r="C23" i="1"/>
  <c r="E23" i="1" s="1"/>
  <c r="E20" i="1"/>
  <c r="C16" i="1"/>
  <c r="E6" i="1"/>
  <c r="D16" i="1"/>
  <c r="E5" i="1"/>
  <c r="E16" i="1" s="1"/>
  <c r="D40" i="1" l="1"/>
  <c r="D93" i="1"/>
  <c r="D94" i="1"/>
  <c r="D91" i="1"/>
  <c r="D92" i="1"/>
  <c r="D37" i="1"/>
  <c r="D39" i="1"/>
  <c r="D95" i="1"/>
  <c r="D38" i="1"/>
  <c r="D35" i="1"/>
  <c r="D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K30" authorId="0" shapeId="0" xr:uid="{00000000-0006-0000-0100-000001000000}">
      <text>
        <r>
          <rPr>
            <sz val="11"/>
            <color theme="1"/>
            <rFont val="Calibri"/>
            <scheme val="minor"/>
          </rPr>
          <t xml:space="preserve">thể lại:
</t>
        </r>
      </text>
    </comment>
    <comment ref="K33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thể lại:
</t>
        </r>
      </text>
    </comment>
  </commentList>
</comments>
</file>

<file path=xl/sharedStrings.xml><?xml version="1.0" encoding="utf-8"?>
<sst xmlns="http://schemas.openxmlformats.org/spreadsheetml/2006/main" count="3193" uniqueCount="1272">
  <si>
    <t>Phase</t>
  </si>
  <si>
    <t>Nội dung</t>
  </si>
  <si>
    <t>Mốc hoàn thành</t>
  </si>
  <si>
    <t>Company</t>
  </si>
  <si>
    <t>Taxcode</t>
  </si>
  <si>
    <t>From Date</t>
  </si>
  <si>
    <t>To Date</t>
  </si>
  <si>
    <t>Status</t>
  </si>
  <si>
    <t>Ghi chú</t>
  </si>
  <si>
    <t>P0</t>
  </si>
  <si>
    <t>Training Captcha cho Công ty cung cấp hóa đơn điện tử</t>
  </si>
  <si>
    <t>Lấy mẫu captcha trong link tra cứu của các công ty rồi đêm về training cho AI để sau này phục vụ lấy và xử lý dữ liệu</t>
  </si>
  <si>
    <t xml:space="preserve">Hoàn thành (&gt; 90%): 12/23
Giải bằng ddddocr, không cần model: 4/23 (ASIA, VI NA, PA Việt Nam, VNISC)
Đang training: 7/23 (Thái Sơn, VNInvoice, Ngô Gia Phát, Bitware, VDSG, Lạc Việt, dịch vụ công)
Còn lại: 0/23
</t>
  </si>
  <si>
    <t>Công ty Cổ phần Đầu tư công nghệ và thương mại Softdreams</t>
  </si>
  <si>
    <t>0105987432</t>
  </si>
  <si>
    <t>Hoàn thành</t>
  </si>
  <si>
    <t>Công ty Cổ phần CyberLotus</t>
  </si>
  <si>
    <t>0105232093</t>
  </si>
  <si>
    <t>Công ty TNHH Giải pháp công nghệ Ngô Gia Phát</t>
  </si>
  <si>
    <t>0311942758</t>
  </si>
  <si>
    <t>Công ty Cổ phần Megabiz Việt Nam</t>
  </si>
  <si>
    <t>0105844836</t>
  </si>
  <si>
    <t>Công ty TNHH Phát triển công nghệ Thái Sơn</t>
  </si>
  <si>
    <t>0101300842</t>
  </si>
  <si>
    <t>Công ty Cổ phần Công nghệ thông tin Đông Nam Á</t>
  </si>
  <si>
    <t>0102454468</t>
  </si>
  <si>
    <t>Công ty Cổ phần phát triển phần mềm ASIA</t>
  </si>
  <si>
    <t>0101162173</t>
  </si>
  <si>
    <t>Đang training</t>
  </si>
  <si>
    <t>Công ty Cổ phần thương mại Visnam</t>
  </si>
  <si>
    <t>0401486901</t>
  </si>
  <si>
    <t>Tập Đoàn Bưu chính viễn thông Việt Nam</t>
  </si>
  <si>
    <t>0100684378</t>
  </si>
  <si>
    <t>Công ty Cổ phần Giải pháp hóa đơn điện tử Việt Nam</t>
  </si>
  <si>
    <t>0101352495</t>
  </si>
  <si>
    <t>Công ty Cổ phần chữ ký số VI NA</t>
  </si>
  <si>
    <t>0309612872</t>
  </si>
  <si>
    <t>Công ty TNHH PA Việt Nam</t>
  </si>
  <si>
    <t>0302431595</t>
  </si>
  <si>
    <t>Công ty Cổ phần tích hợp công nghệ VNISC</t>
  </si>
  <si>
    <t>0103018807</t>
  </si>
  <si>
    <t>Công ty TNHH Giải pháp hóa đơn điện tử My – Invoice</t>
  </si>
  <si>
    <t>0106820789</t>
  </si>
  <si>
    <t>Công ty TNHH Giấy vi tính Liên Sơn</t>
  </si>
  <si>
    <t>0301452923</t>
  </si>
  <si>
    <t>Công ty Cổ phần phát triển phần mềm và công nghệ Bitware</t>
  </si>
  <si>
    <t>0103770970</t>
  </si>
  <si>
    <t>Công ty TNHH Viễn thông Đông Sài Gòn</t>
  </si>
  <si>
    <t>0314058603</t>
  </si>
  <si>
    <t>Công ty Cổ phần Tin học Lạc Việt</t>
  </si>
  <si>
    <t>0301448733</t>
  </si>
  <si>
    <t>Công ty TNHH WEBCASH Việt Nam</t>
  </si>
  <si>
    <t>1201496252</t>
  </si>
  <si>
    <t>Công ty TNHH Nhóm Mây</t>
  </si>
  <si>
    <t>0312617990</t>
  </si>
  <si>
    <t>Công ty Cổ phần Technology Convergence Corporation</t>
  </si>
  <si>
    <t>0109045760</t>
  </si>
  <si>
    <t>Tổng Công ty Dầu Việt Nam - CTCP (PVOIL)</t>
  </si>
  <si>
    <t>0305795054</t>
  </si>
  <si>
    <t>Tỗng cục Thuế</t>
  </si>
  <si>
    <t>dich vụ công</t>
  </si>
  <si>
    <t>Lấy dữ liệu XML từ Thuế</t>
  </si>
  <si>
    <t>Đã lấy dữ liệu XML từ Thuế về parse XML vào DB và xử lý các bước tiếp theo</t>
  </si>
  <si>
    <t>Từ danh mục hóa đơn từ Thuế đã lấy được dữ liệu</t>
  </si>
  <si>
    <t>Lấy dữ liệu PDF từ NCC thông qua XML</t>
  </si>
  <si>
    <t>Từ dữ liệu XML lấy ra thông tin NCC rồi lấy thông tin tra cứu hd PDF và lấy hd gốc về.</t>
  </si>
  <si>
    <t>Đã lấy được PDF gốc từ 28 NCC (27/10)
Sẵn sàng (có adapter, chưa có HĐ thật để thử): 44 NCC
Chỉ tra được bằng mã trong mail: PA Việt Nam, ASIA, Fahasa, MobiFone, KiotViet, WeTax
Bị chặn reCAPTCHA/Turnstile → lấy qua mail: HT, EFY, FPT, CMC, TS24</t>
  </si>
  <si>
    <t>Công ty TNHH Công nghệ Vĩnh Hy</t>
  </si>
  <si>
    <t>0314743623</t>
  </si>
  <si>
    <t>Công ty TNHH Hệ thống thông tin FPT</t>
  </si>
  <si>
    <t>0104128565</t>
  </si>
  <si>
    <t>Chưa hoàn thành</t>
  </si>
  <si>
    <t>bị chặn bởi reCAPTCHA, lấy qua mail. dính reCAPTCHA v3</t>
  </si>
  <si>
    <t>Công ty Cổ phần Công nghệ tin học EFY Việt Nam</t>
  </si>
  <si>
    <t>0102519041</t>
  </si>
  <si>
    <t>Công ty TNHH L.C.S</t>
  </si>
  <si>
    <t>0302999571</t>
  </si>
  <si>
    <t>Không làm được qua link tra cứu – bị chặn bởi reCAPTCHA v2 (server kiểm), lấy qua mail. eip.lcssoft.com.vn</t>
  </si>
  <si>
    <t>Công ty TNHH Soft Ware KK VAT</t>
  </si>
  <si>
    <t>0313963672</t>
  </si>
  <si>
    <t>Sẵn sàng</t>
  </si>
  <si>
    <t>Công ty Cổ phần Mắt Bão</t>
  </si>
  <si>
    <t>0302712571</t>
  </si>
  <si>
    <t>Công ty Cổ phần công nghệ thẻ Nacencomm</t>
  </si>
  <si>
    <t>0103930279</t>
  </si>
  <si>
    <t>Công ty TNHH Công nghệ LCD Việt Nam</t>
  </si>
  <si>
    <t>0312483391</t>
  </si>
  <si>
    <t>Không làm được qua link tra cứu – cổng lỗi. azinvoice.vn (khảo sát 14/10: Faile)</t>
  </si>
  <si>
    <t>Công ty Cổ phần MISA</t>
  </si>
  <si>
    <t>0101243150</t>
  </si>
  <si>
    <t>Công ty TNHH Hóa đơn điện tử M-INVOICE</t>
  </si>
  <si>
    <t>0106026495</t>
  </si>
  <si>
    <t>Công ty Cổ phần Phát triển công nghệ Nguyễn Minh</t>
  </si>
  <si>
    <t>0313906508</t>
  </si>
  <si>
    <t>Chưa làm – danh sách chưa có link tra cứu, chưa có HĐ thật</t>
  </si>
  <si>
    <t>lấy được đa số, Grab không lấy được</t>
  </si>
  <si>
    <t>Công ty TNHH Máy tính và truyền thông công nghệ kết nối</t>
  </si>
  <si>
    <t>0306784030</t>
  </si>
  <si>
    <t>Không làm được qua link tra cứu – bị chặn bởi reCAPTCHA v2 (server kiểm), lấy qua mail. dính reCAPTCHA Enterprise</t>
  </si>
  <si>
    <t>Công ty Cổ phần công nghệ số và in đồ họa</t>
  </si>
  <si>
    <t>0200638946</t>
  </si>
  <si>
    <t>Không làm được qua link tra cứu – đại lý cổng FPT (reCAPTCHA v3), lấy qua mail. oinvoice.vn chuyển sang tracuuhoadon.fpt.com.vn; /api/search trả 500 invalid-input-response</t>
  </si>
  <si>
    <t>Công ty TNHH Win Tech Solution</t>
  </si>
  <si>
    <t>0312303803</t>
  </si>
  <si>
    <t>Tập đoàn Công nghiệp - Viễn thông quân đội</t>
  </si>
  <si>
    <t>0100109106</t>
  </si>
  <si>
    <t>Không làm được qua link tra cứu – phải đăng nhập. tax24.com.vn/einvoice là cổng đăng nhập doanh nghiệp, không có tra cứu công khai</t>
  </si>
  <si>
    <t>Công ty Cổ phần hóa đơn điện tử New-Invoice</t>
  </si>
  <si>
    <t>0105937449</t>
  </si>
  <si>
    <t>Không làm được qua link tra cứu – bị chặn bởi reCAPTCHA v2 (server kiểm), lấy qua mail. newinvoice.com.vn</t>
  </si>
  <si>
    <t>Công ty Cổ phần Giải pháp phần mềm 3A</t>
  </si>
  <si>
    <t>0108516079</t>
  </si>
  <si>
    <t>Chưa làm. hddt.3asoft.vn: mtk + shd + mst, không captcha</t>
  </si>
  <si>
    <t>Tổng công ty Viễn thông Mobifone</t>
  </si>
  <si>
    <t>0100686209</t>
  </si>
  <si>
    <t>Công ty Cổ phần BKAV</t>
  </si>
  <si>
    <t>0101360697</t>
  </si>
  <si>
    <t>Công ty Cổ phần Thiết bị điện - Điện tử Bách Khoa</t>
  </si>
  <si>
    <t>0200784873</t>
  </si>
  <si>
    <t>pmbk – không captcha</t>
  </si>
  <si>
    <t>27/10: thêm cổng Nội Bài invoice-noibai.vietnamairport.vn → han-tt78.vnpt-invoice.com.vn (Fkey trong link mail, thật 1/1); host -tt78 có dấu '_' cũng nhận</t>
  </si>
  <si>
    <t>Công ty Cổ phần dịch vụ T-VAN HILO</t>
  </si>
  <si>
    <t>0106713804</t>
  </si>
  <si>
    <t>Công ty Cổ phần Minh Khang Group</t>
  </si>
  <si>
    <t>0314209362</t>
  </si>
  <si>
    <t>Chưa làm được – model captcha g_180x50_vn còn sai hoa/thường. tracuu.v50.vninvoice.vn, không reCAPTCHA; cần gán lại nhãn + train</t>
  </si>
  <si>
    <t>Công ty Cổ phần giải pháp thanh toán Việt Nam</t>
  </si>
  <si>
    <t>0102182292</t>
  </si>
  <si>
    <t>Không làm được qua link tra cứu – reCAPTCHA v3 (khảo sát 14/10), lấy qua mail. portal.vnpayinvoice.vn</t>
  </si>
  <si>
    <t>Công ty Cổ phần ICORP</t>
  </si>
  <si>
    <t>0106870211</t>
  </si>
  <si>
    <t>vietinvoice – 2 cổng, không captcha</t>
  </si>
  <si>
    <t>Công ty Cổ phần đầu tư và công nghệ idocNet</t>
  </si>
  <si>
    <t>0104614692</t>
  </si>
  <si>
    <t>Không làm được qua link tra cứu – bị chặn bởi reCAPTCHA v2 (server kiểm), lấy qua mail. hoadontvan.com</t>
  </si>
  <si>
    <t>Công ty Cổ phần TS24</t>
  </si>
  <si>
    <t>0309478306</t>
  </si>
  <si>
    <t>bị chặn bởi Cloudflare Turnstile, lấy qua mail. tracuu.xuathoadon.vn</t>
  </si>
  <si>
    <t>Công ty TNHH Hóa đơn điện tử TCT</t>
  </si>
  <si>
    <t>0315298333</t>
  </si>
  <si>
    <t>Không làm được qua link tra cứu – site đã đổi chủ</t>
  </si>
  <si>
    <t>Công ty TNHH Tin học Tia lửa Việt</t>
  </si>
  <si>
    <t>0303609305</t>
  </si>
  <si>
    <t>tialuaviet – phần mềm Vĩnh Hy, không captcha</t>
  </si>
  <si>
    <t>Công ty Cổ phần phần mềm quản lý doanh nghiệp</t>
  </si>
  <si>
    <t>0100727825</t>
  </si>
  <si>
    <t>Công ty TNHH ACCONLINE.VN</t>
  </si>
  <si>
    <t>0315467091</t>
  </si>
  <si>
    <t>Không làm được qua link tra cứu – bị chặn bởi reCAPTCHA v2 (server kiểm), lấy qua mail. acconline.vn</t>
  </si>
  <si>
    <t>Công ty Cổ phần công nghệ hóa đơn điện tử HT</t>
  </si>
  <si>
    <t>0315638251</t>
  </si>
  <si>
    <t>bị chặn bởi reCAPTCHA, lấy qua mail. laphoadon.htinvoice.vn: 'Xác thực không thành công. Recaptcha'</t>
  </si>
  <si>
    <t>Công ty Cổ phần công nghệ ITT</t>
  </si>
  <si>
    <t>0105958921</t>
  </si>
  <si>
    <t>Chưa làm – chưa có HĐ thật. tracuu.cloudinvoice.vn: 1 ô mã tra cứu, không captcha</t>
  </si>
  <si>
    <t>myinvoicevn – xcyber bill2app, captcha g_300x75; 27/10 cổng tracuu.hoadondientuvn.info không truy cập được</t>
  </si>
  <si>
    <t>Công ty Cổ phần Chứng số An toàn</t>
  </si>
  <si>
    <t>0310151055</t>
  </si>
  <si>
    <t>Không làm được qua link tra cứu – bị chặn bởi reCAPTCHA v2 (server kiểm), lấy qua mail. safecert.com.vn</t>
  </si>
  <si>
    <t>Công ty Cổ phần công nghệ San Phú</t>
  </si>
  <si>
    <t>0303430876</t>
  </si>
  <si>
    <t>Không làm được qua link tra cứu – chỉ là công cụ đọc XML. dailychukyso.com.vn/read-xml.php</t>
  </si>
  <si>
    <t>lienson – nền xcyber, captcha g_300x75 (server nhận)</t>
  </si>
  <si>
    <t>Công ty TNHH Thương Mại dịch vụ Online VI NA</t>
  </si>
  <si>
    <t>0314185087</t>
  </si>
  <si>
    <t>Công ty Cổ phần dịch vụ viễn thông và in Bưu điện</t>
  </si>
  <si>
    <t>0100687474</t>
  </si>
  <si>
    <t>ptp – MST bán + số bảo mật</t>
  </si>
  <si>
    <t>Công ty TNHH Tuần Châu</t>
  </si>
  <si>
    <t>0400462489</t>
  </si>
  <si>
    <t>tuanchau – phần mềm Vĩnh Hy, không captcha</t>
  </si>
  <si>
    <t>Công ty TNHH Minh Thư</t>
  </si>
  <si>
    <t>3500456910</t>
  </si>
  <si>
    <t>minhthu – phần mềm Vĩnh Hy, không captcha</t>
  </si>
  <si>
    <t>Công ty Cổ phần phát triển công nghệ ACMAN</t>
  </si>
  <si>
    <t>0104908371</t>
  </si>
  <si>
    <t>acman – form WebForms</t>
  </si>
  <si>
    <t>Công ty TNHH Tư vấn thương mại Trí Việt Luật</t>
  </si>
  <si>
    <t>0315191291</t>
  </si>
  <si>
    <t>evat – hoadonsovn.evat.vn, không captcha</t>
  </si>
  <si>
    <t>Công ty TNHH Đầu tư Hòn Ngọc Việt</t>
  </si>
  <si>
    <t>0313844107</t>
  </si>
  <si>
    <t>Không làm được qua link tra cứu – cổng không có tra cứu HĐ. voice.hoadondientu.net.vn: chỉ ô tìm kiếm tin tức</t>
  </si>
  <si>
    <t>Công ty TNHH Dịch vụ Trí Việt Luật</t>
  </si>
  <si>
    <t>0311622035</t>
  </si>
  <si>
    <t>evat – tvl.evat.vn, không captcha (không cần đăng nhập)</t>
  </si>
  <si>
    <t>Công ty Cổ phần truyền số liệu Việt Nam</t>
  </si>
  <si>
    <t>0106361479</t>
  </si>
  <si>
    <t>Chưa có thông tin</t>
  </si>
  <si>
    <t>Công ty TNHH NC9 Việt Nam</t>
  </si>
  <si>
    <t>0312270160</t>
  </si>
  <si>
    <t>Công ty Cổ phần giải pháp First Trust</t>
  </si>
  <si>
    <t>0104493085</t>
  </si>
  <si>
    <t>Chưa làm. Link trỏ về cổng FAST (invoice.fast.com.vn); có HĐ thật thì thử gán adapter fast (set-provider)</t>
  </si>
  <si>
    <t>Công ty TNHH Phần mềm Nhân Hòa</t>
  </si>
  <si>
    <t>0101289966</t>
  </si>
  <si>
    <t>Không làm được qua link tra cứu – reCAPTCHA v3 (khảo sát 14/10), lấy qua mail. tracuu.e-hoadon.cloud</t>
  </si>
  <si>
    <t>Công ty TNHH Kế toán và tư vấn V.L.C</t>
  </si>
  <si>
    <t>0303211948</t>
  </si>
  <si>
    <t>evat – vlc.evat.vn, không captcha</t>
  </si>
  <si>
    <t>Công ty Cổ phần Công nghệ và giải pháp Tâm Việt</t>
  </si>
  <si>
    <t>0101622374</t>
  </si>
  <si>
    <t>Công ty TNHH Dịch vụ phần mềm AVSE</t>
  </si>
  <si>
    <t>0310768095</t>
  </si>
  <si>
    <t>avse</t>
  </si>
  <si>
    <t>Công ty TNHH MTV in Bến Thành</t>
  </si>
  <si>
    <t>0312961577</t>
  </si>
  <si>
    <t>Không làm được qua link tra cứu – cổng lỗi. tracuuhoadon.benthanhvoice.vn</t>
  </si>
  <si>
    <t>Công ty TNHH ZAMO</t>
  </si>
  <si>
    <t>0313950909</t>
  </si>
  <si>
    <t>koffi – mã trong mail</t>
  </si>
  <si>
    <t>Công ty Cổ phần công nghệ VIETINFO</t>
  </si>
  <si>
    <t>0311928954</t>
  </si>
  <si>
    <t>vietinfo – mã + ngày lập</t>
  </si>
  <si>
    <t>Chưa làm được – model captcha g_70x23 chưa dùng được. bitware.vn/tracuuhoadon</t>
  </si>
  <si>
    <t>Công ty Cổ phần phần mềm Rosy</t>
  </si>
  <si>
    <t>0305142231</t>
  </si>
  <si>
    <t>Công ty TNHH MTV thương mại dịch vụ Trần Đình Tùng</t>
  </si>
  <si>
    <t>3702037020</t>
  </si>
  <si>
    <t>evat – trandinhtung.evat.vn, không captcha</t>
  </si>
  <si>
    <t>Công ty TNHH Tổng công ty Công nghệ và Giải pháp CMC</t>
  </si>
  <si>
    <t>0101925883</t>
  </si>
  <si>
    <t>bị chặn bởi reCAPTCHA, lấy qua mail. dính reCAPTCHA Enterprise</t>
  </si>
  <si>
    <t>Công ty TNHH Công nghệ và tư vấn Phương Nam</t>
  </si>
  <si>
    <t>0316642395</t>
  </si>
  <si>
    <t>Công ty TNHH Dịch vụ kế toán - Tư vấn thuế TTL</t>
  </si>
  <si>
    <t>0315194912</t>
  </si>
  <si>
    <t>evat – tracuu.ttltax.com, không captcha</t>
  </si>
  <si>
    <t>Công ty Cô phần Công nghệ Phát triển hóa đơn điện tử Việt Nam</t>
  </si>
  <si>
    <t>0315983667</t>
  </si>
  <si>
    <t>Chưa làm – cổng lỗi máy chủ, chưa có HĐ thật</t>
  </si>
  <si>
    <t>Công ty TNHH Phần mềm kế toán và dịch vụ thủ tục thuế Sài Gòn</t>
  </si>
  <si>
    <t>0310926922</t>
  </si>
  <si>
    <t>ehcm</t>
  </si>
  <si>
    <t>Công ty Cổ phần Phần mềm Thăng Long</t>
  </si>
  <si>
    <t>0101010702</t>
  </si>
  <si>
    <t>Công ty Cổ phần Hóa đơn điện tử TIG Thăng Long</t>
  </si>
  <si>
    <t>0102720409</t>
  </si>
  <si>
    <t>Không làm được qua link tra cứu – phải đăng nhập. vdsg-invoice.vn, BotDetect trên form đăng nhập</t>
  </si>
  <si>
    <t>Chưa làm được – chưa có model captcha (g_150x32). accnet.vn / lacviet.hdtt.vn</t>
  </si>
  <si>
    <t>Công ty Cổ phần Công nghệ TADU</t>
  </si>
  <si>
    <t>0313253288</t>
  </si>
  <si>
    <t>Chưa làm. tracuu.autoinvoice.vn: ZK framework (/zkau), không captcha</t>
  </si>
  <si>
    <t>Công ty Cổ phần Công nghệ UNIT</t>
  </si>
  <si>
    <t>0309889835</t>
  </si>
  <si>
    <t>Chưa làm</t>
  </si>
  <si>
    <t>Công ty Cổ phần phát triển và ứng dụng phần mềm Bách Khoa</t>
  </si>
  <si>
    <t>0202029650</t>
  </si>
  <si>
    <t>Công ty Cổ phần My Software</t>
  </si>
  <si>
    <t>0108971656</t>
  </si>
  <si>
    <t>Công ty TNHH Công nghệ HT Sài Gòn</t>
  </si>
  <si>
    <t>0312942260</t>
  </si>
  <si>
    <t>Công ty TNHH Phần mềm và Tư vấn Kim Tự Tháp</t>
  </si>
  <si>
    <t>0303549303</t>
  </si>
  <si>
    <t>kimtuthap – mã bí mật GUID</t>
  </si>
  <si>
    <t>Công ty TNHH Phần mềm BRB</t>
  </si>
  <si>
    <t>0311914694</t>
  </si>
  <si>
    <t>Công ty Cổ phần Hóa đơn điện tử VININVOICE</t>
  </si>
  <si>
    <t>0109282176</t>
  </si>
  <si>
    <t>Trung tâm Tin học và Công nghệ số</t>
  </si>
  <si>
    <t>0102723181</t>
  </si>
  <si>
    <t>Công ty Cổ phần VETC</t>
  </si>
  <si>
    <t>0106858609</t>
  </si>
  <si>
    <t>Công ty TNHH Phần mềm PVS</t>
  </si>
  <si>
    <t>0315151651</t>
  </si>
  <si>
    <t>Không làm được qua link tra cứu – cổng lỗi. invoice.pvssolution.com</t>
  </si>
  <si>
    <t>Công ty Cổ phần Dịch vụ Thương mại Việt Nam trực tuyến</t>
  </si>
  <si>
    <t>0310151739</t>
  </si>
  <si>
    <t>Công ty TNHH Ecount Việt Nam</t>
  </si>
  <si>
    <t>0312575123</t>
  </si>
  <si>
    <t>Công ty Cổ phần ATIS</t>
  </si>
  <si>
    <t>0107732197</t>
  </si>
  <si>
    <t>Công ty Cổ phần GMO-Z.com RUNSYSTEM</t>
  </si>
  <si>
    <t>0101659906</t>
  </si>
  <si>
    <t>Không làm được qua link tra cứu – cổng lỗi. tracuu.kaike.vn</t>
  </si>
  <si>
    <t>Công ty Cổ phần Tin học - Viễn thông Hàng không</t>
  </si>
  <si>
    <t>0103019524</t>
  </si>
  <si>
    <t>Công ty TNHH Bizzi VietNam</t>
  </si>
  <si>
    <t>0316114998</t>
  </si>
  <si>
    <t>Không làm được qua link tra cứu – bị chặn bởi Cloudflare Turnstile, lấy qua mail. tchd.bizzi.vn</t>
  </si>
  <si>
    <t>Công ty Cổ phần Công nghệ BEE</t>
  </si>
  <si>
    <t>0316636497</t>
  </si>
  <si>
    <t>Công ty Cổ phần MONT-E</t>
  </si>
  <si>
    <t>0106249501</t>
  </si>
  <si>
    <t>Công ty TNHH Tư vấn và Dịch vụ Home Casta</t>
  </si>
  <si>
    <t>0201802839</t>
  </si>
  <si>
    <t>Công ty CP Tư vấn và Chuyển giao công nghệ Sơn Phát</t>
  </si>
  <si>
    <t>4601328480</t>
  </si>
  <si>
    <t>Công ty Cổ phần công nghệ KIOTVIET</t>
  </si>
  <si>
    <t>0104359717</t>
  </si>
  <si>
    <t>Công ty Cổ phần công nghệ HARAVAN</t>
  </si>
  <si>
    <t>0312662961</t>
  </si>
  <si>
    <t>Không làm được qua link tra cứu – reCAPTCHA v3 (khảo sát 14/10), lấy qua mail. e-invoices.haravan.app</t>
  </si>
  <si>
    <t>Công ty Cổ phần IPOS.VN</t>
  </si>
  <si>
    <t>0104789847</t>
  </si>
  <si>
    <t>Công ty Cổ phần Dịch vụ Chữ ký số INTRUST</t>
  </si>
  <si>
    <t>0110333410</t>
  </si>
  <si>
    <t>intrust – reCAPTCHA trên trang nhưng server không kiểm</t>
  </si>
  <si>
    <t>Công ty Cổ phần SCHOOL TECH</t>
  </si>
  <si>
    <t>0317509886</t>
  </si>
  <si>
    <t>intrust (chung cổng INTRUST)</t>
  </si>
  <si>
    <t>Công ty Cổ phần Công nghệ Sapo</t>
  </si>
  <si>
    <t>0103243195</t>
  </si>
  <si>
    <t>sapo</t>
  </si>
  <si>
    <t>Công ty TNHH Pancake Việt Nam</t>
  </si>
  <si>
    <t>0109039397</t>
  </si>
  <si>
    <t>Không làm được qua link tra cứu – reCAPTCHA v3 (khảo sát 14/10), lấy qua mail. tracuu.pancake.vn</t>
  </si>
  <si>
    <t>Công ty Cổ phần Giải pháp số IGAS</t>
  </si>
  <si>
    <t>0111090707</t>
  </si>
  <si>
    <t>Công ty TNHH OG Technologies</t>
  </si>
  <si>
    <t>0109996406</t>
  </si>
  <si>
    <t>Công ty Cổ phần giải pháp doanh nghiệp TTC</t>
  </si>
  <si>
    <t>0318511655</t>
  </si>
  <si>
    <t>iam (thoadon)</t>
  </si>
  <si>
    <t>Công ty Cổ phần phần mềm IAM Việt Nam</t>
  </si>
  <si>
    <t>0109193102</t>
  </si>
  <si>
    <t>iam (iamsoftware)</t>
  </si>
  <si>
    <t>Công ty Cổ phần Công nghệ thông minh SFIN</t>
  </si>
  <si>
    <t>0109959309</t>
  </si>
  <si>
    <t>Công ty TNHH Truyền hình cáp SaigonTourist</t>
  </si>
  <si>
    <t>0301463315</t>
  </si>
  <si>
    <t>sctv – số bảo mật</t>
  </si>
  <si>
    <t>Công ty Cổ phần Dịch vụ Di động Trực tuyến</t>
  </si>
  <si>
    <t>0305289153</t>
  </si>
  <si>
    <t>mmhoadon</t>
  </si>
  <si>
    <t>Công ty Cổ phần Công nghệ Go Việt Nam</t>
  </si>
  <si>
    <t>0111245245</t>
  </si>
  <si>
    <t>gohoadon</t>
  </si>
  <si>
    <t>Công ty TNHH Công nghệ và Dịch vụ thuế TAXNET</t>
  </si>
  <si>
    <t>0110784036</t>
  </si>
  <si>
    <t>Không làm được qua link tra cứu – reCAPTCHA v3 (khảo sát 14/10), lấy qua mail. tracuuhoadon.taxnet.vn</t>
  </si>
  <si>
    <t>Công ty Cổ phần Công nghệ AIBAT</t>
  </si>
  <si>
    <t>0110585520</t>
  </si>
  <si>
    <t>Công ty Cổ phần Nhanh.VN</t>
  </si>
  <si>
    <t>0108824877</t>
  </si>
  <si>
    <t>Công ty Cổ phần Công nghệ NCCA</t>
  </si>
  <si>
    <t>0106166781</t>
  </si>
  <si>
    <t>Không làm được qua link tra cứu – phải đăng nhập. hddt.hddt-nc.vn</t>
  </si>
  <si>
    <t>Công ty Cổ phần Ứng dụng Công nghệ Vũ Hải</t>
  </si>
  <si>
    <t>0108190282</t>
  </si>
  <si>
    <t>Không làm được qua link tra cứu – cổng lỗi. hoadon.vuhai.co</t>
  </si>
  <si>
    <t>Công ty Cổ phần Công nghệ Trường Minh Thịnh</t>
  </si>
  <si>
    <t>0311174986</t>
  </si>
  <si>
    <t>Công ty TNHH Casso</t>
  </si>
  <si>
    <t>0316794479</t>
  </si>
  <si>
    <t>Công ty Cổ phần Dịch vụ EPAY</t>
  </si>
  <si>
    <t>0108269133</t>
  </si>
  <si>
    <t>Công ty Cổ phần Giải pháp ATOM</t>
  </si>
  <si>
    <t>0316887099</t>
  </si>
  <si>
    <t>Công ty TNHH Dịch vụ và Giải pháp Phần mềm Bado</t>
  </si>
  <si>
    <t>1602159776</t>
  </si>
  <si>
    <t>Không làm được qua link tra cứu – reCAPTCHA v3 (khảo sát 14/10), lấy qua mail. tracuu.bado.vn</t>
  </si>
  <si>
    <t>Tổng Công ty Bưu điện Việt Nam</t>
  </si>
  <si>
    <t>0102595740</t>
  </si>
  <si>
    <t>vnpost – mã xác thực chỉ kiểm ở trình duyệt</t>
  </si>
  <si>
    <t>Công ty CP Giải pháp số ONTIK</t>
  </si>
  <si>
    <t>0110400071</t>
  </si>
  <si>
    <t>Không làm được qua link tra cứu – phải đăng nhập. hoadon.ontik.vn</t>
  </si>
  <si>
    <t>Công ty CP Công nghệ và dịch vụ MOBILE-ID</t>
  </si>
  <si>
    <t>0313994173</t>
  </si>
  <si>
    <t>Không làm được qua link tra cứu – bị chặn bởi reCAPTCHA v2 (server kiểm), lấy qua mail. trustedbilling.mobile-id.vn</t>
  </si>
  <si>
    <t>Công ty Cổ phần Sun-Invoice Việt Nam</t>
  </si>
  <si>
    <t>0111488368</t>
  </si>
  <si>
    <t>Công ty Cổ phần ESBT</t>
  </si>
  <si>
    <t>0108933234</t>
  </si>
  <si>
    <t>Công ty TNHH Tư vấn – Thương mại Khánh Linh</t>
  </si>
  <si>
    <t>0307633556</t>
  </si>
  <si>
    <t>Công ty TNHH LIMI Tech</t>
  </si>
  <si>
    <t>0111423385</t>
  </si>
  <si>
    <t>Lấy dữ liệu PDF từ NCC thông qua mail</t>
  </si>
  <si>
    <t>Đọc hộp mail hóa đơn (IMAP, chỉ đọc, không mở link): lấy PDF/XML đính kèm, hoặc link + mã tra cứu trong mail rồi tải qua adapter NCC; tự khớp vào HĐ đã có trong DB.</t>
  </si>
  <si>
    <t>Đã lấy được PDF gốc qua mail từ 32 NCC (27/10)
Ngoài danh sách: 247Express (cổng riêng), Fahasa (FPT tự cài riêng)</t>
  </si>
  <si>
    <t>Chưa có mail/PDF nào của NCC này (kiểm DB 27/10)</t>
  </si>
  <si>
    <t>link mail bị chặn reCAPTCHA (server kiểm), chờ mail kèm PDF</t>
  </si>
  <si>
    <t>TỔNG QUÁT DANH SÁCH CÔNG TY / COMPANY LIST OVERVIEW</t>
  </si>
  <si>
    <t>Nguồn: Sheet1 (cột F "Loại", cột H "Trạng thái lấy mẫu captcha" = "Xong") / Source: Sheet1</t>
  </si>
  <si>
    <t>STT
No.</t>
  </si>
  <si>
    <t>Loại
Type</t>
  </si>
  <si>
    <t>Số công ty
Companies</t>
  </si>
  <si>
    <t>Đã lấy mẫu captcha (Xong)
Captcha sampled</t>
  </si>
  <si>
    <t>Chưa làm
Not yet</t>
  </si>
  <si>
    <t>Không có captcha</t>
  </si>
  <si>
    <t>có captcha</t>
  </si>
  <si>
    <t>captcha dạng tích</t>
  </si>
  <si>
    <t>domain không phân giải</t>
  </si>
  <si>
    <t>đăng nhập mới xem hóa đơn</t>
  </si>
  <si>
    <t>lỗi máy chủ</t>
  </si>
  <si>
    <t>dạng hình ảnh</t>
  </si>
  <si>
    <t>site đã đổi chủ (redirect sang sanmuasam.com)</t>
  </si>
  <si>
    <t>đọc xml</t>
  </si>
  <si>
    <t>site đã đổi chủ (redirect sang trang cờ bạc)</t>
  </si>
  <si>
    <t>site lỗi 503</t>
  </si>
  <si>
    <t>TỔNG / TOTAL</t>
  </si>
  <si>
    <t>NHÓM CÓ CAPTCHA / CAPTCHA GROUP TRAINING AI</t>
  </si>
  <si>
    <t>Loại / Type</t>
  </si>
  <si>
    <t>Số công ty / Companies</t>
  </si>
  <si>
    <t>Đã làm / Done</t>
  </si>
  <si>
    <t>Tỷ lệ / %</t>
  </si>
  <si>
    <t>Tổng nhóm captcha / Group total</t>
  </si>
  <si>
    <t>Ghi chú / Notes:</t>
  </si>
  <si>
    <t>"Không có captcha" và "không có captcha" (khác hoa/thường) được gộp làm một. / Case variants merged.</t>
  </si>
  <si>
    <t>Nhóm captcha giả định gồm: có captcha, captcha dạng tích, dạng hình ảnh. / Assumed captcha group.</t>
  </si>
  <si>
    <t xml:space="preserve">Đối chiếu tổng số dòng Sheet1 (cột B): </t>
  </si>
  <si>
    <t>KHẢO SÁT FORM TRA CỨU HÓA ĐƠN / LOOKUP FORM SURVEY</t>
  </si>
  <si>
    <t>Nguồn: sheet 'Chi tiết' cột M–AB (khảo sát 14/10/2026, ✓ = tham số của form tra cứu mặc định). Số liệu là công thức, tự cập nhật.</t>
  </si>
  <si>
    <t>1. Trạng thái kiểm tra form / Check status</t>
  </si>
  <si>
    <t>Trạng thái / Status</t>
  </si>
  <si>
    <t>OK</t>
  </si>
  <si>
    <t>Cần đăng nhập</t>
  </si>
  <si>
    <t>Site chết</t>
  </si>
  <si>
    <t>Site lỗi</t>
  </si>
  <si>
    <t>Không xác định</t>
  </si>
  <si>
    <t>Tổng đã kiểm tra / Checked</t>
  </si>
  <si>
    <t>2. Tham số form yêu cầu (trên các site OK) / Required inputs</t>
  </si>
  <si>
    <t>Tham số / Input</t>
  </si>
  <si>
    <t>Tỷ lệ trên site OK / % of OK</t>
  </si>
  <si>
    <t>Mã tra cứu</t>
  </si>
  <si>
    <t>MST người bán</t>
  </si>
  <si>
    <t>MST người mua</t>
  </si>
  <si>
    <t>Mẫu số / Ký hiệu</t>
  </si>
  <si>
    <t>Số HĐ</t>
  </si>
  <si>
    <t>Ngày lập</t>
  </si>
  <si>
    <t>Tổng tiền</t>
  </si>
  <si>
    <t>Mã CQT</t>
  </si>
  <si>
    <t>Upload XML</t>
  </si>
  <si>
    <t>Captcha ảnh</t>
  </si>
  <si>
    <t>Captcha dạng tích</t>
  </si>
  <si>
    <t>Captcha khác (slider/hình)</t>
  </si>
  <si>
    <t>Đăng nhập</t>
  </si>
  <si>
    <t>Email/SĐT/OTP</t>
  </si>
  <si>
    <t>3. Số tham số phải nhập (kể cả captcha) / Number of inputs</t>
  </si>
  <si>
    <t>Số tham số / Inputs</t>
  </si>
  <si>
    <t>1 tham số</t>
  </si>
  <si>
    <t>2 tham số</t>
  </si>
  <si>
    <t>3 tham số</t>
  </si>
  <si>
    <t>4 tham số</t>
  </si>
  <si>
    <t>≥ 5 tham số</t>
  </si>
  <si>
    <t>Tổng / Total</t>
  </si>
  <si>
    <t>4. Các kiểu tra cứu (đủ mọi tổ hợp tham số) / All lookup patterns</t>
  </si>
  <si>
    <t>Cần nhập / Inputs</t>
  </si>
  <si>
    <t>Công ty / Companies</t>
  </si>
  <si>
    <t>49 công ty — lọc ở sheet 'Chi tiết'</t>
  </si>
  <si>
    <t>Mã tra cứu + Captcha ảnh</t>
  </si>
  <si>
    <t>18 công ty — lọc ở sheet 'Chi tiết'</t>
  </si>
  <si>
    <t>Mã tra cứu + MST người bán</t>
  </si>
  <si>
    <t>15 công ty — lọc ở sheet 'Chi tiết'</t>
  </si>
  <si>
    <t>Mã tra cứu + Captcha dạng tích</t>
  </si>
  <si>
    <t>8 công ty — lọc ở sheet 'Chi tiết'</t>
  </si>
  <si>
    <t>Mã tra cứu + MST người bán + Captcha ảnh</t>
  </si>
  <si>
    <t>Công ty Cổ phần Đầu tư công nghệ và thương mại Softdreams; Công ty TNHH Phát triển công nghệ Thái Sơn; Công ty Cổ phần phát triển phần mềm và công nghệ Bitware</t>
  </si>
  <si>
    <t>Mã tra cứu + MST người bán + Captcha dạng tích</t>
  </si>
  <si>
    <t>Công ty TNHH Máy tính và truyền thông công nghệ kết nối; Công ty TNHH ACCONLINE.VN</t>
  </si>
  <si>
    <t>Mã tra cứu + MST người bán + Ngày lập + Captcha ảnh</t>
  </si>
  <si>
    <t>Công ty Cổ phần Giải pháp hóa đơn điện tử Việt Nam; Công ty Cổ phần tích hợp công nghệ VNISC</t>
  </si>
  <si>
    <t>Mã tra cứu + Captcha khác (slider/hình)</t>
  </si>
  <si>
    <t>Mã tra cứu + MST người mua</t>
  </si>
  <si>
    <t>Mã tra cứu + Ngày lập</t>
  </si>
  <si>
    <t>Mã tra cứu + MST người bán + Captcha khác (slider/hình)</t>
  </si>
  <si>
    <t>Mã tra cứu + MST người bán + Số HĐ</t>
  </si>
  <si>
    <t>Mã tra cứu + Mã CQT + Captcha ảnh</t>
  </si>
  <si>
    <t>Mã tra cứu + Số HĐ + Captcha dạng tích</t>
  </si>
  <si>
    <t>Mã tra cứu + Mẫu số / Ký hiệu + Số HĐ + Captcha dạng tích</t>
  </si>
  <si>
    <t>MST người bán + Mẫu số / Ký hiệu + Số HĐ + Tổng tiền + Captcha ảnh</t>
  </si>
  <si>
    <t>Tổng site OK / Total OK</t>
  </si>
  <si>
    <t>5. Khả năng tự động hóa / Automation feasibility</t>
  </si>
  <si>
    <t>Nhóm / Group</t>
  </si>
  <si>
    <t>Tỷ lệ trên site đã kiểm / % of checked</t>
  </si>
  <si>
    <t>Không captcha, không đăng nhập → làm adapter được</t>
  </si>
  <si>
    <t>Có captcha ảnh → cần model captcha</t>
  </si>
  <si>
    <t>Captcha dạng tích (reCAPTCHA v2 / Turnstile) → không tự động, lấy qua mail</t>
  </si>
  <si>
    <t>Captcha khác (slider / mã hiện sẵn) → xem từng site</t>
  </si>
  <si>
    <t>Cần đăng nhập / không có trang tra cứu công khai</t>
  </si>
  <si>
    <t>Ghi chú: một site có thể thuộc nhiều nhóm ở bảng 5; reCAPTCHA v3 chạy ẩn không tính là 'dạng tích'.</t>
  </si>
  <si>
    <t>6. Tiến độ theo WBS2 (tự cập nhật theo sheet WBS2) / Progress from WBS2</t>
  </si>
  <si>
    <t>Training captcha</t>
  </si>
  <si>
    <t>PDF qua XML</t>
  </si>
  <si>
    <t>PDF qua mail</t>
  </si>
  <si>
    <t>Sẵn sàng (có adapter, chưa có HĐ thật)</t>
  </si>
  <si>
    <t xml:space="preserve">   – kế hoạch tháng 11/2026</t>
  </si>
  <si>
    <t xml:space="preserve">   – kế hoạch tháng 12/2026</t>
  </si>
  <si>
    <t>Tổng số NCC / Total</t>
  </si>
  <si>
    <t>Ghi chú: dòng 'Chưa hoàn thành' chia theo To Date ở WBS2. Sheet 'Chi tiết' cột AJ–AP lấy Status/Kế hoạch/Ghi chú của từng NCC từ WBS2 theo MST.</t>
  </si>
  <si>
    <t>STT</t>
  </si>
  <si>
    <t>Tên công ty</t>
  </si>
  <si>
    <t>Mã số thuế</t>
  </si>
  <si>
    <t>Địa chỉ</t>
  </si>
  <si>
    <t>Web</t>
  </si>
  <si>
    <t>Loại</t>
  </si>
  <si>
    <t>Link tra cứu nếu có</t>
  </si>
  <si>
    <t>Kiểu tra cứu (tổ hợp tham số)</t>
  </si>
  <si>
    <t>Trạng thái lấy mẫu captcha</t>
  </si>
  <si>
    <t>Train cho AI(%)</t>
  </si>
  <si>
    <t>Mã kích thước</t>
  </si>
  <si>
    <t>Kiểm tra form tra cứu</t>
  </si>
  <si>
    <t>Số tham số nhập</t>
  </si>
  <si>
    <t>Captcha chi tiết</t>
  </si>
  <si>
    <t>Cách tra khác</t>
  </si>
  <si>
    <t>Ghi chú kiểm tra</t>
  </si>
  <si>
    <t>URL form đã kiểm tra</t>
  </si>
  <si>
    <t>Training captcha (WBS2)</t>
  </si>
  <si>
    <t>PDF qua XML – Status (WBS2)</t>
  </si>
  <si>
    <t>PDF qua XML – Kế hoạch đến</t>
  </si>
  <si>
    <t>PDF qua XML – Ghi chú (WBS2)</t>
  </si>
  <si>
    <t>PDF qua mail – Status (WBS2)</t>
  </si>
  <si>
    <t>PDF qua mail – Kế hoạch đến</t>
  </si>
  <si>
    <t>PDF qua mail – Ghi chú (WBS2)</t>
  </si>
  <si>
    <t>82 Đường 76, Phường 10, Quận 6, Tp Hồ Chí Minh</t>
  </si>
  <si>
    <t>http://ehoadondientu.com</t>
  </si>
  <si>
    <t>https://ehoadondientu.com/Tra-cuu</t>
  </si>
  <si>
    <t>✓</t>
  </si>
  <si>
    <t>không có</t>
  </si>
  <si>
    <t>Dropdown 'Mã số thuế': vẫn 1 ô 'Mã hóa đơn hoặc mst'; dropdown 'Chứng từ khấu trừ thuế': MST + ký hiệu + số + họ tên + thu nhập (chứng từ TNCN); link 'Tra cứu hóa đơn bằng tài khoản khách hàng' (đăng nhập)</t>
  </si>
  <si>
    <t>1 ô nhập chung 'Mã hóa đơn hoặc mst' + dropdown loại tra cứu; không captcha</t>
  </si>
  <si>
    <t>Tầng 22, tòa nhà Keangnam Landmark, E6 Phạm Hùng, quận Nam Từ Liêm, Tp  Hà Nội</t>
  </si>
  <si>
    <t>https://einvoice.fpt.com.vn</t>
  </si>
  <si>
    <t>https://tracuuhoadon.fpt.com.vn/</t>
  </si>
  <si>
    <t>reCAPTCHA v3 ẩn (api.js?render=&lt;key&gt;, chỉ có badge, không có ô tích)</t>
  </si>
  <si>
    <t>Tab 'Tra cứu nhiều HĐ': đăng nhập MST + tài khoản + mật khẩu; các tab khác: Chứng từ khấu trừ thuế, Đề nghị xuất HĐ, Công cụ, Biên bản, Bảng kê</t>
  </si>
  <si>
    <t>SPA (Webix); MST bên bán + mã tra cứu</t>
  </si>
  <si>
    <t>Tầng 9, tòa nhà Sannam, số 78 phố Duy Tân, phường Dịch Vọng Hậu, quận Cầu Giấy, Tp Hà Nội</t>
  </si>
  <si>
    <t>https://ihoadon.vn</t>
  </si>
  <si>
    <t>https://ihoadon.vn/kiem-tra/?lang=vn</t>
  </si>
  <si>
    <t>reCAPTCHA v2 checkbox (Enterprise)</t>
  </si>
  <si>
    <t>Radio 'Từ file': upload file HĐ</t>
  </si>
  <si>
    <t>AngularJS; ô 2 nhận 'mã tra cứu hoặc chuỗi xác thực hóa đơn'</t>
  </si>
  <si>
    <t>Số 7, ngách 97/1, ngõ 97 Chính Kinh, phường Nhân Chính, quận Thanh Xuân, Tp Hà Nội</t>
  </si>
  <si>
    <t>https://easyinvoice.vn</t>
  </si>
  <si>
    <t>https://tracuu.easyinvoice.vn/Captcha/Show</t>
  </si>
  <si>
    <t>Xong</t>
  </si>
  <si>
    <t>g_150x34</t>
  </si>
  <si>
    <t>ảnh 150x34 (/Captcha/Show)</t>
  </si>
  <si>
    <t>Menu khác: tra cứu phiếu xuất kho, tra cứu chứng từ; đăng nhập</t>
  </si>
  <si>
    <t>Link trong danh sách là ảnh captcha, form ở trang gốc tracuu.easyinvoice.vn; mã tra cứu = Fkey; project đã có adapter easyinvoice</t>
  </si>
  <si>
    <t>https://tracuu.easyinvoice.vn/Search/Index</t>
  </si>
  <si>
    <t>Số 102A, Bùi Minnh Trực, phường 6, quận 8, Tp Hồ Chí Minh</t>
  </si>
  <si>
    <t>https://einvoice.lcs.com.vn</t>
  </si>
  <si>
    <t>https://eip.lcssoft.com.vn/desktop/#/login</t>
  </si>
  <si>
    <t>reCAPTCHA v2 checkbox</t>
  </si>
  <si>
    <t>Link 'Xác thực hóa đơn điện tử' (#/check-signature): upload file XML</t>
  </si>
  <si>
    <t>SPA Angular Material; khung tra cứu (mẫu số + ký hiệu + số HĐ + mã hóa đơn) nằm cạnh khung đăng nhập, không cần đăng nhập</t>
  </si>
  <si>
    <t>101017/46A Lê Văn Lương, Ấp 3, Xã Phước Kiển, Huyện nhà Bè, Tp Hồ Chí Minh</t>
  </si>
  <si>
    <t>http://kkvat.com.vn/thongtin</t>
  </si>
  <si>
    <t>https://tracuuhoadon.kkvat.com.vn/</t>
  </si>
  <si>
    <t>Ô MST ghi 'Mã số thuế đơn vị nhận' (bên mua), không phải MST bên bán</t>
  </si>
  <si>
    <t>https://tracuuhoadon2.xcyber.vn/#/tracuuhoadon/tracuu</t>
  </si>
  <si>
    <t>g_300x75</t>
  </si>
  <si>
    <t>ảnh 300x75 base64 (API bill2app.xcyber.vn/.../TraCuuHoaDon/RefreshCaptcha), 5 chữ số màu có gạch nhiễu, hiển thị 180x45</t>
  </si>
  <si>
    <t>'Xác thực hóa đơn' (#/tracuuhoadon/xacthuc): chọn file XML + chọn mẫu thông tư + captcha ảnh; 'Link dự phòng' tracuuhoadon.cyberbill.vn</t>
  </si>
  <si>
    <t>SPA (Angular/ABP). Ô MaSoBiMat ('mã tra cứu') + mã xác thực. Trang nạp recaptcha/api.js nhưng không có widget. Nhóm model g_300x75.</t>
  </si>
  <si>
    <t>Số 1134/16/2/13 Nguyễn Văn Quá, phường Đông Hưng Thuận, quận 12, Tp Hồ Chí Minh</t>
  </si>
  <si>
    <t>http://www.ngogiaphat.vn</t>
  </si>
  <si>
    <t>https://tracuuonline.ngogiaphat.vn/Search.aspx</t>
  </si>
  <si>
    <t>g_200x80</t>
  </si>
  <si>
    <t>https://tracuuonline.ngogiaphat.vn/DXB.axd?DXCache=db6b00ec-9728-fe9e-c65d-24724858e745</t>
  </si>
  <si>
    <t>ảnh DevExpress ASPxCaptcha 200x80 (hiển thị 200x50, chữ thường + số)</t>
  </si>
  <si>
    <t>1 ô tìm không nhãn (tự viết hoa) — đoán là mã tra cứu; ASP.NET WebForms DevExpress</t>
  </si>
  <si>
    <t>12A Núi Thành, phường 13, quận Tân Bình, Tp Hồ Chí Minh</t>
  </si>
  <si>
    <t>https://matbao.in</t>
  </si>
  <si>
    <t>không có captcha</t>
  </si>
  <si>
    <t>https://matbao.in/tra-cuu-hoa-don</t>
  </si>
  <si>
    <t>Tab 'Tra cứu dùng file XML': upload .xml</t>
  </si>
  <si>
    <t>Chỉ cần mã tra cứu</t>
  </si>
  <si>
    <t>Tầng 5, số 2 Chùa Bộc, phường Trung Tự, quận Đống Đa, Tp Hà Nội</t>
  </si>
  <si>
    <t>https://www.nacencomm.com.vn/dich-vu-chi-tiet/hoa-don-dien-tu</t>
  </si>
  <si>
    <t>https://hoadon78.nacencomm.vn/tracuuhd.aspx</t>
  </si>
  <si>
    <t>Radio 'Theo chuỗi xác thực': 1 ô chuỗi xác thực; tab 'Chứng từ TNCN'; trong HTML còn panel ẩn (không có nút chọn trên UI): MST + mẫu số + ký hiệu + số HĐ + ngày HĐ + giá trị</t>
  </si>
  <si>
    <t>Ô mặc định: 'Nhập mã tra cứu hoặc số hóa đơn và 4 ký tự đầu của chuỗi xác thực'; DevExpress WebForms; ô MST người mua chỉ hiện sau khi tìm thấy (để ký HĐ bên mua)</t>
  </si>
  <si>
    <t>Số 3 ngõ 15 đường Nghĩa Dũng, phường Phúc Xá, quận Ba Đình, Tp Hà Nội</t>
  </si>
  <si>
    <t>https://vinvoice.vn</t>
  </si>
  <si>
    <t>https://tracuu.vinvoice.vn/Captcha/Show</t>
  </si>
  <si>
    <t>g_120x38</t>
  </si>
  <si>
    <t>ảnh 120x38 (/Captcha/Show, hiển thị 110x35)</t>
  </si>
  <si>
    <t>Menu khác: Chứng từ khấu trừ TNCN, Biên lai, Biên bản; link 'Tra cứu hóa đơn TT32'</t>
  </si>
  <si>
    <t>Link trong danh sách là ảnh captcha, form ở trang gốc; chỉ mã tra cứu + captcha</t>
  </si>
  <si>
    <t>https://tracuu.vinvoice.vn/</t>
  </si>
  <si>
    <t>26/1 Trần Quang Khải, phường Tân Định, quận 1, Tp Hồ Chí Minh</t>
  </si>
  <si>
    <t>https://azinvoice.com</t>
  </si>
  <si>
    <t>không có thông tin</t>
  </si>
  <si>
    <t>https://azinvoice.vn/#/search-xml</t>
  </si>
  <si>
    <t>Faile</t>
  </si>
  <si>
    <t>không xác định</t>
  </si>
  <si>
    <t>azinvoice.vn: DNS không phân giải (ERR_NAME_NOT_RESOLVED); web azinvoice.com: tên miền đã hết hạn (trang NameBright)</t>
  </si>
  <si>
    <t>Tầng 9, tòa nhà Technosoft, phố Duy Tân, phường Dịch Vọng Hậu, quận Cầu Giấy, Tp Hà Nội</t>
  </si>
  <si>
    <t>https://www.meinvoice.vn/</t>
  </si>
  <si>
    <t>https://www.meinvoice.vn/tra-cuu/</t>
  </si>
  <si>
    <t>mặc định không có; captcha ảnh ẩn (#captchaContainer, ImageHandler.ashx ~115x30) chỉ hiện sau nhiều lần tìm sai</t>
  </si>
  <si>
    <t>Tab 'Theo file xml': upload XML ≤2MB; tab 'Theo email/số điện thoại': chuyển sang đăng nhập MISA ID (email/SĐT + mật khẩu, có reCAPTCHA)</t>
  </si>
  <si>
    <t>Lần mở đầu bị Cloudflare 520, thử lại thì vào được; mã tra cứu = TransactionID; project đã có adapter misa</t>
  </si>
  <si>
    <t>Số nhà 16, ngõ 269/1 đường Giáp Bát, phường Giáp Bát, quận Hoàng Mai, Tp Hà Nội</t>
  </si>
  <si>
    <t>https://minvoice.vn/</t>
  </si>
  <si>
    <t>https://tracuuhoadon.minvoice.com.vn/tra-cuu-hoa-don</t>
  </si>
  <si>
    <t>Tab 'File': upload .zip ≤2MB; tab 'Tài khoản': đăng nhập; tab 'Đơn vị đặc thù': MST bán + mã khách hàng; tab Chứng từ, Biên lai</t>
  </si>
  <si>
    <t>SPA React/Ant Design; ô MST nhận MST bên bán hoặc CCCD; mã tra cứu = số bảo mật; project đã có adapter minvoice</t>
  </si>
  <si>
    <t>Số 11/8 Tân Quý, phường Tân Quý, quận Tân Phú, Tp Hồ Chí Minh</t>
  </si>
  <si>
    <t>www.nguyenminhvat.vn</t>
  </si>
  <si>
    <t>Số 362, Phố Huế, phường Phố Huế quận Hai Bà Trưng, Tp Hà Nội</t>
  </si>
  <si>
    <t>https://www.einvoice.vn</t>
  </si>
  <si>
    <t xml:space="preserve">https://tracuutvan.einvoice.com.vn/
</t>
  </si>
  <si>
    <t>g_200x70</t>
  </si>
  <si>
    <t>ảnh 200x70 (/DefaultCaptcha/Generate, hiển thị 172x35)</t>
  </si>
  <si>
    <t>Mã tra cứu ghi là 'Mã nhận hóa đơn'</t>
  </si>
  <si>
    <t>https://tracuutvan.einvoice.com.vn/</t>
  </si>
  <si>
    <t>213/59/17 Quang Trung, phường 10, quận Gò Vấp, Tp Hồ Chí Minh</t>
  </si>
  <si>
    <t>https://ehoadon.online</t>
  </si>
  <si>
    <t>https://ehoadon.online/einvoice/lookup</t>
  </si>
  <si>
    <t>Tab 'Tập tin XML': upload XML (cũng có reCAPTCHA)</t>
  </si>
  <si>
    <t>MST đơn vị phát hành (bên bán) + mã tra cứu</t>
  </si>
  <si>
    <t>Số 15/616 đường Nguyễn Văn Linh, phường Vĩnh Niệm, quận Lê Chân, Tp Hải Phòng</t>
  </si>
  <si>
    <t>https://oinvoice.vn</t>
  </si>
  <si>
    <t>https://oinvoice.vn/tracuu/</t>
  </si>
  <si>
    <t>Ô 'MST hóa đơn' (MST doanh nghiệp phát hành) + 'mã xác thực OIV' in trên HĐ</t>
  </si>
  <si>
    <t>16-18 Xuân Diệu, Phường 4, Quận Tân Bình, TP.HCM</t>
  </si>
  <si>
    <t>https://wininvoice.vn</t>
  </si>
  <si>
    <t>https://tracuu.wininvoice.vn/</t>
  </si>
  <si>
    <t>không có (có nạp recaptcha/api.js nhưng không render widget)</t>
  </si>
  <si>
    <t>Nút 'Sử dụng tài khoản tra cứu': đăng nhập</t>
  </si>
  <si>
    <t>Form có thêm ô 'Mã công ty' nhưng JS submit chỉ gửi privateCode tới /dcv_sys/search_inv</t>
  </si>
  <si>
    <t>Lô D26 Khu đô thị mới Cầu Giấy, Phường Yên Hòa, Quận Cầu Giấy, Tp Hà Nội</t>
  </si>
  <si>
    <t>https://viettel.vn/s-invoice</t>
  </si>
  <si>
    <t>https://vinvoice.viettel.vn/utilities/invoice-search</t>
  </si>
  <si>
    <t>slider ghép hình (ảnh nền 300x150, mảnh 50x50, 'Trượt sang phải để hoàn thành hình ảnh')</t>
  </si>
  <si>
    <t>SPA Angular; mã tra cứu = 'Mã số bí mật'; theo CLAUDE.md server không kiểm slider, project đã có adapter viettel</t>
  </si>
  <si>
    <t>Phòng 112, tầng 11, Tòa nhà Viglacera, Phường Mễ Trì, Quận Nam Từ Liêm, Tp Hà Nội, Việt Nam</t>
  </si>
  <si>
    <t>https://tax24.com.vn/thuedientu/san-pham-dich-vu/hoa-don-dien-tu.</t>
  </si>
  <si>
    <t>https://tax24.com.vn/einvoice/servlet/ImageServlet</t>
  </si>
  <si>
    <t>g_180x50_tax24</t>
  </si>
  <si>
    <t>ảnh 180x50 (/thuedientu/servlet/ImageServlet, hiển thị 68x19)</t>
  </si>
  <si>
    <t>'Kiểm tra hóa đơn' (/thuedientu/xac-minh-chu-ky-so): upload .xml/.inv; /einvoice/: đăng nhập tài khoản + captcha ảnh cùng servlet</t>
  </si>
  <si>
    <t>Link trong danh sách là ảnh captcha của trang đăng nhập /einvoice/; form tra cứu thật là 'Xác minh hóa đơn Tax24' (ô 'Mã xác minh hóa đơn'); trang web trong danh sách trả 404</t>
  </si>
  <si>
    <t>https://tax24.com.vn/thuedientu/xac-minh-hoa-don</t>
  </si>
  <si>
    <t>Lô 73, khu tập thể Trung tâm Chỉnh Hình, phường Yên Hòa, quận Cầu Giấy, Tp Hà Nội</t>
  </si>
  <si>
    <t>https://newinvoice.com.vn</t>
  </si>
  <si>
    <t>https://newinvoice.com.vn/tra-cuu/</t>
  </si>
  <si>
    <t>Tab 'Kiểm tra file XML': upload XML (cùng widget reCAPTCHA v2); Tab 'Tra cứu danh sách hóa đơn': phải đăng nhập MST + mật khẩu</t>
  </si>
  <si>
    <t>Tab mặc định 'Tra cứu mã hóa đơn' chỉ có 1 ô mã tra cứu</t>
  </si>
  <si>
    <t>Số 1A, ngõ 343, đường An Dương Vương, phường Phú Thượng, quận Tây Hồ, Tp Hà Nội</t>
  </si>
  <si>
    <t>http://3asoft.vn</t>
  </si>
  <si>
    <t>http://hddt.3asoft.vn/</t>
  </si>
  <si>
    <t>Form POST /Home/Search gồm Mã tìm kiếm + Số hóa đơn + Mã số thuế (ô MST không ghi rõ bên bán hay mua, đoán là bên bán); có honeypot ẩn form_botcheck; chỉ chạy http</t>
  </si>
  <si>
    <t>Số 01 phố Phạm Văn Bạch, phường Yên Hòa, quận Cầu Giấy, Tp Hà Nội</t>
  </si>
  <si>
    <t>https://itc.mobifone.vn/giai_phap/mobifone-invoice</t>
  </si>
  <si>
    <t>http://tracuuhoadon.mobifoneinvoice.vn/</t>
  </si>
  <si>
    <t>'Kiểm tra hóa đơn' (/TraCuu/Upload): upload file XML; 'Tra cứu Doanh nghiệp' (/dang-nhap): đăng nhập</t>
  </si>
  <si>
    <t>Form: 'Mã đơn vị' (*) + 'Số bảo mật' (*); 'Mã đơn vị' coi là MST người bán; chỉ chạy http</t>
  </si>
  <si>
    <t>Tầng 2, tòa nhà HH1 - Khu đô thị Yên Hòa, phường Yên Hòa, quận Cầu Giấy, Tp Hà Nội</t>
  </si>
  <si>
    <t>https://van.ehoadon.vn</t>
  </si>
  <si>
    <t>https://van.ehoadon.vn/TCHD</t>
  </si>
  <si>
    <t>Upload file XML (fuXMLUpload) trên cùng trang</t>
  </si>
  <si>
    <t>ASP.NET WebForms; ô 'Mã tra cứu Hóa đơn'. Adapter bkav trong project dùng InvoiceGUID qua API khác, không qua form này</t>
  </si>
  <si>
    <t>Số 6 Vũ Ngọc Phan, phường Láng Hạ, quận Đống Đa, Tp Hà Nội</t>
  </si>
  <si>
    <t>https://asiainvoice.vn</t>
  </si>
  <si>
    <t>https://asiainvoice.vn/tra-cuu/GetCaptcha</t>
  </si>
  <si>
    <t>g_150x30</t>
  </si>
  <si>
    <t>ảnh 150x30 (/tra-cuu/GetCaptcha), ô 'Mã xác thực'</t>
  </si>
  <si>
    <t>Tab 'Từ file': upload file XML; nút 'Đăng nhập' -&gt; tracuu.asiainvoice.vn</t>
  </si>
  <si>
    <t>Link trong danh sách là endpoint captcha; form thật ở /tra-cuu. Ô 'Mã tra cứu' có name=FKey</t>
  </si>
  <si>
    <t>https://asiainvoice.vn/tra-cuu</t>
  </si>
  <si>
    <t>Số 33 đường Hải Hồ, phường Thanh Bình, quận Hải Châu, Tp Đà Nẵng</t>
  </si>
  <si>
    <t>https://vin-hoadon.com</t>
  </si>
  <si>
    <t>https://tracuu.vin-hoadon.com/api/services/hddt/TraCuuHoaDon/RefreshCaptcha</t>
  </si>
  <si>
    <t>g_1500x350</t>
  </si>
  <si>
    <t>ảnh PNG base64 1500x350 (hiển thị 150x35), ô 'Nhập mã xác thực'</t>
  </si>
  <si>
    <t>Tab 'Xác thực hóa đơn' (/xacthuchd): upload file XML + captcha ảnh; có trang đăng nhập /account</t>
  </si>
  <si>
    <t>Link trong danh sách là API RefreshCaptcha; trang gốc redirect về /tracuuhoadon/tracuuxacthuc/tracuuhd. Ô 'Mã số bí mật'. Trang có nạp recaptcha/api.js nhưng không thấy widget</t>
  </si>
  <si>
    <t>https://tracuu.vin-hoadon.com/tracuuhoadon/tracuuxacthuc/tracuuhd</t>
  </si>
  <si>
    <t>Số 561 Nguyễn Bỉnh Khiêm, phường Đằng Hải, quận Hải An, Tp Hải Phòng</t>
  </si>
  <si>
    <t>https://dinhvibachkhoa.vn</t>
  </si>
  <si>
    <t>https://hoadonbachkhoa.pmbk.vn/tra-cuu-hoa-don</t>
  </si>
  <si>
    <t>Radio 'Tệp tra cứu': chọn/upload tệp tra cứu (có thể là XML)</t>
  </si>
  <si>
    <t>Radio mặc định 'Mã tra cứu', 1 ô mã</t>
  </si>
  <si>
    <t>Số 57 Huỳnh Thúc Kháng, Phường Láng Hạ, Quận Đống Đa, Tp.Hà Nội</t>
  </si>
  <si>
    <t>https://vnpt-invoice.com.vn/</t>
  </si>
  <si>
    <t>https://portaltool.vnpt-invoice.com.vn/</t>
  </si>
  <si>
    <t>g_120x40</t>
  </si>
  <si>
    <t>ảnh JPEG base64 (API get-captcha?width=120&amp;height=40, hiển thị 96x32), ô 'Mã xác thực'</t>
  </si>
  <si>
    <t>Tab 'Tra cứu theo thông tin': MST bán + loại HĐ + ký hiệu + số HĐ + tổng tiền thanh toán + captcha ảnh; Tab 'Tra cứu theo file XML': upload XML</t>
  </si>
  <si>
    <t>SPA; ô 'Mã tra cứu/Mã của Cơ quan thuế' (nhập Fkey hoặc MCCQT); radio HĐĐT / HĐĐT MTT. Link trong danh sách là API captcha; cổng HST chung, khách lớn có cổng riêng</t>
  </si>
  <si>
    <t>https://portal-hst.vnpt-invoice.com.vn/tim-kiem/hoa-don-dien-tu</t>
  </si>
  <si>
    <t>https://gateway-hst.vnpt-invoice.com.vn/admin/api/share/get-captcha?width=120&amp;height=40</t>
  </si>
  <si>
    <t>Số 18 Đoàn Trần Nghiệp, phường Bùi Thị Xuân, quận Hai Bà Trưng, Tp Hà Nội</t>
  </si>
  <si>
    <t>https://hiloinvoice.vn</t>
  </si>
  <si>
    <t>https://tracuuhddt78.hilo.com.vn/</t>
  </si>
  <si>
    <t>reCAPTCHA v3 ẩn (size=invisible)</t>
  </si>
  <si>
    <t>Các tab khác chỉ cho chứng từ / phiếu xuất kho / biên lai / bảng kê; menu 'Danh sách hóa đơn', 'Đăng nhập'</t>
  </si>
  <si>
    <t>Form: 'Mã số thuế bên bán' + 'Mã nhận HĐ'. Theo ghi chú project, cổng chung HILO có reCAPTCHA và tra không ra (HĐ HILO GSM nằm ở no_portal)</t>
  </si>
  <si>
    <t>120A Trần Kế Xương, phường 7, quận Phú Nhuận, Tp Hồ Chí Minh</t>
  </si>
  <si>
    <t>http://hoadondientuvat.com/Thong-tin </t>
  </si>
  <si>
    <t>https://hoadondientuvat.com/Tracuu.aspx</t>
  </si>
  <si>
    <t>Dropdown đổi sang 'Mã số thuế' (nhập MST thay vì mã hóa đơn)</t>
  </si>
  <si>
    <t>1 ô + dropdown loại (mặc định 'Mã hóa đơn'); cùng nền tảng với ihoadondientu.com (dòng 40)</t>
  </si>
  <si>
    <t>Tầng 7 tòa nhà Công ty 29, ngõ 73 đường Nguyễn Trãi, phường Khương Trung, quận Thanh Xuân, Tp Hà Nội</t>
  </si>
  <si>
    <t>https://www.vninvoice.vn</t>
  </si>
  <si>
    <t>https://tracuu.v50.vninvoice.vn/</t>
  </si>
  <si>
    <t>g_180x50_vn</t>
  </si>
  <si>
    <t>ảnh PNG base64 180x50 (hiển thị 288x80), chữ+số ~7 ký tự, nút 'reCaptcha' chỉ để đổi ảnh</t>
  </si>
  <si>
    <t>Tab 'Tra cứu theo XML': upload XML + captcha ảnh; Tab 'Xác thực XML': upload XML + captcha ảnh; Tab 'Tra cứu chứng từ TNCN'</t>
  </si>
  <si>
    <t>SPA; form: khoảng ngày HĐ (mặc định 1 tháng gần nhất) + Số bảo mật + MST người bán + mã xác thực</t>
  </si>
  <si>
    <t>Tầng 8, số 22, phố Láng Hạ, quận Đống Đa, Tp Hà Nội</t>
  </si>
  <si>
    <t>https://www.vnpay.vn</t>
  </si>
  <si>
    <t>https://portal.vnpayinvoice.vn/</t>
  </si>
  <si>
    <t>Tab 'Tra cứu chứng từ': mã tra cứu chứng từ + MST đơn vị chi trả thu nhập</t>
  </si>
  <si>
    <t>SPA; form: Mã tra cứu hóa đơn + MST người bán</t>
  </si>
  <si>
    <t>Số 32/21 phố Trương Công Giai, phường Dịch Vọng, quận Cầu Giấy, Tp Hà Nội</t>
  </si>
  <si>
    <t>https://vietinvoice.vn</t>
  </si>
  <si>
    <t>https://tracuu.vietinvoice.vn/#/</t>
  </si>
  <si>
    <t>SPA (HTML gốc ~3.5KB); chỉ 1 ô 'Nhập mã tra cứu', không thấy captcha trước khi gửi</t>
  </si>
  <si>
    <t>Số 27 Huỳnh Thúc Kháng, Quận Đống Đa, Tp Hà Nội</t>
  </si>
  <si>
    <t>https://hoadontvan.com</t>
  </si>
  <si>
    <t>https://hoadontvan.com/TraCuu</t>
  </si>
  <si>
    <t>Radio 'Từ file': upload file (XML)</t>
  </si>
  <si>
    <t>Thương hiệu Q-invoice; radio mặc định 'Theo mã tra cứu hóa đơn'</t>
  </si>
  <si>
    <t>41A Nguyễn Phi Khanh, phường Tân Định, quận 1, Tp Hồ Chí Minh</t>
  </si>
  <si>
    <t>www.smartsign.com.vn</t>
  </si>
  <si>
    <t>https://tracuuhd.smartsign.com.vn/</t>
  </si>
  <si>
    <t>https://tracuuhd.smartsign.com.vn/Pages/CImage.aspx</t>
  </si>
  <si>
    <t>g_150x39</t>
  </si>
  <si>
    <t>ảnh 150x39 (Pages/CImage.aspx), ô 'Mã xác nhận'</t>
  </si>
  <si>
    <t>Tab 'Chọn file XML': upload XML (có captcha ảnh)</t>
  </si>
  <si>
    <t>ASP.NET WebForms; ô 'Mã nhận hóa đơn'. Có nạp recaptcha/api.js nhưng không thấy widget</t>
  </si>
  <si>
    <t>Số 285/94B Cách Mạnh Tháng Tám, phường 12, quận 10, Tp Hồ Chí Minh</t>
  </si>
  <si>
    <t>https://www.xuathoadon.vn/</t>
  </si>
  <si>
    <t>https://tracuu.xuathoadon.vn/</t>
  </si>
  <si>
    <t>Cloudflare Turnstile (widget hiện, chế độ auto)</t>
  </si>
  <si>
    <t>'Xem hóa đơn gốc' (/original): upload file XML; trang /pit tra chứng từ TNCN</t>
  </si>
  <si>
    <t>Form: 1 ô 'Mã tra cứu' + Turnstile</t>
  </si>
  <si>
    <t>114-116 Lưu Chí Hiếu, phường Tây Thạnh, quận Tân Phú, Tp Hồ Chí Minh</t>
  </si>
  <si>
    <t>https://www.tctinvoice.com </t>
  </si>
  <si>
    <t>14 đường 3C, phường An Lạc A, quận Bình Tân, Tp Hồ Chí Minh</t>
  </si>
  <si>
    <t>https://ihoadondientu.com</t>
  </si>
  <si>
    <t>https://ihoadondientu.com/Tra-cuu</t>
  </si>
  <si>
    <t>Dropdown: 'Mã số thuế', 'Token sử dụng Vsign', 'Cty bỏ trốn' (tra thông tin, không phải HĐ)</t>
  </si>
  <si>
    <t>1 ô 'Mã hóa đơn hoặc mst' + dropdown loại (mặc định 'Mã hóa đơn'); cùng nền tảng với hoadondientuvat.com (dòng 32)</t>
  </si>
  <si>
    <t>Tầng 3 Tòa nhà CT1B Khu đô thị VOV Mễ Trì, phường Mễ Trì, quận Nam Từ Liêm, TP. Hà Nội</t>
  </si>
  <si>
    <t>https://www.fast.com.vn</t>
  </si>
  <si>
    <t>https://invoice.fast.com.vn/tra-cuu-hoa-don-dien-tu/</t>
  </si>
  <si>
    <t>ảnh PNG 100x30, 5 chữ hoa/thường (base64 trong HTML) — đã kiểm khi làm adapter</t>
  </si>
  <si>
    <t>Radio chọn kết quả: 'Xem trực tiếp' / 'Tải hóa đơn gốc (.XML)' / 'Tải file PDF' (cùng 1 ô mã)</t>
  </si>
  <si>
    <t>Trang WordPress invoice.fast.com.vn/tra-cuu-hoa-don-dien-tu không tra được bằng KeySearch trong XML; cổng chạy được là einvoice.fast.com.vn (KeySearch + captcha). Trang WordPress; form POST về chính trang, chỉ 1 ô 'Nhập mã số...'. /tra-cuu/ redirect về trang này. reCAPTCHA trên trang chỉ dùng cho form đăng ký/đặt hàng</t>
  </si>
  <si>
    <t>https://einvoice.fast.com.vn/</t>
  </si>
  <si>
    <t>341 Lê Trọng Tấn, phường Sơn Kỳ, quận Tân Phú,Tp Hồ Chí Minh</t>
  </si>
  <si>
    <t>http://www.acconine.vn</t>
  </si>
  <si>
    <t>https://acconline.vn/vn/tra-cuu-hoa-don.htm</t>
  </si>
  <si>
    <t>Form: MST của đơn vị (bên bán) + Mã tra cứu hóa đơn + reCAPTCHA v2</t>
  </si>
  <si>
    <t>23/3 Mai Lão Bạng, phường 13, quận Tân Bình, Tp Hồ Chí Minh</t>
  </si>
  <si>
    <t>http://htinvoice.com.vn</t>
  </si>
  <si>
    <t>https://laphoadon.htinvoice.vn/TraCuu</t>
  </si>
  <si>
    <t>Tab 'Biên bản sai sót'; menu 'Đọc hóa đơn XML' (trang đọc XML riêng)</t>
  </si>
  <si>
    <t>Form: 1 ô mã tra cứu + reCAPTCHA v2 (render explicit)</t>
  </si>
  <si>
    <t>Số 15 ngõ 134 Lê Trọng Tấn, phường Khương Mai, quận Thanh Xuân, Tp Hà Nội</t>
  </si>
  <si>
    <t>https://cloudinvoice.vn</t>
  </si>
  <si>
    <t>https://tracuu.cloudinvoice.vn/</t>
  </si>
  <si>
    <t>Chỉ 1 ô 'Nhập mã tra cứu hóa đơn'.</t>
  </si>
  <si>
    <t>750 Sư Vạn Hạnh (nối dài), phường 12, quận 10, Tp Hồ Chí Minh</t>
  </si>
  <si>
    <t>https://hoadon30s.vn</t>
  </si>
  <si>
    <t>https://tracuu.hoadon30s.vn/</t>
  </si>
  <si>
    <t>g_160x75</t>
  </si>
  <si>
    <t>ảnh 160x75 (GET /load-capcha, đặt làm background của ô input), ô 'Mã bảo vệ'</t>
  </si>
  <si>
    <t>Chọn 'Theo file xml' (dropdown ckbtype): upload XML, ô captcha bị ẩn; dropdown thông tư 78 (mặc định) / 32</t>
  </si>
  <si>
    <t>Form thường, không phải SPA. Ghi chú trên trang: mã tra cứu nằm trong email người bán gửi.</t>
  </si>
  <si>
    <t>Số 21 ngõ 84/24 phó Ngọc Khánh, phường Giảng Võ, quận Ba Đình, Tp Hà Nội</t>
  </si>
  <si>
    <t>https://vnisc.com.vn</t>
  </si>
  <si>
    <t xml:space="preserve">https://invoice.abcsys.vn/Invoice/Search
</t>
  </si>
  <si>
    <t>g_150x50_1</t>
  </si>
  <si>
    <t>https://invoice.abcsys.vn/Capchar/ShowCaptchaImage</t>
  </si>
  <si>
    <t>ảnh PNG base64 180x50 từ API gateway.v50.vninvoice.vn/api/portal/PortalApiService/captcha (hiển thị 288x80); nút 'reCaptcha' chỉ để làm mới ảnh, không phải Google reCAPTCHA</t>
  </si>
  <si>
    <t>Tab 'Tra cứu chứng từ TNCN': số bảo mật + captcha ảnh; Tab 'Tra cứu theo XML': loại chứng từ + upload XML + captcha ảnh; Tab 'Xác thực XML': upload XML + captcha ảnh</t>
  </si>
  <si>
    <t>SPA Angular (ng-zorro). Form mặc định: khoảng ngày HĐ (bắt đầu/kết thúc) + số bảo mật + MST người bán + mã xác thực. Ảnh thật 180x50, khác tên nhóm g_150x50_1.</t>
  </si>
  <si>
    <t>Số 1/35 ngõ 196 đường Đại Mỗ, phường Đại Mỗ, quận Nam Từ Liêm, Tp Hà Nội</t>
  </si>
  <si>
    <t>https://hoadondientuvn.info</t>
  </si>
  <si>
    <t>https://tracuu.hoadondientuvn.info/#/tracuuhoadon/tracuu</t>
  </si>
  <si>
    <t>https://bill2app.xcyber.vn/api/services/hddt/TraCuuHoaDon/RefreshCaptcha</t>
  </si>
  <si>
    <t>g_180x45</t>
  </si>
  <si>
    <t>ảnh base64 300x75 (hiển thị 180x45) từ API bill2app.xcyber.vn/.../TraCuuHoaDon/RefreshCaptcha; recaptcha/api.js có nạp nhưng không render ô tích</t>
  </si>
  <si>
    <t>Tab 'Xác thực hóa đơn' (#/tracuuhoadon/xacthuc): upload file XML + chọn cấu trúc (TT32 cũ/mới) + captcha ảnh</t>
  </si>
  <si>
    <t>SPA (nền tảng xcyber, giống tracuu.lienson.vn). Ảnh thật 300x75; nhóm ghi g_180x45 là kích thước hiển thị.</t>
  </si>
  <si>
    <t>X-04.77, tòa nhà North Towers, Sunrise City, số 27 Nguyễn Hữu Thọ, phường Tân Hưng, quận 7, Tp Hồ Chí Minh</t>
  </si>
  <si>
    <t>https://www.SAFEinvoice.vn</t>
  </si>
  <si>
    <t>https://www.safecert.com.vn/search_certificate</t>
  </si>
  <si>
    <t>reCAPTCHA v2 checkbox (size=normal)</t>
  </si>
  <si>
    <t>Link là trang tra cứu CHỨNG THƯ SỐ (tên cá nhân/tổ chức + MST/CCCD/CMND), không phải form tra HĐ. Web www.SAFEinvoice.vn không phân giải DNS; menu safecert.com.vn chỉ có link này. Không tìm được cổng tra HĐ.</t>
  </si>
  <si>
    <t>Phòng 0206, Block A, tòa nhà Lexingtn, 67 Mai Chí Thọ, phường An Phú, thành phố Thủ Đức, Tp Hồ Chí Minh</t>
  </si>
  <si>
    <t>www.spc-technology.com</t>
  </si>
  <si>
    <t>https://dailychukyso.com.vn/mst/tools/read-xml.php</t>
  </si>
  <si>
    <t>không có trên form chính (có khối captcha GDT dạng SVG 140x50 đang ẩn, có lẽ chỉ hiện khi kiểm tra với CQT sau khi đọc XML)</t>
  </si>
  <si>
    <t>Công cụ đọc XML của bên thứ ba (MST Lookup), không phải cổng tra cứu của NCC: kéo thả file XML, đọc ngay trên trình duyệt, in PDF từ XML. Web spc-technology.com là trang ERP, không có link tra HĐ.</t>
  </si>
  <si>
    <t>34 Nguyễn Bỉnh Khiêm, phường Đa Kao, quận 1, Tp Hồ Chí Minh</t>
  </si>
  <si>
    <t>https://hoadondientu.lienson.vn</t>
  </si>
  <si>
    <t>https://tracuu.lienson.vn/#/tracuuhoadon/tracuu</t>
  </si>
  <si>
    <t>ảnh base64 300x75 (hiển thị 180x45) từ API ls-invoiceapp.lienson.vn/.../TraCuuHoaDon/RefreshCaptcha; recaptcha/api.js có nạp nhưng không render ô tích</t>
  </si>
  <si>
    <t>Tab 'Xác thực hóa đơn': upload file XML + chọn cấu trúc + captcha ảnh</t>
  </si>
  <si>
    <t>SPA, cùng nền tảng xcyber với tracuu.hoadondientuvn.info (row 47).</t>
  </si>
  <si>
    <t>22/1/2 Nguyễn Văn Săng, phường Tân Sơn Nhì, quận Tân Phú, Tp Hồ Chí Minh</t>
  </si>
  <si>
    <t>https://onlinevina.com.vn</t>
  </si>
  <si>
    <t>https://hoadon.onlinevina.com.vn/invoice</t>
  </si>
  <si>
    <t>Chỉ 1 ô 'Mã tra cứu(*)' (input type=password).</t>
  </si>
  <si>
    <t>Số 564, đường Nguyễn Văn Cừ, phường Gia Thụy, quận Long Biên, Tp Hà Nội</t>
  </si>
  <si>
    <t>https://hoadondientu-ptp.vn</t>
  </si>
  <si>
    <t>https://hoadondientu-ptp.vn/tra-cuu/</t>
  </si>
  <si>
    <t>Cùng trang: form 'Chọn file' upload .zip/.xml; nút 'Download File XML' tải XML theo MST + số bảo mật</t>
  </si>
  <si>
    <t>Form thường (WordPress): MST đơn vị bán + Số bảo mật.</t>
  </si>
  <si>
    <t>K484/34-36 Trần Cao Vân, Phường Xuân Hà, Quận Thanh Khê, Thành phố Đà Nẵng</t>
  </si>
  <si>
    <t>http://e-invoicetuanchau.com</t>
  </si>
  <si>
    <t>https://e-invoicetuanchau.com/Tra-cuu</t>
  </si>
  <si>
    <t>Dropdown loại: 'Mã số thuế' (nhập MST, kiểm tra serial), 'Token sử dụng Vsign', 'Cty bỏ trốn' (không dùng để tra 1 HĐ)</t>
  </si>
  <si>
    <t>ASP.NET PageMethods, nền tảng Acc2k (giống hoadonminhthuvungtau.com). 1 ô 'Mã hóa đơn hoặc mst' + dropdown mặc định 'Mã hóa đơn'.</t>
  </si>
  <si>
    <t>68 Phan Chu Trinh, Phường 2, Thành phố Vũng Tàu, Tỉnh Bà Rịa - Vũng Tàu</t>
  </si>
  <si>
    <t>https://hoadonminhthuvungtau.com</t>
  </si>
  <si>
    <t>https://hoadonminhthuvungtau.com/Tra-cuu</t>
  </si>
  <si>
    <t>Dropdown loại: 'Mã số thuế', 'Token sử dụng Vsign', 'Cty bỏ trốn' (không dùng để tra 1 HĐ)</t>
  </si>
  <si>
    <t>Cùng nền tảng Acc2k với e-invoicetuanchau.com (row 53). 1 ô 'Mã hóa đơn hoặc mst' + dropdown mặc định 'Mã hóa đơn'.</t>
  </si>
  <si>
    <t>Số nhà 28, ngõ 460, đường Khương Đình, phường Hạ Đình, quận Thanh Xuân, Tp Hà Nội</t>
  </si>
  <si>
    <t>https://www.acman.vn/hoa-don-dien-tu.html</t>
  </si>
  <si>
    <t>https://hoadondientu.acman.vn/tra-cuu/hoa-don.html</t>
  </si>
  <si>
    <t>ASP.NET WebForms. 'Mã số thuế đơn vị phát hành' + 'Mã tra cứu hóa đơn (MST đơn vị nhận)': nhãn gợi ý mã tra cứu chính là MST bên mua.</t>
  </si>
  <si>
    <t>435/26 Thống Nhất, phường 11, quận Gò Vấp, Tp Hồ Chí Minh</t>
  </si>
  <si>
    <t>https://hoadonsovn.net </t>
  </si>
  <si>
    <t>hoadonsovn.evat.vn</t>
  </si>
  <si>
    <t>không có widget (recaptcha/api.js có nạp nhưng không render ô nào trên form)</t>
  </si>
  <si>
    <t>Nút 'Đăng nhập bằng tài khoản'</t>
  </si>
  <si>
    <t>Nền tảng eVAT của Trí Việt Luật (giống tvl.evat.vn, vlc.evat.vn). Form: 'Mã tra cứu' + 'Mã công ty' (cmpn_key; chưa rõ có phải MST bán không).</t>
  </si>
  <si>
    <t>https://hoadonsovn.evat.vn/</t>
  </si>
  <si>
    <t>L26 đường Lê Thị Riêng, khu phố 1, phường Thới An, quận 12, Tp Hồ Chí Minh</t>
  </si>
  <si>
    <t>http://voice.hoadondientu.net.vn</t>
  </si>
  <si>
    <t>http://voice.hoadondientu.net.vn/tra-cuu</t>
  </si>
  <si>
    <t>Trang chủ: đăng nhập MST + mật khẩu ('xem hóa đơn theo thông tư 32')</t>
  </si>
  <si>
    <t>Form GET đơn giản: 'Nhập mã hóa đơn' (keyword). Site cũ (©2007-2018), chỉ có HTTP.</t>
  </si>
  <si>
    <t>186/76 Vườn Lài, phường Tân Thành, quận Tân Phú, Tp Hồ Chí Minh</t>
  </si>
  <si>
    <t>http://congtyinhoadon.com  </t>
  </si>
  <si>
    <t>https://tvl.evat.vn/</t>
  </si>
  <si>
    <t>eVAT Trí Việt Luật. Vẫn có form công khai 'Mã tra cứu' + 'Mã công ty'. Bảng nguồn ghi 'đăng nhập mới xem hóa đơn'; chưa kiểm được vì không gửi form.</t>
  </si>
  <si>
    <t>Tầng 12 tòa nhà Việt Á, số 9 Duy Tân, phường Dịch Vọng Hậu, quận Cầu Giấy, Tp Hà Nội</t>
  </si>
  <si>
    <t>https://ahoadon.com</t>
  </si>
  <si>
    <t>Số 87, đường Nguyễn Thị Thập, khu đô thị mới HimLam, phường Tân Hưng, quận 7, Tp Hồ Chí Minh</t>
  </si>
  <si>
    <t>http://ameinvoice.com.vn</t>
  </si>
  <si>
    <t>https://ameinvoice.vn/invoice-inquiry/</t>
  </si>
  <si>
    <t>không có trên form (reCAPTCHA v3 ẩn của plugin Contact Form 7 nạp cho cả site)</t>
  </si>
  <si>
    <t>Trang 'Seller – buyer invoice inquiry': MST bán + Secret code + radio Seller/Buyer lookup; Trang 'Search file xml': upload XML</t>
  </si>
  <si>
    <t>WordPress. Form: 'Seller tax code' + 'Inquiry code' (company_cd). Bảng nguồn ghi lỗi 503 nhưng nay trả 200.</t>
  </si>
  <si>
    <t>Số 17/36 đường Hoàng Quốc Việt, phường Nghĩa Đô, quận Cầu Giấy, Tp Hà Nội</t>
  </si>
  <si>
    <t>https://www.fts.com.vn/phan-mem-hoa-don-dien-tu/ </t>
  </si>
  <si>
    <t>Link trỏ tới cổng FAST: thực tế dùng einvoice.fast.com.vn (KeySearch + captcha ảnh 100x30)</t>
  </si>
  <si>
    <t>Cùng form, radio chọn kết quả: Xem trực tiếp / Tải XML gốc / Tải PDF</t>
  </si>
  <si>
    <t>Link của First Trust trỏ tới hệ thống FAST (0100727825). Link thuộc FAST (0100727825), không phải First Trust (fts.com.vn). 1 ô 'Nhập mã số...'. CLAUDE.md ghi cổng FAST cần nhóm captcha ~g_100x30, nên captcha có thể hiện ở bước sau khi gửi (chưa kiểm vì không gửi form).</t>
  </si>
  <si>
    <t>Tầng 4 tòa nhà 97 - 99 Láng Hạ, phường Láng Hạ, quận Đống Đa, Tp Hà Nội</t>
  </si>
  <si>
    <t>https://hoadon.biz</t>
  </si>
  <si>
    <t>https://tracuu.e-hoadon.cloud/</t>
  </si>
  <si>
    <t>reCAPTCHA v3 ẩn</t>
  </si>
  <si>
    <t>MST đơn vị xuất HĐ + Mã tra cứu 16 ký tự. Nhân Hòa (HoaDon.Biz).</t>
  </si>
  <si>
    <t>628 Lê Hồng Phong, phường 10, quận 10, Tp Hồ Chí Minh</t>
  </si>
  <si>
    <t>https://ketoanvlc.com</t>
  </si>
  <si>
    <t>https://vlc.evat.vn/</t>
  </si>
  <si>
    <t>eVAT Trí Việt Luật. Form: 'Mã tra cứu' + 'Mã công ty'. Bảng nguồn ghi 'lỗi máy chủ' nhưng nay trả 200, form hiển thị bình thường.</t>
  </si>
  <si>
    <t>Số 12, ngõ 1 Hà Chì 1, phường Hà Cầu, quận Hà Đông, Tp Hà Nội</t>
  </si>
  <si>
    <t>http://tamvietgroup.vn</t>
  </si>
  <si>
    <t>B199/5 Nguyễn Văn Quá, khu phố 3, phường Đông Hưng Thuận, quận 12, Tp Hồ Chí Minh</t>
  </si>
  <si>
    <t>http://hoadondientu.link</t>
  </si>
  <si>
    <t>https://hoadondientu.link/tracuutt78</t>
  </si>
  <si>
    <t>AVSoft-eInvoice. Form: MST người bán + Mã tra cứu.</t>
  </si>
  <si>
    <t>160 Hai Bà Trưng, phường Đa Kao, quận 1, Tp Hồ Chí Minh</t>
  </si>
  <si>
    <t>http://tracuuhoadon.benthanhvoice.vn</t>
  </si>
  <si>
    <t>https://tracuuhoadon.benthanhvoice.vn/</t>
  </si>
  <si>
    <t>DNS không phân giải (ERR_NAME_NOT_RESOLVED) cả https lẫn http; domain benthanhvoice.vn không tồn tại (NXDOMAIN).</t>
  </si>
  <si>
    <t>23.07 Block A2 chung cư Ký Nguyên đường 15B, phường Phú Mỹ, quận 7, Tp Hồ Chí Minh</t>
  </si>
  <si>
    <t>https://koffi.vn</t>
  </si>
  <si>
    <t>https://koffi.vn/outbound/lookup-invoice</t>
  </si>
  <si>
    <t>Next.js. Chỉ 1 ô 'Nhập mã hoá đơn' (mã gửi trong email) + nút 'Xem hóa đơn'.</t>
  </si>
  <si>
    <t>32 Xô Viết Nghệ Tĩnh, phường 19, quân Bình Thạnh, Tp Hồ Chí Minh</t>
  </si>
  <si>
    <t>https://hddt.vietinfo.tech</t>
  </si>
  <si>
    <t>https://tracuuhoadon.vietinfo.tech/</t>
  </si>
  <si>
    <t>Bắt buộc 'Mã tra cứu' + 'Ngày hóa đơn'. Kết quả là bảng HĐ, có nút gửi email.</t>
  </si>
  <si>
    <t>Số 572 đường Nguyễn Trãi, phường Thanh Xuân Bắc, quận Thanh Xuân, Tp Hà Nội</t>
  </si>
  <si>
    <t>http://www.bitware.vn/services/hoa-don-dien-tu/</t>
  </si>
  <si>
    <t>https://www.bitware.vn/tracuuhoadon/</t>
  </si>
  <si>
    <t>g_70x23</t>
  </si>
  <si>
    <t>ảnh 70x23 (/tracuuhoadon/captcha/image/&lt;hash&gt;/, kiểu django-simple-captcha)</t>
  </si>
  <si>
    <t>Form: 'MST đơn vị phát hành' + 'Mã tra cứu' + 'Xác nhận ký tự hình bên'. Trang cũ (2014).</t>
  </si>
  <si>
    <t>Lầu 10, phòng 1005, 159 Điện Biên Phủ, phường 15, quận Bình Thạnh, Tp Hồ Chí Minh</t>
  </si>
  <si>
    <t>https://rosysoft.vn</t>
  </si>
  <si>
    <t>288/66/21 đường Huỳnh Văn Lũy, tổ 61 khu phố 7, phường Phú Lợi, Tp Thủ Dầu Một, tỉnh Bình Dương</t>
  </si>
  <si>
    <t>https://trandinhtung.evat.vn</t>
  </si>
  <si>
    <t>https://trandinhtung.evat.vn/</t>
  </si>
  <si>
    <t>không thấy widget; recaptcha/api.js v2 được nạp nhưng không render</t>
  </si>
  <si>
    <t>Đăng nhập bằng tài khoản (/bill/login: tên đăng nhập + mật khẩu)</t>
  </si>
  <si>
    <t>Nền tảng eVAT (PHP, form POST /bill). Cần 'Mã tra cứu' + 'Mã công ty' (cmpn_key, mã riêng của bên bán trên eVAT, không rõ có phải MST). Trang nạp recaptcha/api.js (v2) nhưng form mặc định không render widget nào; có thể chỉ hiện sau khi gửi form - chưa kiểm vì không gửi dữ liệu giả.</t>
  </si>
  <si>
    <t>Tầng 16, CMC Tower, phố Duy Tân, phường Dịch Vọng Hậu, quận Cầu Giấy, Tp Hà Nội</t>
  </si>
  <si>
    <t>https://store.cmcts.com.vn</t>
  </si>
  <si>
    <t>https://cinvoice.cmctelecom.vn/</t>
  </si>
  <si>
    <t>reCAPTCHA v2 checkbox (render explicit, iframe anchor hiện sẵn)</t>
  </si>
  <si>
    <t>CMC Telecom. Chỉ 'Mã tra cứu hóa đơn' + 'Xác thực bảo mật' (reCAPTCHA); kết quả mở cửa sổ tải PDF và XML.</t>
  </si>
  <si>
    <t>Số 904/46 Nguyễn Kiệm, phường 3, quận Gò Vấp, Tp Hồ Chí Minh</t>
  </si>
  <si>
    <t>https://phuongnam.evat.vn/log</t>
  </si>
  <si>
    <t>https://phuongnam.evat.vn/</t>
  </si>
  <si>
    <t>không thấy widget; recaptcha/api.js v2 được nạp nhưng không render (danh sách gốc ghi 'captcha dạng tích')</t>
  </si>
  <si>
    <t>134/2C đường Hoàng Hoa Thám, phường 12, quận Tân Bình, Tp Hồ Chí Minh</t>
  </si>
  <si>
    <t>https://ttltax.com</t>
  </si>
  <si>
    <t>https://tracuu.ttltax.com/</t>
  </si>
  <si>
    <t>Đăng nhập bằng tài khoản (/bill/login)</t>
  </si>
  <si>
    <t>Cùng nền tảng eVAT với trandinhtung/phuongnam. Nền tảng eVAT (PHP, form POST /bill). Cần 'Mã tra cứu' + 'Mã công ty' (cmpn_key, mã riêng của bên bán trên eVAT, không rõ có phải MST). Trang nạp recaptcha/api.js (v2) nhưng form mặc định không render widget nào; có thể chỉ hiện sau khi gửi form - chưa kiểm vì không gửi dữ liệu giả.</t>
  </si>
  <si>
    <t>Tầng 9, 186 Bis Trần Quang Khải, phường Tân Định, quận 1, Tp Hồ Chí Minh</t>
  </si>
  <si>
    <t>http://hoadondientuvietnam.vn</t>
  </si>
  <si>
    <t>SH 3.28 tầng 3 tòa nhà Viva Riverside, 1472 Võ Văn Kiệt, phường 03, quận 6, Tp Hồ Chí Minh</t>
  </si>
  <si>
    <t>https://invoice.ehcm.vn </t>
  </si>
  <si>
    <t>https://invoice.ehcm.vn/#TraCuu</t>
  </si>
  <si>
    <t>SaigonInvoice (ASP.NET WebForms). Ô txtSearch 'Nhập mã tra cứu' + nút tra; dùng chung cho tra chứng từ khấu trừ thuế TNCN. Trang chủ đồng thời là trang bán hàng/tải phần mềm.</t>
  </si>
  <si>
    <t>Số 10, ngõ 104 phố Đào Tấn, phường Cống Vị, quận Ba Đình, Tp Hà Nội</t>
  </si>
  <si>
    <t>http://thanglongsoft.com/index.php/linh-v-c-kinh-doanh/493-l-nh-va-c-kinh-doanh/493-1-l-nh-va-c-kinh-doanh</t>
  </si>
  <si>
    <t>Tầng 8, tháp B, tòa nhà Sông Đà, đường Phạm Hùng, phường Mỹ Đình 1, quận Nam Từ Liêm, Tp Hà Nội</t>
  </si>
  <si>
    <t>http://tigtax.vn</t>
  </si>
  <si>
    <t>Tầng 1, tòa nhà Packsimex số 52 Đông Du, phường Bến Nghé, quận 1, Tp Hồ Chí Minh</t>
  </si>
  <si>
    <t>https://www.vdsg-invoice.vn</t>
  </si>
  <si>
    <t>https://www.vdsg-invoice.vn/Account/Login</t>
  </si>
  <si>
    <t>g_250x40</t>
  </si>
  <si>
    <t>BotDetect CAPTCHA ảnh 250x40 (BotDetectCaptcha.ashx) trên form đăng nhập</t>
  </si>
  <si>
    <t>Không thấy trang tra cứu công khai: cả www.vdsg-invoice.vn và tracuu.vdsg-invoice.vn đều chuyển về /Account/Login (tài khoản + mật khẩu + mã bảo mật); /TraCuu trả 404.</t>
  </si>
  <si>
    <t>23 Nguyễn Thị Huỳnh, phường 8, quận Phú Nhuận, Tp Hồ Chí Minh</t>
  </si>
  <si>
    <t>https://accnet.vn/hoa-don-dien-tu</t>
  </si>
  <si>
    <t>https://accnet.vn/tra-cuu-hoa-don-dien-tu</t>
  </si>
  <si>
    <t>https://lacviet.hdtt.vn/api/Invoice/get-captcha-image?key=5270d64e-9347-4df4-175d-471e65ead33e&amp;v=1790323334</t>
  </si>
  <si>
    <t>g_150x32</t>
  </si>
  <si>
    <t>ảnh gốc 100x36, hiển thị 150x32 (lacviet.hdtt.vn/api/Invoice/get-captcha-image?key=&lt;guid&gt;)</t>
  </si>
  <si>
    <t>'Đọc hóa đơn': upload file XML (Browse Files) để đọc/hiển thị HĐ</t>
  </si>
  <si>
    <t>Trang WordPress của Lạc Việt nhúng form gọi API lacviet.hdtt.vn. Form: 'Mã tra cứu hóa đơn' + 'Mã kiểm tra'. Kết quả: bảng có link tải HĐ, tải XML.</t>
  </si>
  <si>
    <t>Số 05 Đồng Nai, phường 2, quận Tân Bình, Tp Hồ Chí Minh</t>
  </si>
  <si>
    <t>https://autoinvoice.vn</t>
  </si>
  <si>
    <t>https://tracuu.autoinvoice.vn/</t>
  </si>
  <si>
    <t>Có link 'Đăng Nhập?' (tài khoản)</t>
  </si>
  <si>
    <t>Ứng dụng ZK (Java, id ô sinh động). Chỉ 1 ô 'Mã tra cứu'; tra cả hóa đơn và chứng từ.</t>
  </si>
  <si>
    <t>157 Nguyễn Thị Thập, phường Tân Phú, quận 7, Tp Hồ Chí Minh</t>
  </si>
  <si>
    <t>https://unit.com.vn/    </t>
  </si>
  <si>
    <t>Tầng 3, tòa nhà Định vị Bách Khoa, số 561 Nguyễn Bỉnh Khiêm, phường Đằng Hải, quận Hải An, Tp Hải Phòng</t>
  </si>
  <si>
    <t>https://hoadondientu.pmbk.vn   </t>
  </si>
  <si>
    <t>https://hdbk.pmbk.vn/tra-cuu-hoa-don</t>
  </si>
  <si>
    <t>Tab 'Tệp tra cứu': chọn tệp tra cứu để upload (không rõ định dạng, có thể là XML)</t>
  </si>
  <si>
    <t>SPA Angular (ng-zorro). Tab mặc định 'Mã tra cứu': 1 ô 'Nhập mã tra cứu...'.</t>
  </si>
  <si>
    <t>Số 54C, ngõ 63 phường Đại Mỗ, quận Nam Từ Liêm, Tp Hà Nội</t>
  </si>
  <si>
    <t>https://mysoftware.vn   </t>
  </si>
  <si>
    <t>https://tracuu.myinvoice.vn/#/</t>
  </si>
  <si>
    <t>SPA (hash route). Chỉ 1 ô 'Nhập mã tra cứu' + nút Tra cứu. Adapter myinvoice trong project tra bằng MCCQT. Cùng giao diện với VININVOICE.</t>
  </si>
  <si>
    <t>359/5 Vườn Lài, phường Phí Thọ Hòa, quận Tân Phú, Tp Hồ Chí Minh</t>
  </si>
  <si>
    <t>http://ihoadondientu.net</t>
  </si>
  <si>
    <t>https://ihoadondientu.net/Tracuu.aspx</t>
  </si>
  <si>
    <t>Dropdown loại tra cứu: 'Mã hóa đơn' (mặc định), 'Mã số thuế', 'Token sử dụng Vsign', 'Cty bỏ trốn' (các loại sau là tra thông tin DN/token, không phải tra 1 HĐ)</t>
  </si>
  <si>
    <t>ASP.NET. Ô txtMahoadon 'Mã hóa đơn' + chọn loại.</t>
  </si>
  <si>
    <t>LK08-13, Khu phố 3, Phường 6, Thành phố Mỹ Tho, Tỉnh Tiền Giang</t>
  </si>
  <si>
    <t>https://einvoice.webcashvietnam.com/ </t>
  </si>
  <si>
    <t>https://wetax.com.vn/tra-cuu</t>
  </si>
  <si>
    <t>g_160x60</t>
  </si>
  <si>
    <t>ảnh JPEG base64 160x60 (hiển thị 121x32), ô 'Kiểm tra mã'</t>
  </si>
  <si>
    <t>WeTax (Webcash VN). Form: 'Mã tra cứu' + 'Kiểm tra mã' (captcha). Mã tra cứu là mã riêng, không có trong XML (xem CLAUDE.md).</t>
  </si>
  <si>
    <t>5 Hoa Sữa, phường 7, quận Phú Nhuận, thành phố Hồ Chí Minh</t>
  </si>
  <si>
    <t>https://e-invoices.vn/</t>
  </si>
  <si>
    <t>https://e-invoices.vn/User/Search</t>
  </si>
  <si>
    <t>Sign in (tài khoản) để vào workspace</t>
  </si>
  <si>
    <t>PSCForm (Kim Tự Tháp). Chỉ 1 ô 'Secret code' (bắt buộc). Giao diện EN/VI.</t>
  </si>
  <si>
    <t>Tầng 4, 97-101 Nguyễn Công Trứ, phường Nguyễn Thái Bình, quận 1, Thành phố Hồ Chí Minh</t>
  </si>
  <si>
    <t>http://brightbrain.vn/hoa-don-dien-tu/</t>
  </si>
  <si>
    <t>Số 50 đường số 34, phường An Phú, Thành phố Thủ Đức, Thành phố Hồ Chí Minh</t>
  </si>
  <si>
    <t>https://www.cloudteam.vn</t>
  </si>
  <si>
    <t>https://chanel-eportal.cloudteam.vn/</t>
  </si>
  <si>
    <t>ảnh 120x40 (/captcha/flat?&lt;rand&gt;)</t>
  </si>
  <si>
    <t>Tab 'Xác thực XML': upload file XML + mã kiểm tra (captcha ảnh)</t>
  </si>
  <si>
    <t>Cổng riêng của Chanel Vietnam trên nền Cloudteam. Tab mặc định 'Tìm hóa đơn': 'Mã tra cứu hóa đơn' + 'Mã kiểm tra'.</t>
  </si>
  <si>
    <t>Số 10 ngõ 123/47, Thụy Phương, Bắc Từ Liêm, Thành phố Hà Nội</t>
  </si>
  <si>
    <t>https://vininvoice.vn</t>
  </si>
  <si>
    <t>https://tracuu.vininvoice.vn/#/</t>
  </si>
  <si>
    <t>SPA (hash route), cùng giao diện/nền tảng với tracuu.myinvoice.vn. Chỉ 1 ô 'Nhập mã tra cứu'.</t>
  </si>
  <si>
    <t>Số 25 Ngô Quyền, phường Tràng Tiền, quận Hoàn Kiếm, Tp Hà Nội</t>
  </si>
  <si>
    <t>http://hoadonct.gov.vn   </t>
  </si>
  <si>
    <t>Số 167 phố Trung Kính, phường Yên Hòa, quận Cầu Giấy, thành phố Hà Nội</t>
  </si>
  <si>
    <t>https://vetc.com.vn</t>
  </si>
  <si>
    <t>https://tracuuhoadon.vetc.com.vn/</t>
  </si>
  <si>
    <t>Radio 'Mã vé': chọn Trạm/tuyến (dropdown) + Mã vé (ký hiệu+số vé) + Biển số xe</t>
  </si>
  <si>
    <t>VETC. Radio mặc định 'Mã tra cứu': 1 ô secureId. Adapter vetc trong project dùng TTKhac 'Mã tra cứu'.</t>
  </si>
  <si>
    <t>B19.21, Sunrise Cityview, số 33 Nguyễn Hữu Thọ, phường Tân Hưng, quận 7, Tp Hồ Chí Minh</t>
  </si>
  <si>
    <t>https://pvssolution.com/</t>
  </si>
  <si>
    <t>https://invoice.pvssolution.com/</t>
  </si>
  <si>
    <t>invoice.pvssolution.com timeout kết nối (https và http). Trang web pvssolution.com chỉ giới thiệu SP (Pinance), không có link tra cứu HĐ</t>
  </si>
  <si>
    <t>93 </t>
  </si>
  <si>
    <t>191 Nam Kỳ Khởi Nghĩa, phường Võ Thị Sáu, quận 3, Tp Hồ Chí Minh</t>
  </si>
  <si>
    <t>https://news.yoinvoice.vn</t>
  </si>
  <si>
    <t>Số 51 đường Nguyễn Cư Trinh, phường Nguyễn Cư Trinh, quận 1, Tp Hồ Chí Minh</t>
  </si>
  <si>
    <t>https://ecount.com   </t>
  </si>
  <si>
    <t>Số 167, phố Trung Kính, phường Yên Hòa, quận Cầu Giấy, Tp Hà Nội</t>
  </si>
  <si>
    <t>https://atis.com.vn/hoa-don-dien-tu     </t>
  </si>
  <si>
    <t>https://tracuuhoadon.atis.com.vn/</t>
  </si>
  <si>
    <t>Radio 'Mã vé': chọn Trạm/đơn vị (sourceOrg) + Mã vé (ký hiệu+số vé) + Biển số xe</t>
  </si>
  <si>
    <t>Cổng ATIS làm cho VETC (footer Công ty TNHH Thu phí tự động VETC); mặc định chỉ 1 ô mã tra cứu</t>
  </si>
  <si>
    <t>Tầng 6, tòa nhà Ocean Park, số 01 Đào Duy Anh, phường Phương Mai, quận Đống Đa, Tp Hà Nội</t>
  </si>
  <si>
    <t>https://kaike.vn/hoa-don-dien-tu</t>
  </si>
  <si>
    <t>https://tracuu.kaike.vn/</t>
  </si>
  <si>
    <t>Trang trắng: HTML có bundle React nhưng tải main.30d0c8a6.js bị cắt ngang (Response ended prematurely), không render được form; kaike.vn không phân giải DNS</t>
  </si>
  <si>
    <t>Số 412 Nguyễn Văn Cừ, phường Bồ Đề, quận Long Biên, Tp Hà Nội</t>
  </si>
  <si>
    <t>https://aits.vn/</t>
  </si>
  <si>
    <t>https://einvoice.aits.vn/</t>
  </si>
  <si>
    <t>Cùng trang: upload file hóa đơn (*.zip) → 'Xem hóa đơn'</t>
  </si>
  <si>
    <t>Form: MST đơn vị bán + Số bảo mật. Có mã Telerik RadCaptcha nhưng đã bị comment trong HTML (không hiển thị)</t>
  </si>
  <si>
    <t>Số 2-4-6 đường số 5, phường An Lợi Đông, Tp Thủ Đức, Tp Hồ Chí Minh</t>
  </si>
  <si>
    <t>https://bizzi.vn/</t>
  </si>
  <si>
    <t>https://tchd.bizzi.vn/</t>
  </si>
  <si>
    <t>Cloudflare Turnstile checkbox ('Xác minh bạn là con người')</t>
  </si>
  <si>
    <t>SPA React; 1 ô mã tra cứu + Turnstile hiển thị (size normal)</t>
  </si>
  <si>
    <t>L64 đường Cư Xá Phú Lâm A, phường 12, quận 6, Tp Hồ Chí Minh</t>
  </si>
  <si>
    <t>http://beetek.vn/</t>
  </si>
  <si>
    <t>Tầng 2, A1-A3 Tòa nhà Ecolife Capitol, số 58 Tố Hữu, phường Mễ Trì, quận Nam Từ Liêm, Tp Hà Nội</t>
  </si>
  <si>
    <t>https://mont-e.com/</t>
  </si>
  <si>
    <t>Khu dân cư Trung Hành 5 (tại nhà ông Lê Đức Đạt) phường Đằng Lâm, quận Hải An, Tp Hải Phòng</t>
  </si>
  <si>
    <t>https://homecasta.vn </t>
  </si>
  <si>
    <t>https://tracuu.homecasta.vn/#/</t>
  </si>
  <si>
    <t>Giao diện cùng mẫu với tchd.bizzi.vn (SPA React) nhưng không nạp Turnstile; chỉ 1 ô mã tra cứu</t>
  </si>
  <si>
    <t>Số nhà 2, ngách 32, tổ 9, phường Tân Lập, tp Thái Nguyên, tỉnh Thái Nguyên.</t>
  </si>
  <si>
    <t>https://sonphat.vn   </t>
  </si>
  <si>
    <t>https://tracuuhoadon.sonphat.vn/</t>
  </si>
  <si>
    <t>Tầng 6-7, số 1B Yết Kiêu, phường Trần Hưng Đạo, quận Hoàn Kiếm, Tp Hà Nội</t>
  </si>
  <si>
    <t>https://hoadondientu.kiotviet.vn    </t>
  </si>
  <si>
    <t>https://tracuuhoadon.kiotviet.vn/</t>
  </si>
  <si>
    <t>SPA (einvoice-lookup-web); chỉ 1 ô 'Nhập mã tra cứu' + nút Tìm kiếm</t>
  </si>
  <si>
    <t>Tầng 6, 182 Lê Đại Hành, phường 15, quận 11, Tp Hồ Chí Minh</t>
  </si>
  <si>
    <t>https://haravan.com/pages/giai-phap-xuat-hoa-don-dien-tu  </t>
  </si>
  <si>
    <t>https://e-invoices.haravan.app/</t>
  </si>
  <si>
    <t>reCAPTCHA v3 ẩn (api.js?render=&lt;sitekey&gt;, size=invisible)</t>
  </si>
  <si>
    <t>Tab 'Tìm kiếm chứng từ' / 'phiếu xuất kho' / 'biên lai': cùng MST bên bán + Mã nhận HĐ; menu 'Danh sách hóa đơn'/'Đăng nhập' cho tài khoản</t>
  </si>
  <si>
    <t>Form: MST bên bán (*) + Mã nhận HĐ (*); reCAPTCHA v3 chạy ngầm, không có ô tích</t>
  </si>
  <si>
    <t>Tầng 11 tòa nhà VP Hòa Bình, 106 Hoàng Quốc Việt, phường Nghĩa Đô, quận Cầu Giấy, Tp Hà Nội</t>
  </si>
  <si>
    <t>https://ipos.vn/</t>
  </si>
  <si>
    <t>https://tracuuhoadon.ipos.vn/</t>
  </si>
  <si>
    <t>Tab 'Tìm kiếm chứng từ' / 'Tìm kiếm phiếu xuất kho'; menu 'Danh sách hóa đơn'/'Đăng nhập' cho tài khoản</t>
  </si>
  <si>
    <t>Cùng mẫu với Haravan nhưng chỉ có ô Mã nhận HĐ (*) (không có MST)</t>
  </si>
  <si>
    <t>Lô V7.6 tầng 7, trung tâm thương mại A-B Imperia Garden, số 203 Nguyễn Huy Tưởng, phường Thanh Xuân Trung, quận Thanh Xuân, Tp Hà Nội.</t>
  </si>
  <si>
    <t>https://intrustdss.vn/san-pham/chi-tiet/4</t>
  </si>
  <si>
    <t>https://lookupeinvoice.intrustdss.vn/</t>
  </si>
  <si>
    <t>không có (trang nạp angular-recaptcha + captchaService nhưng form tra cứu không hiển thị captcha)</t>
  </si>
  <si>
    <t>Nút 'Đăng nhập' cho tài khoản</t>
  </si>
  <si>
    <t>AngularJS; 1 ô 'Nhập mã tra cứu (*)'</t>
  </si>
  <si>
    <t>49 Bàn Cờ, phường 3, quận 3, Tp Hồ Chí Minh</t>
  </si>
  <si>
    <t>https://yoyoin.yoyoschool.vn  </t>
  </si>
  <si>
    <t>Trùng cổng INTRUST (dòng 107); AngularJS, 1 ô mã tra cứu</t>
  </si>
  <si>
    <t>Tầng 6, tòa nhà Ladeco, số 266 Đội Cấn, phường Liễu Giai, quận Ba Đình, Tp Hà Nội</t>
  </si>
  <si>
    <t>https://www.sapo.vn/blog/sapo-invoice</t>
  </si>
  <si>
    <t>https://www.sapo.vn/tra-cuu-sapo-invoice.html</t>
  </si>
  <si>
    <t>Tab 'Theo file .xml': upload XML (≤2MB); mục 'Chứng từ điện tử': mã tra cứu chứng từ hoặc file XML</t>
  </si>
  <si>
    <t>Tab mặc định 'Theo mã tra cứu': 1 ô mã tra cứu hóa đơn</t>
  </si>
  <si>
    <t>Tầng 12A, tòa A3 Ecolife Capitol, số 58 Tố Hữu, phường Trung Văn, quận Nam Từ Liêm, Tp Hà Nội</t>
  </si>
  <si>
    <t>https://pos.pancake.vn/e-invoice </t>
  </si>
  <si>
    <t>https://tracuu.pancake.vn/</t>
  </si>
  <si>
    <t>Cùng mẫu với Haravan/iPOS; chỉ ô Mã nhận HĐ (*)</t>
  </si>
  <si>
    <t>Tầng 2, khu trung tâm thương mại Hàng Da, số 1 phố Hàng Da, phường Cửa Đông, quận Hoàn Kiếm, Tp Hà Nội</t>
  </si>
  <si>
    <t>https://netacom.vn/neta-einvoice.html   </t>
  </si>
  <si>
    <t>https://0109045760hd.easyinvoice.vn/Search/Index</t>
  </si>
  <si>
    <t>ảnh 150x34 (/Captcha/Show) — nhóm g_150x34</t>
  </si>
  <si>
    <t>'Kiểm tra hóa đơn' (/Invoice/CheckInvoice): upload XML + captcha ảnh; 'Danh sách hóa đơn'/'Đăng nhập': tài khoản</t>
  </si>
  <si>
    <t>Cổng EasyInvoice (Softdreams) riêng của khách 0109045760; form Mã tra cứu (Fkey) + Mã xác thực</t>
  </si>
  <si>
    <t>Lô A3-14 đường Hà Phong 3, khu đô thị Hà Phong, xã Mê Linh, Tp Hà Nội </t>
  </si>
  <si>
    <t>https://hoadon.igas.vn     </t>
  </si>
  <si>
    <t>https://tracuu.igas.vn/</t>
  </si>
  <si>
    <t>Tầng 46, tòa nhà Bitexco Financial Tower, 02 Hải Triều, phường Sài Gòn, Tp Hồ Chí Minh</t>
  </si>
  <si>
    <t>https://invoi.vn    </t>
  </si>
  <si>
    <t>279-281 Cộng Hòa, phường Tân Bình, Tp Hồ Chí Minh</t>
  </si>
  <si>
    <t>https://ttc.t-hoadon.vn   </t>
  </si>
  <si>
    <t>https://tracuu.t-hoadon.vn/</t>
  </si>
  <si>
    <t>https://tracuu.t-hoadon.vn/#/</t>
  </si>
  <si>
    <t>Số 5, xóm Sông Cầu, thôn Thiên Đông, xã Tam Hưng, Tp Hà Nội</t>
  </si>
  <si>
    <t>https://invoice.iamsoftware.com.vn</t>
  </si>
  <si>
    <t>https://tracuu.iamsoftware.com.vn/</t>
  </si>
  <si>
    <t>SPA (mẫu giống Bizzi), tra cứu HĐ + chứng từ TNCN bằng 1 ô mã tra cứu</t>
  </si>
  <si>
    <t>https://tracuu.iamsoftware.com.vn/#/</t>
  </si>
  <si>
    <t>Số 89B, ngõ 255 Lĩnh Nam, phường Vĩnh Hưng, Tp Hà Nội</t>
  </si>
  <si>
    <t>https://sfin.vn/</t>
  </si>
  <si>
    <t>31-33 Đinh Công Tráng, phường Tân Định, Tp Hồ Chí Minh</t>
  </si>
  <si>
    <t>https://smartinvoice.vn</t>
  </si>
  <si>
    <t>https://tracuu-hddt.sctv.vn/</t>
  </si>
  <si>
    <t>'Tra cứu Doanh nghiệp' (/dang-nhap): đăng nhập MST + mật khẩu</t>
  </si>
  <si>
    <t>Form: 'MÃ TRA CỨU HÓA ĐƠN(*)' (name=sobaomat)</t>
  </si>
  <si>
    <t>Tầng 6, tòa nhà Phú Mỹ Hưng, số 8 đường Hoàng Văn Thái, phường Tân Mỹ, Tp Hồ Chí Minh</t>
  </si>
  <si>
    <t>https://mmhoadon.vn</t>
  </si>
  <si>
    <t>https://tracuu.mmhoadon.vn/</t>
  </si>
  <si>
    <t>Tab 'Tra cứu theo tài khoản' và 'Tra cứu theo File' đang bị disable ('Tính năng sắp ra mắt')</t>
  </si>
  <si>
    <t>MoMo E-Invoice, SPA; tab 'Tra cứu một hóa đơn': 1 ô mã tra cứu</t>
  </si>
  <si>
    <t>Số 28 ngõ 8 Cầu Đơ 4, phường Hà Đông, Tp Hà Nội</t>
  </si>
  <si>
    <t>https://gohoadon.vn</t>
  </si>
  <si>
    <t>https://tracuu.gohoadon.vn/</t>
  </si>
  <si>
    <t>SPA React, chỉ 1 ô 'Nhập mã tra cứu'. Bundle có khai báo recaptchaSiteKeyV2 trong config nhưng không thấy dùng, trang không nạp reCAPTCHA. Cùng giao diện với SUN Invoice (row 133).</t>
  </si>
  <si>
    <t>Phòng 203, tầng 2 số 21-23 Nguyễn Công Hoan, phường Giảng Võ, Tp Hà Nội</t>
  </si>
  <si>
    <t>https://taxnet.vn</t>
  </si>
  <si>
    <t>https://tracuuhoadon.taxnet.vn/</t>
  </si>
  <si>
    <t>reCAPTCHA v3 ẩn (api.js?render=&lt;key&gt;, grecaptcha.execute, iframe size=invisible)</t>
  </si>
  <si>
    <t>Tab 'Tìm kiếm chứng từ' và 'Tìm kiếm phiếu xuất kho': cùng ô 'Mã nhận HĐ' (loại chứng từ khác, không phải cách tra HĐ khác)</t>
  </si>
  <si>
    <t>Ô 'Mã nhận HĐ (*)' + ô số SP/trang. Cùng template với BaDo (row 129).</t>
  </si>
  <si>
    <t>Số 25 ngõ 24 Hoàng Quốc Việt, phường Nghĩa Đô, Tp Hà Nội</t>
  </si>
  <si>
    <t>https://hoadon.aibat.vn</t>
  </si>
  <si>
    <t>Số 170 đường Đê La Thành, phường Ô Chợ Dừa, Tp Hà Nội</t>
  </si>
  <si>
    <t>https://dangky.nhanh.vn/xuat_hoa_don_dien_tu</t>
  </si>
  <si>
    <t>Vị trí 6, biệt thự 12, Khu đô thị Xa La, phường Hà Đông, Tp Hà Nội</t>
  </si>
  <si>
    <t>https://nc-ca.com.vn/</t>
  </si>
  <si>
    <t>https://hddt.hddt-nc.vn/</t>
  </si>
  <si>
    <t>không có (form đăng nhập)</t>
  </si>
  <si>
    <t>Link chuyển về #/login của phần mềm quản trị (MST + Tài khoản + Mật khẩu). Bundle SPA không có route tra cứu công khai; trên nc-ca.com.vn menu 'Tra cứu hóa đơn' trỏ '#'. Không tìm thấy form tra cứu cho người mua.</t>
  </si>
  <si>
    <t>https://hddt.hddt-nc.vn/#/login</t>
  </si>
  <si>
    <t>Số 746 đường Minh Khai, phường Vĩnh Tuy, Tp Hà Nội</t>
  </si>
  <si>
    <t>https://vuhai.co</t>
  </si>
  <si>
    <t>https://hoadon.vuhai.co/</t>
  </si>
  <si>
    <t>https://hoadon.vuhai.co: ERR_CONNECTION_RESET (thử lại 2 lần); http:// trả 404. Web vuhai.co (VAN-Logistic) sống nhưng trang giải pháp HĐĐT không có link tra cứu.</t>
  </si>
  <si>
    <t>Đường số 8, Khu 2, Bùi Minh Trực, Phường Bình Đông, Thành phố Hồ Chí Minh</t>
  </si>
  <si>
    <t>https://wiinvoice.vn/</t>
  </si>
  <si>
    <t>không có (trang nạp recaptcha/api.js nhưng không render widget trên form mặc định)</t>
  </si>
  <si>
    <t>'Sử dụng tài khoản tra cứu' (/bill/login: username + password); form ẩn 'Tra cứu hóa đơn hệ thống cũ' (dcv_form, chỉ Mã tra cứu)</t>
  </si>
  <si>
    <t>Form mặc định: 'Mã tra cứu' + 'Mã công ty' (mã công ty của WinInvoice, không phải MST). Lưu ý: web ghi wiinvoice.vn nhưng link là wininvoice.vn.</t>
  </si>
  <si>
    <t>I.102D, nhà A, Khu Công nghệ Phần mềm, Đường Nội bộ Đại học Quốc Gia Thành phố Hồ Chí Minh, Phường Linh Xuân, Thành phố Hồ Chí Minh</t>
  </si>
  <si>
    <t>https://xinvoice.vn</t>
  </si>
  <si>
    <t>Tầng 10 tòa nhà 319 BQP, Số 63, đường Lê Văn Lương, Phường Yên Hòa, Thành phố Hà Nội</t>
  </si>
  <si>
    <t>https://www.epayjsc.com</t>
  </si>
  <si>
    <t>https://tracuuhoadon.epayjsc.com/</t>
  </si>
  <si>
    <t>Tab 'Biên lai': MST + mã tra cứu; Tab 'Tra cứu theo Biển kiểm soát': MST đơn vị cung cấp + biển số xe + 8 số cuối mã RFID + tháng</t>
  </si>
  <si>
    <t>MST bên bán (hoặc CCCD) + Mã tra cứu (hướng dẫn gọi là 'Số bảo mật'). Cùng template với ATOM 1invoice (row 128).</t>
  </si>
  <si>
    <t>https://tracuuhoadon.epayjsc.com/tra-cuu-hoa-don</t>
  </si>
  <si>
    <t>Phòng 802, Lầu 8, Tòa nhà Vietnam Business Center, 57-59 Hồ Tùng Mậu, Phường Sài Gòn, Thành phố Hồ Chí Minh</t>
  </si>
  <si>
    <t>https://1invoice.vn</t>
  </si>
  <si>
    <t>https://tracuuhoadon.1invoice.vn/tra-cuu-hoa-don</t>
  </si>
  <si>
    <t>MST (người bán, hoặc CCCD) + Số bảo mật. Cùng template với EPAY (row 127), chỉ có tab 'Hóa đơn'.</t>
  </si>
  <si>
    <t>Tầng số 01 tại 269B Đường Nguyễn Thái Học, Phường Long Xuyên, Tỉnh An Giang</t>
  </si>
  <si>
    <t>https://bado.vn/hoa-don-dien-tu</t>
  </si>
  <si>
    <t>https://tracuu.bado.vn/</t>
  </si>
  <si>
    <t>Tab 'Tìm kiếm chứng từ' và 'Tìm kiếm phiếu xuất kho': cùng ô 'Mã nhận HĐ' (loại chứng từ khác)</t>
  </si>
  <si>
    <t>Ô 'Mã nhận HĐ (*)'. Cùng template với TAXNET (row 120).</t>
  </si>
  <si>
    <t>Số 5 Phạm Hùng, phường Cầu Giấy,  Hà Nội</t>
  </si>
  <si>
    <t>https://vietnampost.vn</t>
  </si>
  <si>
    <t>https://tracuuhoadon.vnpost.vn/</t>
  </si>
  <si>
    <t>'Mã xác thực' 4 chữ số hiển thị dạng text trong ô input readonly (sinh phía client, không phải ảnh), đọc thẳng được từ DOM</t>
  </si>
  <si>
    <t>Tab 'Chứng từ điện tử': mã tra cứu chứng từ + mã xác thực; Tab 'Hóa đơn trước chuyển đổi': mã tra cứu + mã xác thực</t>
  </si>
  <si>
    <t>SPA Angular (PrimeNG). Mã tra cứu + mã xác thực 4 số.</t>
  </si>
  <si>
    <t>Tầng 3 tòa nhà 12-16 phố Đốc Ngữ, phường Ngọc Hà, Tp Hà Nội</t>
  </si>
  <si>
    <t>https://hoadon.ontik.vn</t>
  </si>
  <si>
    <t>https://hoadon.ontik.vn/</t>
  </si>
  <si>
    <t>Link chuyển về /login phần mềm phát hành (MST + Tên đăng nhập + Mật khẩu), Next.js. Không thấy link/route tra cứu công khai cho người mua.</t>
  </si>
  <si>
    <t>https://hoadon.ontik.vn/login</t>
  </si>
  <si>
    <t>1/11/74 Đặng Thùy Trâm, phường Bình Lợi Trung, Tp Hồ Chí Minh</t>
  </si>
  <si>
    <t>https://trustedbilling.mobile-id.vn/  </t>
  </si>
  <si>
    <t>https://trustedbilling.mobile-id.vn/invoice-inquiry/?language=vi</t>
  </si>
  <si>
    <t>reCAPTCHA v2 checkbox ('Tôi không phải là người máy', render=explicit, iframe size=normal 304x78)</t>
  </si>
  <si>
    <t>Tab 'Tra cứu dùng tệp XML': kéo thả/chọn file .xml (+ reCAPTCHA)</t>
  </si>
  <si>
    <t>Trusted Billing. Nút Tra cứu bị khóa tới khi tích reCAPTCHA.</t>
  </si>
  <si>
    <t>Sàn 2902, tòa nhà văn phòng Rox Tower, số 136 Hồ Tùng Mậu, phường Phú Diễn, tp Hà Nội</t>
  </si>
  <si>
    <t>https://Suninvoice.vn     </t>
  </si>
  <si>
    <t>https://tracuu.suninvoice.vn/</t>
  </si>
  <si>
    <t>SPA React, chỉ 1 ô 'Nhập mã tra cứu'. Cùng giao diện với GO (row 119).</t>
  </si>
  <si>
    <t>https://tracuu.suninvoice.vn/#/</t>
  </si>
  <si>
    <t>Tầng 12, tòa nhà Báo Nông thôn Ngày nay, Lô E2, khu đô thị mới Cầu Giấy, đường Dương Đình Nghệ, phường Cầu Giấy, Tp Hà Nội</t>
  </si>
  <si>
    <t>https://salework.net/      </t>
  </si>
  <si>
    <t>59B Bình Giã, phường Tân Bình, tp Hồ Chí Minh</t>
  </si>
  <si>
    <t>https://winvoice.vn    </t>
  </si>
  <si>
    <t>https://winvoice.vn/tra-cuu</t>
  </si>
  <si>
    <t>không có (checkbox 'Tôi không phải là người máy' trên trang là widget tự vẽ của form đăng ký tư vấn, không thuộc form tra cứu)</t>
  </si>
  <si>
    <t>'Hoặc tra cứu bằng tệp XML': upload/kéo thả file XML</t>
  </si>
  <si>
    <t>Mã tra cứu dạng GUID 32 hex (vd B6A8F5FE22C84D7B8B2BB44DE0A93530). Trang tự ghi 'không liên quan Win Invoice'.</t>
  </si>
  <si>
    <t>Số 71A Văn Cao, phường Ngọc Hà, Tp Hà Nội</t>
  </si>
  <si>
    <t>https://limibiz.vn/  </t>
  </si>
  <si>
    <t>https://hoadon.pvoil.vn/</t>
  </si>
  <si>
    <t>https://hoadon.pvoil.vn/Captcha/Show</t>
  </si>
  <si>
    <t>g_194x35</t>
  </si>
  <si>
    <t>ảnh PNG 194x35 (/Captcha/Show), 4 chữ số trên nền gradient xám</t>
  </si>
  <si>
    <t>'Tra cứu hóa đơn DN' (/Invoice/Index): phải đăng nhập tài khoản + mật khẩu + captcha cùng loại; 'Khấu trừ thuế TNCN' (/Invoice/SearchThueTNCN)</t>
  </si>
  <si>
    <t>Link trong input là URL ảnh captcha; form thật ở trang chủ (/Invoice/Search). Checkbox 'Hóa đơn theo T.tư 78' + Mã tra cứu + Mã kiểm tra. Nhóm model g_194x35.</t>
  </si>
  <si>
    <t>https://hoadon.pvoil.vn/Invoice/Search</t>
  </si>
  <si>
    <t>https://hoadondientu.gdt.gov.vn/</t>
  </si>
  <si>
    <t>g_600x120</t>
  </si>
  <si>
    <t>SVG 200x40 base64 từ /api/captcha (hiển thị ~141x32), chữ + số có nhiễu</t>
  </si>
  <si>
    <t>Tab 'Đọc hóa đơn XML': kéo thả file .xml; các tab khác (chứng từ khấu trừ TNCN, biên lai CTT50, DN đăng ký HĐĐT-MTT) không phải tra HĐ</t>
  </si>
  <si>
    <t>Không phải NCC: form tra cứu công khai của Cục Thuế. Bắt buộc: MST người bán + Loại hóa đơn (select) + Ký hiệu + Số HĐ + captcha; Tổng tiền thuế / Tổng tiền thanh toán có trên form nhưng không đánh dấu bắt buộc. Kết quả chỉ là trạng thái HĐ, không có PDF. Trang mở popup thông báo che form.</t>
  </si>
  <si>
    <t>https://dichvucong.gdt.gov.vn/tthc/login</t>
  </si>
  <si>
    <t>https://dichvucong.gdt.gov.vn/tthc/login/getCaptcha?1791513055506</t>
  </si>
  <si>
    <t>ảnh PNG 150x38 (/tthc/login/getCaptcha?&lt;timestamp&gt;), ~5 ký tự chữ thường + số; gọi thẳng URL captcha không qua trang bị WAF chặn ('Request Rejected')</t>
  </si>
  <si>
    <t>Đăng nhập bằng tài khoản Định danh điện tử (VNeID) hoặc Công chức thuế (chọn domain + user + mật khẩu + captcha)</t>
  </si>
  <si>
    <t>Không phải NCC và không có tra cứu HĐ: trang đăng nhập Dịch vụ công Cục Thuế. Chọn 'Thuế điện tử' → Cá nhân/Doanh nghiệp → Tên đăng nhập + Mật khẩu + captcha.</t>
  </si>
  <si>
    <t>1. Mã tra cứu</t>
  </si>
  <si>
    <t>1. https://tracuutvan.einvoice.com.vn/DefaultCaptcha/Generate?t=d97f70199dad4971ba679fea12571081</t>
  </si>
  <si>
    <t>2. https://tax24.com.vn/einvoice/servlet/ImageServlet</t>
  </si>
  <si>
    <t>3. https://asiainvoice.vn/tra-cuu/GetCaptcha</t>
  </si>
  <si>
    <t>4. https://tracuu.vin-hoadon.com/api/services/hddt/TraCuuHoaDon/RefreshCaptcha</t>
  </si>
  <si>
    <t>5. https://gateway-hst.vnpt-invoice.com.vn/admin/api/share/get-captcha?width=120&amp;height=40</t>
  </si>
  <si>
    <t>6. https://gateway.v50.vninvoice.vn/api/portal/PortalApiService/captcha</t>
  </si>
  <si>
    <t>7. https://tracuuhd.smartsign.com.vn/Pages/CImage.aspx</t>
  </si>
  <si>
    <t>8. https://tracuu.hoadon30s.vn/load-capcha</t>
  </si>
  <si>
    <t>9. https://bill2app.xcyber.vn/api/services/hddt/TraCuuHoaDon/RefreshCaptcha</t>
  </si>
  <si>
    <t>10. https://ls-invoiceapp.lienson.vn/api/services/hddt/TraCuuHoaDon/RefreshCaptcha</t>
  </si>
  <si>
    <t>11. https://gateway.v50.vninvoice.vn/api/portal/PortalApiService/captcha</t>
  </si>
  <si>
    <t>12. https://vdsg-invoice.vn/Account/BotDetectCaptcha.ashx?get=image&amp;c=ExampleCaptcha&amp;t=36ca3be89b7444c79c92cf2ec4782d9d&amp;d=1791317293269</t>
  </si>
  <si>
    <t>13. https://lacviet.hdtt.vn/api/Invoice/get-captcha-image?key=45dacb95-b450-4457-dbb0-b5d2f1efe251&amp;v=1791342529614</t>
  </si>
  <si>
    <t>14. https://api.wetax.com.vn/api/wtx/ca/v1/lookup/captcha</t>
  </si>
  <si>
    <t>15. https://chanel-eportal.cloudteam.vn/refreshcaptcha + https://chanel-eportal.cloudteam.vn/captcha/flat?LlZmkuoj</t>
  </si>
  <si>
    <t>16. https://0109045760hd.easyinvoice.vn/Captcha/Show</t>
  </si>
  <si>
    <t>17. https://hoadon.pvoil.vn/Captcha/Show</t>
  </si>
  <si>
    <t>18. https://bill2app.xcyber.vn/api/services/hddt/TraCuuHoaDon/RefreshCaptcha</t>
  </si>
  <si>
    <t>19. https://hoadondientu.gdt.gov.vn/api/captcha</t>
  </si>
  <si>
    <t>20. https://tracuuonline.ngogiaphat.vn/</t>
  </si>
  <si>
    <t>21. https://tracuu.easyinvoice.vn/Captcha/Show</t>
  </si>
  <si>
    <t>22. https://www.bitware.vn/tracuuhoadon/captcha/image/565360b73037ec023deb6be3801aa58ea7fede16/</t>
  </si>
  <si>
    <t>23. https://dichvucong.gdt.gov.vn/tthc/login/getCaptcha?1791513055506</t>
  </si>
  <si>
    <t xml:space="preserve">Hoàn thành (&gt; 90%): 12/23
Đang training: 2/23 (Thái Sơn, VNInvoice)
Còn lại: 9/23
</t>
  </si>
  <si>
    <t>Đã lấy được PDF gốc từ 25 NCC (26/10)
Chỉ tra được bằng mã trong mail: PA Việt Nam, ASIA, Fahasa
Bị chặn reCAPTCHA/Turnstile → lấy qua mail: HT, EFY, FPT, CMC, TS24</t>
  </si>
  <si>
    <t>Công ty TNHH Thu phí tự động VETC</t>
  </si>
  <si>
    <t>0107500414</t>
  </si>
  <si>
    <t>Hoàn thành – lấy được đa số, Grab không lấy được</t>
  </si>
  <si>
    <t>HĐ máy tính tiền thiếu MSTTCGP (Grab MTT, EasyInvoice, iPOS)</t>
  </si>
  <si>
    <t>0102331762</t>
  </si>
  <si>
    <t>Công ty TNHH Hệ thống thông tin FPT / Công ty TNHH Viễn thông CMC (CMC Telecom)</t>
  </si>
  <si>
    <t>Chưa hoàn thành – bị chặn bởi reCAPTCHA, lấy qua mail</t>
  </si>
  <si>
    <t>Hoàn thành – 2 HĐ 2023 lỗi phía NCC</t>
  </si>
  <si>
    <t>Công ty Cổ phần Tập đoàn Trường Hải (THACO) – cổng riêng</t>
  </si>
  <si>
    <t>3600252847</t>
  </si>
  <si>
    <t>Hoàn thành – mã tra cứu chỉ có trong mail</t>
  </si>
  <si>
    <t>Fahasa – cổng FPT tự cài riêng (người bán 0304132047)</t>
  </si>
  <si>
    <t>0304132047</t>
  </si>
  <si>
    <t>Hoàn thành – chỉ qua link mail</t>
  </si>
  <si>
    <t>Chưa hoàn thành – bị chặn bởi Cloudflare Turnstile, lấy qua mail</t>
  </si>
  <si>
    <t>Đã lấy được PDF gốc qua mail từ 26 NCC (26/10)</t>
  </si>
  <si>
    <t>Công ty Cổ phần phần mềm quản lý doanh nghiệp (FAST)</t>
  </si>
  <si>
    <t>Công ty Cổ phần Hai Bốn Bảy (247Express) – cổng riêng</t>
  </si>
  <si>
    <t>0304043037</t>
  </si>
  <si>
    <t>Hoàn thành – link mail xử lý xong, chờ lấy HĐ tháng cũ để khớp</t>
  </si>
  <si>
    <t>P1</t>
  </si>
  <si>
    <t>Tổng quan</t>
  </si>
  <si>
    <t>Hoá đơn</t>
  </si>
  <si>
    <t>Hoá đơn mua vào</t>
  </si>
  <si>
    <t>Nhận diện NCC phát hành + mở cổng tự lấy hóa đơn gốc</t>
  </si>
  <si>
    <t>Webcash + Misa</t>
  </si>
  <si>
    <t>Hoá đơn bán ra</t>
  </si>
  <si>
    <t>Nguồn hoá đơn</t>
  </si>
  <si>
    <t>Kết nối Cục Thuế (MST)</t>
  </si>
  <si>
    <t>Tải lên hoá đơn</t>
  </si>
  <si>
    <t>Hoá đơn từ email</t>
  </si>
  <si>
    <t>Đồng bộ</t>
  </si>
  <si>
    <t>Lịch sử đồng bộ</t>
  </si>
  <si>
    <t>Đồng bộ hàng loạt</t>
  </si>
  <si>
    <t>WEEKLY REPORT – Tiến độ lấy hóa đơn (tự cập nhật theo sheet WBS2)</t>
  </si>
  <si>
    <t>Số lượng = công thức đếm trên WBS2 theo cột Status và From Date (sửa WBS2 là số ở đây đổi theo). Cột “Danh sách NCC” là bản chốt ngày 28/10/2026, không tự cập nhật. Thêm tuần mới: chèn 1 dòng dưới tuần cuối, chép công thức dòng trên, sửa Từ ngày / Đến ngày.</t>
  </si>
  <si>
    <t>1. Captcha – training</t>
  </si>
  <si>
    <t>Tuần</t>
  </si>
  <si>
    <t>Từ ngày</t>
  </si>
  <si>
    <t>Đến ngày</t>
  </si>
  <si>
    <t>Hoàn thành thêm (số NCC)</t>
  </si>
  <si>
    <t>Danh sách NCC hoàn thành thêm</t>
  </si>
  <si>
    <t>Lũy kế hoàn thành</t>
  </si>
  <si>
    <t>Tổng NCC</t>
  </si>
  <si>
    <t>Còn lại</t>
  </si>
  <si>
    <t>Đến tuần 42</t>
  </si>
  <si>
    <t>Softdreams (EasyInvoice), CyberLotus, Ngô Gia Phát, Megabiz, Đông Nam Á (TAX24), Visnam, VNPT, My-Invoice, Liên Sơn, WEBCASH (wetax), Nhóm Mây, Technology Convergence, PVOIL</t>
  </si>
  <si>
    <t>Tuần 43</t>
  </si>
  <si>
    <t>Thái Sơn, Tổng cục Thuế</t>
  </si>
  <si>
    <t>Tuần 44</t>
  </si>
  <si>
    <t>Lấy thêm từ sau tuần 42</t>
  </si>
  <si>
    <t>Còn lại gồm:</t>
  </si>
  <si>
    <t>ASIA, VN-Invoice, VI NA (SmartSign), PA Việt Nam, VNISC, Bitware, Viễn thông Đông Sài Gòn, Lạc Việt, Dịch vụ công (chạy trên máy khác, đến 31/10/2026)</t>
  </si>
  <si>
    <t>2. Lấy PDF qua link tra cứu (từ XML Thuế)</t>
  </si>
  <si>
    <t>Lấy thêm (số NCC)</t>
  </si>
  <si>
    <t>Danh sách NCC lấy thêm</t>
  </si>
  <si>
    <t>Lũy kế đã lấy</t>
  </si>
  <si>
    <t>Softdreams (EasyInvoice), MISA, M-INVOICE, Viettel, BKAV, Visnam, VNPT, HILO, My Software, VETC, iPOS</t>
  </si>
  <si>
    <t>Vĩnh Hy, CyberLotus, Thái Sơn, Minh Khang, VI NA (SmartSign), FAST, PA Việt Nam, VNISC</t>
  </si>
  <si>
    <t>Mắt Bão, Win Tech (WinInvoice), MobiFone, ASIA, Online VI NA, Rosy, Phương Nam (eVAT), WEBCASH (wetax), VININVOICE, KiotViet</t>
  </si>
  <si>
    <t>Sẵn sàng (có adapter, chưa có HĐ thật để thử)</t>
  </si>
  <si>
    <t>Kế hoạch 01/11 – 30/11/2026</t>
  </si>
  <si>
    <t>Lý do xem cột Ghi chú WBS2 (reCAPTCHA/Turnstile, cổng đăng nhập, chờ model captcha, cần mã tra cứu thật)</t>
  </si>
  <si>
    <t>Nhóm khả thi</t>
  </si>
  <si>
    <t>3. Lấy PDF qua mail</t>
  </si>
  <si>
    <t>M-INVOICE, Thái Sơn, Viettel, VNPT, HILO, VNISC</t>
  </si>
  <si>
    <t>FPT, EFY, Softdreams (EasyInvoice), Mắt Bão, MISA, BKAV, Visnam, VN-Invoice, VI NA (SmartSign), FAST, HT, PA Việt Nam, Online VI NA, Phương Nam (eVAT), VININVOICE, iPOS</t>
  </si>
  <si>
    <t>Vĩnh Hy, Win Tech (WinInvoice), MobiFone, ASIA, Minh Khang, TS24, Rosy, WEBCASH (wetax), VETC, KiotViet</t>
  </si>
  <si>
    <t>Sẵn sàng (đã nhận link/mã trong mail, chưa có mail thật)</t>
  </si>
  <si>
    <t>Ghi chú (số liệu DB chốt 28/10/2026)</t>
  </si>
  <si>
    <t>• Ngoài 136 NCC trong danh sách, qua mail còn lấy được của 247Express (cổng riêng) và Fahasa (FPT tự cài).</t>
  </si>
  <si>
    <t>• PDF bản gốc trong DB: 1.361 = 837 qua link tra cứu theo XML + 476 file đính kèm mail + 48 tải bằng link/mã trong mail.</t>
  </si>
  <si>
    <t>• Mail đã đọc 4.309; link trong mail: 2.904 đã tải, 1.651 dùng file kèm trong mail, 705 còn chờ (host chưa có adapter / reCAPTCHA như CMC).</t>
  </si>
  <si>
    <t>• Training: WBS2 ghi Ngô Gia Phát (g_200x80) “Hoàn thành” nhưng history.csv chỉ 5,9% – cần xem lại.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</si>
</sst>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/m/yyyy"/>
    <numFmt numFmtId="166" formatCode="0.0%"/>
    <numFmt numFmtId="167" formatCode="yyyy\-mm\-dd\ h:mm:ss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rgb="FFFFFFFF"/>
      <name val="Arial"/>
      <family val="2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mbria"/>
      <family val="1"/>
    </font>
    <font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563C1"/>
      <name val="Cambria"/>
      <family val="1"/>
    </font>
    <font>
      <sz val="11"/>
      <color rgb="FF212121"/>
      <name val="Times New Roman"/>
      <family val="1"/>
    </font>
    <font>
      <u/>
      <sz val="11"/>
      <color rgb="FF000000"/>
      <name val="Times New Roman"/>
      <family val="1"/>
    </font>
    <font>
      <sz val="11"/>
      <color rgb="FF001A33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theme="1"/>
      <name val="Calibri"/>
      <family val="2"/>
    </font>
    <font>
      <u/>
      <sz val="11"/>
      <color theme="10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563C1"/>
      <name val="Times New Roman"/>
      <family val="1"/>
    </font>
    <font>
      <sz val="11"/>
      <color theme="10"/>
      <name val="Times New Roman"/>
      <family val="1"/>
    </font>
    <font>
      <b/>
      <sz val="14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69B9"/>
        <bgColor rgb="FF0069B9"/>
      </patternFill>
    </fill>
    <fill>
      <patternFill patternType="solid">
        <fgColor rgb="FF0070C0"/>
        <bgColor rgb="FF0070C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theme="0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0" borderId="3" xfId="0" applyFont="1" applyBorder="1"/>
    <xf numFmtId="0" fontId="7" fillId="3" borderId="2" xfId="0" applyFont="1" applyFill="1" applyBorder="1"/>
    <xf numFmtId="0" fontId="10" fillId="0" borderId="0" xfId="0" applyFont="1"/>
    <xf numFmtId="0" fontId="11" fillId="5" borderId="2" xfId="0" applyFont="1" applyFill="1" applyBorder="1" applyAlignment="1">
      <alignment vertical="center" wrapText="1"/>
    </xf>
    <xf numFmtId="49" fontId="11" fillId="5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7" fillId="0" borderId="2" xfId="0" applyFont="1" applyBorder="1"/>
    <xf numFmtId="0" fontId="12" fillId="5" borderId="2" xfId="0" applyFont="1" applyFill="1" applyBorder="1" applyAlignment="1">
      <alignment vertical="center" wrapText="1"/>
    </xf>
    <xf numFmtId="164" fontId="2" fillId="6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wrapText="1"/>
    </xf>
    <xf numFmtId="0" fontId="9" fillId="0" borderId="2" xfId="0" applyFont="1" applyBorder="1"/>
    <xf numFmtId="10" fontId="14" fillId="0" borderId="0" xfId="0" applyNumberFormat="1" applyFont="1"/>
    <xf numFmtId="0" fontId="9" fillId="0" borderId="5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49" fontId="9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5" fillId="7" borderId="3" xfId="0" applyFont="1" applyFill="1" applyBorder="1" applyAlignment="1">
      <alignment horizontal="center"/>
    </xf>
    <xf numFmtId="0" fontId="15" fillId="7" borderId="3" xfId="0" applyFont="1" applyFill="1" applyBorder="1"/>
    <xf numFmtId="0" fontId="15" fillId="0" borderId="0" xfId="0" applyFont="1"/>
    <xf numFmtId="0" fontId="6" fillId="4" borderId="3" xfId="0" applyFont="1" applyFill="1" applyBorder="1" applyAlignment="1">
      <alignment horizontal="center" wrapText="1"/>
    </xf>
    <xf numFmtId="0" fontId="9" fillId="0" borderId="2" xfId="0" applyFont="1" applyBorder="1" applyAlignment="1">
      <alignment vertical="top" wrapText="1"/>
    </xf>
    <xf numFmtId="166" fontId="7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49" fontId="9" fillId="0" borderId="5" xfId="0" applyNumberFormat="1" applyFont="1" applyBorder="1"/>
    <xf numFmtId="16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49" fontId="2" fillId="0" borderId="2" xfId="0" applyNumberFormat="1" applyFont="1" applyBorder="1"/>
    <xf numFmtId="0" fontId="8" fillId="0" borderId="2" xfId="0" applyFont="1" applyBorder="1" applyAlignment="1">
      <alignment horizontal="left"/>
    </xf>
    <xf numFmtId="166" fontId="15" fillId="7" borderId="3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7" xfId="0" applyFont="1" applyBorder="1"/>
    <xf numFmtId="0" fontId="2" fillId="0" borderId="7" xfId="0" applyFont="1" applyBorder="1" applyAlignment="1">
      <alignment horizontal="center" vertical="center"/>
    </xf>
    <xf numFmtId="0" fontId="16" fillId="0" borderId="0" xfId="0" applyFont="1"/>
    <xf numFmtId="0" fontId="9" fillId="6" borderId="2" xfId="0" applyFont="1" applyFill="1" applyBorder="1" applyAlignment="1">
      <alignment horizontal="left"/>
    </xf>
    <xf numFmtId="0" fontId="7" fillId="0" borderId="3" xfId="0" applyFont="1" applyBorder="1" applyAlignment="1">
      <alignment vertical="top" wrapText="1"/>
    </xf>
    <xf numFmtId="0" fontId="17" fillId="0" borderId="2" xfId="0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/>
    </xf>
    <xf numFmtId="166" fontId="7" fillId="0" borderId="3" xfId="0" applyNumberFormat="1" applyFont="1" applyBorder="1"/>
    <xf numFmtId="0" fontId="2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166" fontId="15" fillId="7" borderId="3" xfId="0" applyNumberFormat="1" applyFont="1" applyFill="1" applyBorder="1"/>
    <xf numFmtId="0" fontId="19" fillId="0" borderId="2" xfId="0" applyFont="1" applyBorder="1"/>
    <xf numFmtId="0" fontId="20" fillId="0" borderId="2" xfId="0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/>
    <xf numFmtId="0" fontId="23" fillId="5" borderId="2" xfId="0" applyFont="1" applyFill="1" applyBorder="1" applyAlignment="1">
      <alignment vertical="center" wrapText="1"/>
    </xf>
    <xf numFmtId="0" fontId="23" fillId="5" borderId="2" xfId="0" applyFont="1" applyFill="1" applyBorder="1" applyAlignment="1">
      <alignment horizontal="left" vertical="center" wrapText="1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top" wrapText="1"/>
    </xf>
    <xf numFmtId="0" fontId="24" fillId="0" borderId="2" xfId="0" applyFont="1" applyBorder="1" applyAlignment="1">
      <alignment horizontal="center" vertical="center" wrapText="1"/>
    </xf>
    <xf numFmtId="0" fontId="25" fillId="5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5" borderId="2" xfId="0" applyFont="1" applyFill="1" applyBorder="1" applyAlignment="1">
      <alignment vertical="center" wrapText="1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/>
    </xf>
    <xf numFmtId="0" fontId="11" fillId="5" borderId="2" xfId="0" applyFont="1" applyFill="1" applyBorder="1" applyAlignment="1">
      <alignment horizontal="right" vertical="center" wrapText="1"/>
    </xf>
    <xf numFmtId="0" fontId="32" fillId="5" borderId="2" xfId="0" applyFont="1" applyFill="1" applyBorder="1" applyAlignment="1">
      <alignment horizontal="left" vertical="center" wrapText="1"/>
    </xf>
    <xf numFmtId="0" fontId="33" fillId="5" borderId="2" xfId="0" applyFont="1" applyFill="1" applyBorder="1" applyAlignment="1">
      <alignment horizontal="left" vertical="center" wrapText="1"/>
    </xf>
    <xf numFmtId="0" fontId="34" fillId="0" borderId="2" xfId="0" applyFont="1" applyBorder="1"/>
    <xf numFmtId="9" fontId="2" fillId="0" borderId="2" xfId="0" applyNumberFormat="1" applyFont="1" applyBorder="1" applyAlignment="1">
      <alignment horizontal="center" vertical="center"/>
    </xf>
    <xf numFmtId="167" fontId="2" fillId="6" borderId="2" xfId="0" applyNumberFormat="1" applyFont="1" applyFill="1" applyBorder="1" applyAlignment="1">
      <alignment horizontal="center" vertical="center"/>
    </xf>
    <xf numFmtId="10" fontId="14" fillId="0" borderId="0" xfId="0" applyNumberFormat="1" applyFont="1" applyAlignment="1">
      <alignment wrapText="1"/>
    </xf>
    <xf numFmtId="0" fontId="2" fillId="0" borderId="3" xfId="0" applyFont="1" applyBorder="1"/>
    <xf numFmtId="0" fontId="0" fillId="0" borderId="3" xfId="0" applyBorder="1"/>
    <xf numFmtId="0" fontId="15" fillId="0" borderId="3" xfId="0" applyFont="1" applyBorder="1"/>
    <xf numFmtId="164" fontId="0" fillId="0" borderId="0" xfId="0" applyNumberFormat="1"/>
    <xf numFmtId="0" fontId="35" fillId="0" borderId="0" xfId="0" applyFont="1"/>
    <xf numFmtId="0" fontId="36" fillId="0" borderId="0" xfId="0" applyFont="1"/>
    <xf numFmtId="0" fontId="37" fillId="9" borderId="8" xfId="0" applyFont="1" applyFill="1" applyBorder="1" applyAlignment="1">
      <alignment horizontal="center" vertical="top" wrapText="1"/>
    </xf>
    <xf numFmtId="0" fontId="38" fillId="0" borderId="8" xfId="0" applyFont="1" applyBorder="1" applyAlignment="1">
      <alignment horizontal="center" vertical="top" wrapText="1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38" fillId="10" borderId="8" xfId="0" applyFont="1" applyFill="1" applyBorder="1" applyAlignment="1">
      <alignment vertical="top" wrapText="1"/>
    </xf>
    <xf numFmtId="0" fontId="0" fillId="10" borderId="8" xfId="0" applyFill="1" applyBorder="1" applyAlignment="1">
      <alignment vertical="top" wrapText="1"/>
    </xf>
    <xf numFmtId="0" fontId="38" fillId="10" borderId="8" xfId="0" applyFont="1" applyFill="1" applyBorder="1" applyAlignment="1">
      <alignment horizontal="center" vertical="top" wrapText="1"/>
    </xf>
    <xf numFmtId="0" fontId="38" fillId="0" borderId="0" xfId="0" applyFont="1"/>
    <xf numFmtId="10" fontId="1" fillId="0" borderId="0" xfId="0" applyNumberFormat="1" applyFont="1"/>
    <xf numFmtId="0" fontId="9" fillId="0" borderId="2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8" xfId="0" applyBorder="1" applyAlignment="1">
      <alignment vertical="top" wrapText="1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vlc.evat.vn/" TargetMode="External"/><Relationship Id="rId21" Type="http://schemas.openxmlformats.org/officeDocument/2006/relationships/hyperlink" Target="https://www.nacencomm.com.vn/dich-vu-chi-tiet/hoa-don-dien-tu" TargetMode="External"/><Relationship Id="rId42" Type="http://schemas.openxmlformats.org/officeDocument/2006/relationships/hyperlink" Target="https://newinvoice.com.vn/" TargetMode="External"/><Relationship Id="rId63" Type="http://schemas.openxmlformats.org/officeDocument/2006/relationships/hyperlink" Target="https://portal.vnpayinvoice.vn/" TargetMode="External"/><Relationship Id="rId84" Type="http://schemas.openxmlformats.org/officeDocument/2006/relationships/hyperlink" Target="https://tracuu.hoadon30s.vn/" TargetMode="External"/><Relationship Id="rId138" Type="http://schemas.openxmlformats.org/officeDocument/2006/relationships/hyperlink" Target="http://hoadondientuvietnam.vn/" TargetMode="External"/><Relationship Id="rId159" Type="http://schemas.openxmlformats.org/officeDocument/2006/relationships/hyperlink" Target="https://e-invoices.vn/User/Search" TargetMode="External"/><Relationship Id="rId170" Type="http://schemas.openxmlformats.org/officeDocument/2006/relationships/hyperlink" Target="https://news.yoinvoice.vn/" TargetMode="External"/><Relationship Id="rId191" Type="http://schemas.openxmlformats.org/officeDocument/2006/relationships/hyperlink" Target="https://intrustdss.vn/san-pham/chi-tiet/4" TargetMode="External"/><Relationship Id="rId205" Type="http://schemas.openxmlformats.org/officeDocument/2006/relationships/hyperlink" Target="https://tracuu.t-hoadon.vn/" TargetMode="External"/><Relationship Id="rId226" Type="http://schemas.openxmlformats.org/officeDocument/2006/relationships/hyperlink" Target="https://www.epayjsc.com/" TargetMode="External"/><Relationship Id="rId247" Type="http://schemas.openxmlformats.org/officeDocument/2006/relationships/hyperlink" Target="https://hoadondientu.gdt.gov.vn/" TargetMode="External"/><Relationship Id="rId107" Type="http://schemas.openxmlformats.org/officeDocument/2006/relationships/hyperlink" Target="http://voice.hoadondientu.net.vn/tra-cuu" TargetMode="External"/><Relationship Id="rId11" Type="http://schemas.openxmlformats.org/officeDocument/2006/relationships/hyperlink" Target="https://eip.lcssoft.com.vn/desktop/" TargetMode="External"/><Relationship Id="rId32" Type="http://schemas.openxmlformats.org/officeDocument/2006/relationships/hyperlink" Target="https://www.einvoice.vn/" TargetMode="External"/><Relationship Id="rId53" Type="http://schemas.openxmlformats.org/officeDocument/2006/relationships/hyperlink" Target="https://vnpt-invoice.com.vn/" TargetMode="External"/><Relationship Id="rId74" Type="http://schemas.openxmlformats.org/officeDocument/2006/relationships/hyperlink" Target="https://ihoadondientu.com/" TargetMode="External"/><Relationship Id="rId128" Type="http://schemas.openxmlformats.org/officeDocument/2006/relationships/hyperlink" Target="https://www.bitware.vn/tracuuhoadon/" TargetMode="External"/><Relationship Id="rId149" Type="http://schemas.openxmlformats.org/officeDocument/2006/relationships/hyperlink" Target="https://tracuu.autoinvoice.vn/" TargetMode="External"/><Relationship Id="rId5" Type="http://schemas.openxmlformats.org/officeDocument/2006/relationships/hyperlink" Target="https://ihoadon.vn/" TargetMode="External"/><Relationship Id="rId95" Type="http://schemas.openxmlformats.org/officeDocument/2006/relationships/hyperlink" Target="https://hoadondientu.lienson.vn/" TargetMode="External"/><Relationship Id="rId160" Type="http://schemas.openxmlformats.org/officeDocument/2006/relationships/hyperlink" Target="http://brightbrain.vn/hoa-don-dien-tu/" TargetMode="External"/><Relationship Id="rId181" Type="http://schemas.openxmlformats.org/officeDocument/2006/relationships/hyperlink" Target="https://homecasta.vn/" TargetMode="External"/><Relationship Id="rId216" Type="http://schemas.openxmlformats.org/officeDocument/2006/relationships/hyperlink" Target="https://tracuuhoadon.taxnet.vn/" TargetMode="External"/><Relationship Id="rId237" Type="http://schemas.openxmlformats.org/officeDocument/2006/relationships/hyperlink" Target="https://trustedbilling.mobile-id.vn/invoice-inquiry/?language=vi" TargetMode="External"/><Relationship Id="rId22" Type="http://schemas.openxmlformats.org/officeDocument/2006/relationships/hyperlink" Target="https://hoadon78.nacencomm.vn/tracuuhd.aspx" TargetMode="External"/><Relationship Id="rId43" Type="http://schemas.openxmlformats.org/officeDocument/2006/relationships/hyperlink" Target="http://3asoft.vn/" TargetMode="External"/><Relationship Id="rId64" Type="http://schemas.openxmlformats.org/officeDocument/2006/relationships/hyperlink" Target="https://vietinvoice.vn/" TargetMode="External"/><Relationship Id="rId118" Type="http://schemas.openxmlformats.org/officeDocument/2006/relationships/hyperlink" Target="http://tamvietgroup.vn/" TargetMode="External"/><Relationship Id="rId139" Type="http://schemas.openxmlformats.org/officeDocument/2006/relationships/hyperlink" Target="https://invoice.ehcm.vn/" TargetMode="External"/><Relationship Id="rId85" Type="http://schemas.openxmlformats.org/officeDocument/2006/relationships/hyperlink" Target="https://vnisc.com.vn/" TargetMode="External"/><Relationship Id="rId150" Type="http://schemas.openxmlformats.org/officeDocument/2006/relationships/hyperlink" Target="https://unit.com.vn/" TargetMode="External"/><Relationship Id="rId171" Type="http://schemas.openxmlformats.org/officeDocument/2006/relationships/hyperlink" Target="https://ecount.com/" TargetMode="External"/><Relationship Id="rId192" Type="http://schemas.openxmlformats.org/officeDocument/2006/relationships/hyperlink" Target="https://lookupeinvoice.intrustdss.vn/" TargetMode="External"/><Relationship Id="rId206" Type="http://schemas.openxmlformats.org/officeDocument/2006/relationships/hyperlink" Target="https://invoice.iamsoftware.com.vn/" TargetMode="External"/><Relationship Id="rId227" Type="http://schemas.openxmlformats.org/officeDocument/2006/relationships/hyperlink" Target="https://tracuuhoadon.epayjsc.com/" TargetMode="External"/><Relationship Id="rId248" Type="http://schemas.openxmlformats.org/officeDocument/2006/relationships/hyperlink" Target="https://dichvucong.gdt.gov.vn/tthc/login" TargetMode="External"/><Relationship Id="rId12" Type="http://schemas.openxmlformats.org/officeDocument/2006/relationships/hyperlink" Target="http://kkvat.com.vn/thongtin" TargetMode="External"/><Relationship Id="rId33" Type="http://schemas.openxmlformats.org/officeDocument/2006/relationships/hyperlink" Target="https://tracuutvan.einvoice.com.vn/" TargetMode="External"/><Relationship Id="rId108" Type="http://schemas.openxmlformats.org/officeDocument/2006/relationships/hyperlink" Target="http://congtyinhoadon.com/" TargetMode="External"/><Relationship Id="rId129" Type="http://schemas.openxmlformats.org/officeDocument/2006/relationships/hyperlink" Target="https://rosysoft.vn/" TargetMode="External"/><Relationship Id="rId54" Type="http://schemas.openxmlformats.org/officeDocument/2006/relationships/hyperlink" Target="https://portaltool.vnpt-invoice.com.vn/" TargetMode="External"/><Relationship Id="rId75" Type="http://schemas.openxmlformats.org/officeDocument/2006/relationships/hyperlink" Target="https://www.fast.com.vn/" TargetMode="External"/><Relationship Id="rId96" Type="http://schemas.openxmlformats.org/officeDocument/2006/relationships/hyperlink" Target="https://tracuu.lienson.vn/" TargetMode="External"/><Relationship Id="rId140" Type="http://schemas.openxmlformats.org/officeDocument/2006/relationships/hyperlink" Target="https://invoice.ehcm.vn/" TargetMode="External"/><Relationship Id="rId161" Type="http://schemas.openxmlformats.org/officeDocument/2006/relationships/hyperlink" Target="https://www.cloudteam.vn/" TargetMode="External"/><Relationship Id="rId182" Type="http://schemas.openxmlformats.org/officeDocument/2006/relationships/hyperlink" Target="https://tracuu.homecasta.vn/" TargetMode="External"/><Relationship Id="rId217" Type="http://schemas.openxmlformats.org/officeDocument/2006/relationships/hyperlink" Target="https://hoadon.aibat.vn/" TargetMode="External"/><Relationship Id="rId6" Type="http://schemas.openxmlformats.org/officeDocument/2006/relationships/hyperlink" Target="https://ihoadon.vn/kiem-tra/?lang=vn" TargetMode="External"/><Relationship Id="rId238" Type="http://schemas.openxmlformats.org/officeDocument/2006/relationships/hyperlink" Target="https://suninvoice.vn/" TargetMode="External"/><Relationship Id="rId23" Type="http://schemas.openxmlformats.org/officeDocument/2006/relationships/hyperlink" Target="https://vinvoice.vn/" TargetMode="External"/><Relationship Id="rId119" Type="http://schemas.openxmlformats.org/officeDocument/2006/relationships/hyperlink" Target="http://hoadondientu.link/" TargetMode="External"/><Relationship Id="rId44" Type="http://schemas.openxmlformats.org/officeDocument/2006/relationships/hyperlink" Target="http://hddt.3asoft.vn/" TargetMode="External"/><Relationship Id="rId65" Type="http://schemas.openxmlformats.org/officeDocument/2006/relationships/hyperlink" Target="https://tracuu.vietinvoice.vn/" TargetMode="External"/><Relationship Id="rId86" Type="http://schemas.openxmlformats.org/officeDocument/2006/relationships/hyperlink" Target="https://invoice.abcsys.vn/Invoice/Search" TargetMode="External"/><Relationship Id="rId130" Type="http://schemas.openxmlformats.org/officeDocument/2006/relationships/hyperlink" Target="https://trandinhtung.evat.vn/" TargetMode="External"/><Relationship Id="rId151" Type="http://schemas.openxmlformats.org/officeDocument/2006/relationships/hyperlink" Target="https://hoadondientu.pmbk.vn/" TargetMode="External"/><Relationship Id="rId172" Type="http://schemas.openxmlformats.org/officeDocument/2006/relationships/hyperlink" Target="https://atis.com.vn/hoa-don-dien-tu" TargetMode="External"/><Relationship Id="rId193" Type="http://schemas.openxmlformats.org/officeDocument/2006/relationships/hyperlink" Target="https://yoyoin.yoyoschool.vn/" TargetMode="External"/><Relationship Id="rId207" Type="http://schemas.openxmlformats.org/officeDocument/2006/relationships/hyperlink" Target="https://tracuu.iamsoftware.com.vn/" TargetMode="External"/><Relationship Id="rId228" Type="http://schemas.openxmlformats.org/officeDocument/2006/relationships/hyperlink" Target="https://1invoice.vn/" TargetMode="External"/><Relationship Id="rId249" Type="http://schemas.openxmlformats.org/officeDocument/2006/relationships/hyperlink" Target="https://dichvucong.gdt.gov.vn/tthc/login/getCaptcha?1791513055506" TargetMode="External"/><Relationship Id="rId13" Type="http://schemas.openxmlformats.org/officeDocument/2006/relationships/hyperlink" Target="https://tracuuhoadon.kkvat.com.vn/" TargetMode="External"/><Relationship Id="rId109" Type="http://schemas.openxmlformats.org/officeDocument/2006/relationships/hyperlink" Target="https://tvl.evat.vn/" TargetMode="External"/><Relationship Id="rId34" Type="http://schemas.openxmlformats.org/officeDocument/2006/relationships/hyperlink" Target="https://ehoadon.online/" TargetMode="External"/><Relationship Id="rId55" Type="http://schemas.openxmlformats.org/officeDocument/2006/relationships/hyperlink" Target="https://gateway-hst.vnpt-invoice.com.vn/admin/api/share/get-captcha?width=120&amp;height=40" TargetMode="External"/><Relationship Id="rId76" Type="http://schemas.openxmlformats.org/officeDocument/2006/relationships/hyperlink" Target="https://invoice.fast.com.vn/tra-cuu-hoa-don-dien-tu/" TargetMode="External"/><Relationship Id="rId97" Type="http://schemas.openxmlformats.org/officeDocument/2006/relationships/hyperlink" Target="https://onlinevina.com.vn/" TargetMode="External"/><Relationship Id="rId120" Type="http://schemas.openxmlformats.org/officeDocument/2006/relationships/hyperlink" Target="https://hoadondientu.link/tracuutt78" TargetMode="External"/><Relationship Id="rId141" Type="http://schemas.openxmlformats.org/officeDocument/2006/relationships/hyperlink" Target="http://thanglongsoft.com/index.php/linh-v-c-kinh-doanh/493-l-nh-va-c-kinh-doanh/493-1-l-nh-va-c-kinh-doanh" TargetMode="External"/><Relationship Id="rId7" Type="http://schemas.openxmlformats.org/officeDocument/2006/relationships/hyperlink" Target="https://easyinvoice.vn/" TargetMode="External"/><Relationship Id="rId162" Type="http://schemas.openxmlformats.org/officeDocument/2006/relationships/hyperlink" Target="https://chanel-eportal.cloudteam.vn/" TargetMode="External"/><Relationship Id="rId183" Type="http://schemas.openxmlformats.org/officeDocument/2006/relationships/hyperlink" Target="https://sonphat.vn/" TargetMode="External"/><Relationship Id="rId218" Type="http://schemas.openxmlformats.org/officeDocument/2006/relationships/hyperlink" Target="https://dangky.nhanh.vn/xuat_hoa_don_dien_tu" TargetMode="External"/><Relationship Id="rId239" Type="http://schemas.openxmlformats.org/officeDocument/2006/relationships/hyperlink" Target="https://tracuu.suninvoice.vn/" TargetMode="External"/><Relationship Id="rId250" Type="http://schemas.openxmlformats.org/officeDocument/2006/relationships/vmlDrawing" Target="../drawings/vmlDrawing1.vml"/><Relationship Id="rId24" Type="http://schemas.openxmlformats.org/officeDocument/2006/relationships/hyperlink" Target="https://tracuu.vinvoice.vn/Captcha/Show" TargetMode="External"/><Relationship Id="rId45" Type="http://schemas.openxmlformats.org/officeDocument/2006/relationships/hyperlink" Target="https://itc.mobifone.vn/giai_phap/mobifone-invoice" TargetMode="External"/><Relationship Id="rId66" Type="http://schemas.openxmlformats.org/officeDocument/2006/relationships/hyperlink" Target="https://hoadontvan.com/" TargetMode="External"/><Relationship Id="rId87" Type="http://schemas.openxmlformats.org/officeDocument/2006/relationships/hyperlink" Target="https://invoice.abcsys.vn/Capchar/ShowCaptchaImage" TargetMode="External"/><Relationship Id="rId110" Type="http://schemas.openxmlformats.org/officeDocument/2006/relationships/hyperlink" Target="https://ahoadon.com/" TargetMode="External"/><Relationship Id="rId131" Type="http://schemas.openxmlformats.org/officeDocument/2006/relationships/hyperlink" Target="https://trandinhtung.evat.vn/" TargetMode="External"/><Relationship Id="rId152" Type="http://schemas.openxmlformats.org/officeDocument/2006/relationships/hyperlink" Target="https://hdbk.pmbk.vn/tra-cuu-hoa-don" TargetMode="External"/><Relationship Id="rId173" Type="http://schemas.openxmlformats.org/officeDocument/2006/relationships/hyperlink" Target="https://tracuuhoadon.atis.com.vn/" TargetMode="External"/><Relationship Id="rId194" Type="http://schemas.openxmlformats.org/officeDocument/2006/relationships/hyperlink" Target="https://lookupeinvoice.intrustdss.vn/" TargetMode="External"/><Relationship Id="rId208" Type="http://schemas.openxmlformats.org/officeDocument/2006/relationships/hyperlink" Target="https://sfin.vn/" TargetMode="External"/><Relationship Id="rId229" Type="http://schemas.openxmlformats.org/officeDocument/2006/relationships/hyperlink" Target="https://tracuuhoadon.1invoice.vn/tra-cuu-hoa-don" TargetMode="External"/><Relationship Id="rId240" Type="http://schemas.openxmlformats.org/officeDocument/2006/relationships/hyperlink" Target="https://salework.net/" TargetMode="External"/><Relationship Id="rId14" Type="http://schemas.openxmlformats.org/officeDocument/2006/relationships/hyperlink" Target="https://tracuuhoadon2.xcyber.vn/" TargetMode="External"/><Relationship Id="rId35" Type="http://schemas.openxmlformats.org/officeDocument/2006/relationships/hyperlink" Target="https://oinvoice.vn/" TargetMode="External"/><Relationship Id="rId56" Type="http://schemas.openxmlformats.org/officeDocument/2006/relationships/hyperlink" Target="https://hiloinvoice.vn/" TargetMode="External"/><Relationship Id="rId77" Type="http://schemas.openxmlformats.org/officeDocument/2006/relationships/hyperlink" Target="http://www.acconine.vn/" TargetMode="External"/><Relationship Id="rId100" Type="http://schemas.openxmlformats.org/officeDocument/2006/relationships/hyperlink" Target="http://e-invoicetuanchau.com/" TargetMode="External"/><Relationship Id="rId8" Type="http://schemas.openxmlformats.org/officeDocument/2006/relationships/hyperlink" Target="https://tracuu.easyinvoice.vn/Captcha/Show" TargetMode="External"/><Relationship Id="rId98" Type="http://schemas.openxmlformats.org/officeDocument/2006/relationships/hyperlink" Target="https://hoadondientu-ptp.vn/" TargetMode="External"/><Relationship Id="rId121" Type="http://schemas.openxmlformats.org/officeDocument/2006/relationships/hyperlink" Target="http://tracuuhoadon.benthanhvoice.vn/" TargetMode="External"/><Relationship Id="rId142" Type="http://schemas.openxmlformats.org/officeDocument/2006/relationships/hyperlink" Target="http://tigtax.vn/" TargetMode="External"/><Relationship Id="rId163" Type="http://schemas.openxmlformats.org/officeDocument/2006/relationships/hyperlink" Target="https://vininvoice.vn/" TargetMode="External"/><Relationship Id="rId184" Type="http://schemas.openxmlformats.org/officeDocument/2006/relationships/hyperlink" Target="https://tracuuhoadon.sonphat.vn/" TargetMode="External"/><Relationship Id="rId219" Type="http://schemas.openxmlformats.org/officeDocument/2006/relationships/hyperlink" Target="https://nc-ca.com.vn/" TargetMode="External"/><Relationship Id="rId230" Type="http://schemas.openxmlformats.org/officeDocument/2006/relationships/hyperlink" Target="https://bado.vn/hoa-don-dien-tu" TargetMode="External"/><Relationship Id="rId251" Type="http://schemas.openxmlformats.org/officeDocument/2006/relationships/comments" Target="../comments1.xml"/><Relationship Id="rId25" Type="http://schemas.openxmlformats.org/officeDocument/2006/relationships/hyperlink" Target="https://azinvoice.com/" TargetMode="External"/><Relationship Id="rId46" Type="http://schemas.openxmlformats.org/officeDocument/2006/relationships/hyperlink" Target="https://van.ehoadon.vn/" TargetMode="External"/><Relationship Id="rId67" Type="http://schemas.openxmlformats.org/officeDocument/2006/relationships/hyperlink" Target="https://hoadontvan.com/TraCuu" TargetMode="External"/><Relationship Id="rId88" Type="http://schemas.openxmlformats.org/officeDocument/2006/relationships/hyperlink" Target="https://hoadondientuvn.info/" TargetMode="External"/><Relationship Id="rId111" Type="http://schemas.openxmlformats.org/officeDocument/2006/relationships/hyperlink" Target="http://ameinvoice.com.vn/" TargetMode="External"/><Relationship Id="rId132" Type="http://schemas.openxmlformats.org/officeDocument/2006/relationships/hyperlink" Target="https://store.cmcts.com.vn/" TargetMode="External"/><Relationship Id="rId153" Type="http://schemas.openxmlformats.org/officeDocument/2006/relationships/hyperlink" Target="https://mysoftware.vn/" TargetMode="External"/><Relationship Id="rId174" Type="http://schemas.openxmlformats.org/officeDocument/2006/relationships/hyperlink" Target="https://kaike.vn/hoa-don-dien-tu" TargetMode="External"/><Relationship Id="rId195" Type="http://schemas.openxmlformats.org/officeDocument/2006/relationships/hyperlink" Target="https://www.sapo.vn/blog/sapo-invoice" TargetMode="External"/><Relationship Id="rId209" Type="http://schemas.openxmlformats.org/officeDocument/2006/relationships/hyperlink" Target="https://smartinvoice.vn/" TargetMode="External"/><Relationship Id="rId220" Type="http://schemas.openxmlformats.org/officeDocument/2006/relationships/hyperlink" Target="https://hddt.hddt-nc.vn/" TargetMode="External"/><Relationship Id="rId241" Type="http://schemas.openxmlformats.org/officeDocument/2006/relationships/hyperlink" Target="https://winvoice.vn/" TargetMode="External"/><Relationship Id="rId15" Type="http://schemas.openxmlformats.org/officeDocument/2006/relationships/hyperlink" Target="https://tracuuhoadon2.xcyber.vn/" TargetMode="External"/><Relationship Id="rId36" Type="http://schemas.openxmlformats.org/officeDocument/2006/relationships/hyperlink" Target="https://wininvoice.vn/" TargetMode="External"/><Relationship Id="rId57" Type="http://schemas.openxmlformats.org/officeDocument/2006/relationships/hyperlink" Target="https://tracuuhddt78.hilo.com.vn/" TargetMode="External"/><Relationship Id="rId78" Type="http://schemas.openxmlformats.org/officeDocument/2006/relationships/hyperlink" Target="https://acconline.vn/vn/tra-cuu-hoa-don.htm" TargetMode="External"/><Relationship Id="rId99" Type="http://schemas.openxmlformats.org/officeDocument/2006/relationships/hyperlink" Target="https://hoadondientu-ptp.vn/tra-cuu/" TargetMode="External"/><Relationship Id="rId101" Type="http://schemas.openxmlformats.org/officeDocument/2006/relationships/hyperlink" Target="https://hoadonminhthuvungtau.com/" TargetMode="External"/><Relationship Id="rId122" Type="http://schemas.openxmlformats.org/officeDocument/2006/relationships/hyperlink" Target="https://tracuuhoadon.benthanhvoice.vn/" TargetMode="External"/><Relationship Id="rId143" Type="http://schemas.openxmlformats.org/officeDocument/2006/relationships/hyperlink" Target="https://www.vdsg-invoice.vn/" TargetMode="External"/><Relationship Id="rId164" Type="http://schemas.openxmlformats.org/officeDocument/2006/relationships/hyperlink" Target="https://tracuu.vininvoice.vn/" TargetMode="External"/><Relationship Id="rId185" Type="http://schemas.openxmlformats.org/officeDocument/2006/relationships/hyperlink" Target="https://hoadondientu.kiotviet.vn/" TargetMode="External"/><Relationship Id="rId4" Type="http://schemas.openxmlformats.org/officeDocument/2006/relationships/hyperlink" Target="https://tracuuhoadon.fpt.com.vn/" TargetMode="External"/><Relationship Id="rId9" Type="http://schemas.openxmlformats.org/officeDocument/2006/relationships/hyperlink" Target="https://tracuu.easyinvoice.vn/Captcha/Show" TargetMode="External"/><Relationship Id="rId180" Type="http://schemas.openxmlformats.org/officeDocument/2006/relationships/hyperlink" Target="https://mont-e.com/" TargetMode="External"/><Relationship Id="rId210" Type="http://schemas.openxmlformats.org/officeDocument/2006/relationships/hyperlink" Target="https://tracuu-hddt.sctv.vn/" TargetMode="External"/><Relationship Id="rId215" Type="http://schemas.openxmlformats.org/officeDocument/2006/relationships/hyperlink" Target="https://taxnet.vn/" TargetMode="External"/><Relationship Id="rId236" Type="http://schemas.openxmlformats.org/officeDocument/2006/relationships/hyperlink" Target="https://trustedbilling.mobile-id.vn/" TargetMode="External"/><Relationship Id="rId26" Type="http://schemas.openxmlformats.org/officeDocument/2006/relationships/hyperlink" Target="https://azinvoice.vn/" TargetMode="External"/><Relationship Id="rId231" Type="http://schemas.openxmlformats.org/officeDocument/2006/relationships/hyperlink" Target="https://tracuu.bado.vn/" TargetMode="External"/><Relationship Id="rId47" Type="http://schemas.openxmlformats.org/officeDocument/2006/relationships/hyperlink" Target="https://asiainvoice.vn/" TargetMode="External"/><Relationship Id="rId68" Type="http://schemas.openxmlformats.org/officeDocument/2006/relationships/hyperlink" Target="http://www.smartsign.com.vn/" TargetMode="External"/><Relationship Id="rId89" Type="http://schemas.openxmlformats.org/officeDocument/2006/relationships/hyperlink" Target="https://tracuu.hoadondientuvn.info/" TargetMode="External"/><Relationship Id="rId112" Type="http://schemas.openxmlformats.org/officeDocument/2006/relationships/hyperlink" Target="https://ameinvoice.vn/invoice-inquiry/" TargetMode="External"/><Relationship Id="rId133" Type="http://schemas.openxmlformats.org/officeDocument/2006/relationships/hyperlink" Target="https://cinvoice.cmctelecom.vn/" TargetMode="External"/><Relationship Id="rId154" Type="http://schemas.openxmlformats.org/officeDocument/2006/relationships/hyperlink" Target="https://tracuu.myinvoice.vn/" TargetMode="External"/><Relationship Id="rId175" Type="http://schemas.openxmlformats.org/officeDocument/2006/relationships/hyperlink" Target="https://tracuu.kaike.vn/" TargetMode="External"/><Relationship Id="rId196" Type="http://schemas.openxmlformats.org/officeDocument/2006/relationships/hyperlink" Target="https://www.sapo.vn/tra-cuu-sapo-invoice.html" TargetMode="External"/><Relationship Id="rId200" Type="http://schemas.openxmlformats.org/officeDocument/2006/relationships/hyperlink" Target="https://0109045760hd.easyinvoice.vn/Search/Index" TargetMode="External"/><Relationship Id="rId16" Type="http://schemas.openxmlformats.org/officeDocument/2006/relationships/hyperlink" Target="http://www.ngogiaphat.vn/" TargetMode="External"/><Relationship Id="rId221" Type="http://schemas.openxmlformats.org/officeDocument/2006/relationships/hyperlink" Target="https://vuhai.co/" TargetMode="External"/><Relationship Id="rId242" Type="http://schemas.openxmlformats.org/officeDocument/2006/relationships/hyperlink" Target="https://winvoice.vn/tra-cuu" TargetMode="External"/><Relationship Id="rId37" Type="http://schemas.openxmlformats.org/officeDocument/2006/relationships/hyperlink" Target="https://tracuu.wininvoice.vn/" TargetMode="External"/><Relationship Id="rId58" Type="http://schemas.openxmlformats.org/officeDocument/2006/relationships/hyperlink" Target="http://hoadondientuvat.com/Thong-tin" TargetMode="External"/><Relationship Id="rId79" Type="http://schemas.openxmlformats.org/officeDocument/2006/relationships/hyperlink" Target="http://htinvoice.com.vn/" TargetMode="External"/><Relationship Id="rId102" Type="http://schemas.openxmlformats.org/officeDocument/2006/relationships/hyperlink" Target="https://www.acman.vn/hoa-don-dien-tu.html" TargetMode="External"/><Relationship Id="rId123" Type="http://schemas.openxmlformats.org/officeDocument/2006/relationships/hyperlink" Target="https://koffi.vn/" TargetMode="External"/><Relationship Id="rId144" Type="http://schemas.openxmlformats.org/officeDocument/2006/relationships/hyperlink" Target="https://www.vdsg-invoice.vn/Account/Login" TargetMode="External"/><Relationship Id="rId90" Type="http://schemas.openxmlformats.org/officeDocument/2006/relationships/hyperlink" Target="https://bill2app.xcyber.vn/api/services/hddt/TraCuuHoaDon/RefreshCaptcha" TargetMode="External"/><Relationship Id="rId165" Type="http://schemas.openxmlformats.org/officeDocument/2006/relationships/hyperlink" Target="http://hoadonct.gov.vn/" TargetMode="External"/><Relationship Id="rId186" Type="http://schemas.openxmlformats.org/officeDocument/2006/relationships/hyperlink" Target="https://tracuuhoadon.kiotviet.vn/" TargetMode="External"/><Relationship Id="rId211" Type="http://schemas.openxmlformats.org/officeDocument/2006/relationships/hyperlink" Target="https://mmhoadon.vn/" TargetMode="External"/><Relationship Id="rId232" Type="http://schemas.openxmlformats.org/officeDocument/2006/relationships/hyperlink" Target="https://bado.vn/hoa-don-dien-tu" TargetMode="External"/><Relationship Id="rId27" Type="http://schemas.openxmlformats.org/officeDocument/2006/relationships/hyperlink" Target="https://www.meinvoice.vn/" TargetMode="External"/><Relationship Id="rId48" Type="http://schemas.openxmlformats.org/officeDocument/2006/relationships/hyperlink" Target="https://asiainvoice.vn/tra-cuu/GetCaptcha" TargetMode="External"/><Relationship Id="rId69" Type="http://schemas.openxmlformats.org/officeDocument/2006/relationships/hyperlink" Target="https://tracuuhd.smartsign.com.vn/" TargetMode="External"/><Relationship Id="rId113" Type="http://schemas.openxmlformats.org/officeDocument/2006/relationships/hyperlink" Target="https://www.fts.com.vn/phan-mem-hoa-don-dien-tu/" TargetMode="External"/><Relationship Id="rId134" Type="http://schemas.openxmlformats.org/officeDocument/2006/relationships/hyperlink" Target="https://phuongnam.evat.vn/log" TargetMode="External"/><Relationship Id="rId80" Type="http://schemas.openxmlformats.org/officeDocument/2006/relationships/hyperlink" Target="https://laphoadon.htinvoice.vn/TraCuu" TargetMode="External"/><Relationship Id="rId155" Type="http://schemas.openxmlformats.org/officeDocument/2006/relationships/hyperlink" Target="http://ihoadondientu.net/" TargetMode="External"/><Relationship Id="rId176" Type="http://schemas.openxmlformats.org/officeDocument/2006/relationships/hyperlink" Target="https://aits.vn/" TargetMode="External"/><Relationship Id="rId197" Type="http://schemas.openxmlformats.org/officeDocument/2006/relationships/hyperlink" Target="https://pos.pancake.vn/e-invoice" TargetMode="External"/><Relationship Id="rId201" Type="http://schemas.openxmlformats.org/officeDocument/2006/relationships/hyperlink" Target="https://hoadon.igas.vn/" TargetMode="External"/><Relationship Id="rId222" Type="http://schemas.openxmlformats.org/officeDocument/2006/relationships/hyperlink" Target="https://hoadon.vuhai.co/" TargetMode="External"/><Relationship Id="rId243" Type="http://schemas.openxmlformats.org/officeDocument/2006/relationships/hyperlink" Target="https://limibiz.vn/" TargetMode="External"/><Relationship Id="rId17" Type="http://schemas.openxmlformats.org/officeDocument/2006/relationships/hyperlink" Target="https://tracuuonline.ngogiaphat.vn/Search.aspx" TargetMode="External"/><Relationship Id="rId38" Type="http://schemas.openxmlformats.org/officeDocument/2006/relationships/hyperlink" Target="https://viettel.vn/s-invoice" TargetMode="External"/><Relationship Id="rId59" Type="http://schemas.openxmlformats.org/officeDocument/2006/relationships/hyperlink" Target="https://hoadondientuvat.com/Tracuu.aspx" TargetMode="External"/><Relationship Id="rId103" Type="http://schemas.openxmlformats.org/officeDocument/2006/relationships/hyperlink" Target="https://hoadondientu.acman.vn/tra-cuu/hoa-don.html" TargetMode="External"/><Relationship Id="rId124" Type="http://schemas.openxmlformats.org/officeDocument/2006/relationships/hyperlink" Target="https://koffi.vn/outbound/lookup-invoice" TargetMode="External"/><Relationship Id="rId70" Type="http://schemas.openxmlformats.org/officeDocument/2006/relationships/hyperlink" Target="https://tracuuhd.smartsign.com.vn/Pages/CImage.aspx" TargetMode="External"/><Relationship Id="rId91" Type="http://schemas.openxmlformats.org/officeDocument/2006/relationships/hyperlink" Target="https://www.safeinvoice.vn/" TargetMode="External"/><Relationship Id="rId145" Type="http://schemas.openxmlformats.org/officeDocument/2006/relationships/hyperlink" Target="https://accnet.vn/hoa-don-dien-tu" TargetMode="External"/><Relationship Id="rId166" Type="http://schemas.openxmlformats.org/officeDocument/2006/relationships/hyperlink" Target="https://vetc.com.vn/" TargetMode="External"/><Relationship Id="rId187" Type="http://schemas.openxmlformats.org/officeDocument/2006/relationships/hyperlink" Target="https://haravan.com/pages/giai-phap-xuat-hoa-don-dien-tu" TargetMode="External"/><Relationship Id="rId1" Type="http://schemas.openxmlformats.org/officeDocument/2006/relationships/hyperlink" Target="http://ehoadondientu.com/" TargetMode="External"/><Relationship Id="rId212" Type="http://schemas.openxmlformats.org/officeDocument/2006/relationships/hyperlink" Target="https://tracuu.mmhoadon.vn/" TargetMode="External"/><Relationship Id="rId233" Type="http://schemas.openxmlformats.org/officeDocument/2006/relationships/hyperlink" Target="https://tracuuhoadon.vnpost.vn/" TargetMode="External"/><Relationship Id="rId28" Type="http://schemas.openxmlformats.org/officeDocument/2006/relationships/hyperlink" Target="https://www.meinvoice.vn/tra-cuu/" TargetMode="External"/><Relationship Id="rId49" Type="http://schemas.openxmlformats.org/officeDocument/2006/relationships/hyperlink" Target="https://vin-hoadon.com/" TargetMode="External"/><Relationship Id="rId114" Type="http://schemas.openxmlformats.org/officeDocument/2006/relationships/hyperlink" Target="https://invoice.fast.com.vn/tra-cuu-hoa-don-dien-tu/" TargetMode="External"/><Relationship Id="rId60" Type="http://schemas.openxmlformats.org/officeDocument/2006/relationships/hyperlink" Target="https://www.vninvoice.vn/" TargetMode="External"/><Relationship Id="rId81" Type="http://schemas.openxmlformats.org/officeDocument/2006/relationships/hyperlink" Target="https://cloudinvoice.vn/" TargetMode="External"/><Relationship Id="rId135" Type="http://schemas.openxmlformats.org/officeDocument/2006/relationships/hyperlink" Target="https://phuongnam.evat.vn/" TargetMode="External"/><Relationship Id="rId156" Type="http://schemas.openxmlformats.org/officeDocument/2006/relationships/hyperlink" Target="https://einvoice.webcashvietnam.com/" TargetMode="External"/><Relationship Id="rId177" Type="http://schemas.openxmlformats.org/officeDocument/2006/relationships/hyperlink" Target="https://bizzi.vn/" TargetMode="External"/><Relationship Id="rId198" Type="http://schemas.openxmlformats.org/officeDocument/2006/relationships/hyperlink" Target="https://tracuu.pancake.vn/" TargetMode="External"/><Relationship Id="rId202" Type="http://schemas.openxmlformats.org/officeDocument/2006/relationships/hyperlink" Target="https://tracuu.igas.vn/" TargetMode="External"/><Relationship Id="rId223" Type="http://schemas.openxmlformats.org/officeDocument/2006/relationships/hyperlink" Target="https://wiinvoice.vn/" TargetMode="External"/><Relationship Id="rId244" Type="http://schemas.openxmlformats.org/officeDocument/2006/relationships/hyperlink" Target="https://hoadon.pvoil.vn/" TargetMode="External"/><Relationship Id="rId18" Type="http://schemas.openxmlformats.org/officeDocument/2006/relationships/hyperlink" Target="https://tracuuonline.ngogiaphat.vn/DXB.axd?DXCache=db6b00ec-9728-fe9e-c65d-24724858e745" TargetMode="External"/><Relationship Id="rId39" Type="http://schemas.openxmlformats.org/officeDocument/2006/relationships/hyperlink" Target="https://vinvoice.viettel.vn/utilities/invoice-search" TargetMode="External"/><Relationship Id="rId50" Type="http://schemas.openxmlformats.org/officeDocument/2006/relationships/hyperlink" Target="https://tracuu.vin-hoadon.com/api/services/hddt/TraCuuHoaDon/RefreshCaptcha" TargetMode="External"/><Relationship Id="rId104" Type="http://schemas.openxmlformats.org/officeDocument/2006/relationships/hyperlink" Target="https://hoadonsovn.net/" TargetMode="External"/><Relationship Id="rId125" Type="http://schemas.openxmlformats.org/officeDocument/2006/relationships/hyperlink" Target="https://hddt.vietinfo.tech/" TargetMode="External"/><Relationship Id="rId146" Type="http://schemas.openxmlformats.org/officeDocument/2006/relationships/hyperlink" Target="https://accnet.vn/tra-cuu-hoa-don-dien-tu" TargetMode="External"/><Relationship Id="rId167" Type="http://schemas.openxmlformats.org/officeDocument/2006/relationships/hyperlink" Target="https://tracuuhoadon.vetc.com.vn/" TargetMode="External"/><Relationship Id="rId188" Type="http://schemas.openxmlformats.org/officeDocument/2006/relationships/hyperlink" Target="https://e-invoices.haravan.app/" TargetMode="External"/><Relationship Id="rId71" Type="http://schemas.openxmlformats.org/officeDocument/2006/relationships/hyperlink" Target="https://www.xuathoadon.vn/" TargetMode="External"/><Relationship Id="rId92" Type="http://schemas.openxmlformats.org/officeDocument/2006/relationships/hyperlink" Target="https://www.safecert.com.vn/search_certificate" TargetMode="External"/><Relationship Id="rId213" Type="http://schemas.openxmlformats.org/officeDocument/2006/relationships/hyperlink" Target="https://gohoadon.vn/" TargetMode="External"/><Relationship Id="rId234" Type="http://schemas.openxmlformats.org/officeDocument/2006/relationships/hyperlink" Target="https://hoadon.ontik.vn/" TargetMode="External"/><Relationship Id="rId2" Type="http://schemas.openxmlformats.org/officeDocument/2006/relationships/hyperlink" Target="https://ehoadondientu.com/Tra-cuu" TargetMode="External"/><Relationship Id="rId29" Type="http://schemas.openxmlformats.org/officeDocument/2006/relationships/hyperlink" Target="https://minvoice.vn/" TargetMode="External"/><Relationship Id="rId40" Type="http://schemas.openxmlformats.org/officeDocument/2006/relationships/hyperlink" Target="https://tax24.com.vn/thuedientu/san-pham-dich-vu/hoa-don-dien-tu" TargetMode="External"/><Relationship Id="rId115" Type="http://schemas.openxmlformats.org/officeDocument/2006/relationships/hyperlink" Target="https://hoadon.biz/" TargetMode="External"/><Relationship Id="rId136" Type="http://schemas.openxmlformats.org/officeDocument/2006/relationships/hyperlink" Target="https://ttltax.com/" TargetMode="External"/><Relationship Id="rId157" Type="http://schemas.openxmlformats.org/officeDocument/2006/relationships/hyperlink" Target="https://wetax.com.vn/tra-cuu" TargetMode="External"/><Relationship Id="rId178" Type="http://schemas.openxmlformats.org/officeDocument/2006/relationships/hyperlink" Target="https://tchd.bizzi.vn/" TargetMode="External"/><Relationship Id="rId61" Type="http://schemas.openxmlformats.org/officeDocument/2006/relationships/hyperlink" Target="https://tracuu.v50.vninvoice.vn/" TargetMode="External"/><Relationship Id="rId82" Type="http://schemas.openxmlformats.org/officeDocument/2006/relationships/hyperlink" Target="https://tracuu.cloudinvoice.vn/" TargetMode="External"/><Relationship Id="rId199" Type="http://schemas.openxmlformats.org/officeDocument/2006/relationships/hyperlink" Target="https://netacom.vn/neta-einvoice.html" TargetMode="External"/><Relationship Id="rId203" Type="http://schemas.openxmlformats.org/officeDocument/2006/relationships/hyperlink" Target="https://invoi.vn/" TargetMode="External"/><Relationship Id="rId19" Type="http://schemas.openxmlformats.org/officeDocument/2006/relationships/hyperlink" Target="https://matbao.in/" TargetMode="External"/><Relationship Id="rId224" Type="http://schemas.openxmlformats.org/officeDocument/2006/relationships/hyperlink" Target="https://tracuu.wininvoice.vn/" TargetMode="External"/><Relationship Id="rId245" Type="http://schemas.openxmlformats.org/officeDocument/2006/relationships/hyperlink" Target="https://hoadon.pvoil.vn/Captcha/Show" TargetMode="External"/><Relationship Id="rId30" Type="http://schemas.openxmlformats.org/officeDocument/2006/relationships/hyperlink" Target="https://tracuuhoadon.minvoice.com.vn/tra-cuu-hoa-don" TargetMode="External"/><Relationship Id="rId105" Type="http://schemas.openxmlformats.org/officeDocument/2006/relationships/hyperlink" Target="http://hoadonsovn.evat.vn/" TargetMode="External"/><Relationship Id="rId126" Type="http://schemas.openxmlformats.org/officeDocument/2006/relationships/hyperlink" Target="https://tracuuhoadon.vietinfo.tech/" TargetMode="External"/><Relationship Id="rId147" Type="http://schemas.openxmlformats.org/officeDocument/2006/relationships/hyperlink" Target="https://lacviet.hdtt.vn/api/Invoice/get-captcha-image?key=5270d64e-9347-4df4-175d-471e65ead33e&amp;v=1790323334" TargetMode="External"/><Relationship Id="rId168" Type="http://schemas.openxmlformats.org/officeDocument/2006/relationships/hyperlink" Target="https://pvssolution.com/" TargetMode="External"/><Relationship Id="rId51" Type="http://schemas.openxmlformats.org/officeDocument/2006/relationships/hyperlink" Target="https://dinhvibachkhoa.vn/" TargetMode="External"/><Relationship Id="rId72" Type="http://schemas.openxmlformats.org/officeDocument/2006/relationships/hyperlink" Target="https://tracuu.xuathoadon.vn/" TargetMode="External"/><Relationship Id="rId93" Type="http://schemas.openxmlformats.org/officeDocument/2006/relationships/hyperlink" Target="http://www.spc-technology.com/" TargetMode="External"/><Relationship Id="rId189" Type="http://schemas.openxmlformats.org/officeDocument/2006/relationships/hyperlink" Target="https://ipos.vn/" TargetMode="External"/><Relationship Id="rId3" Type="http://schemas.openxmlformats.org/officeDocument/2006/relationships/hyperlink" Target="https://einvoice.fpt.com.vn/" TargetMode="External"/><Relationship Id="rId214" Type="http://schemas.openxmlformats.org/officeDocument/2006/relationships/hyperlink" Target="https://tracuu.gohoadon.vn/" TargetMode="External"/><Relationship Id="rId235" Type="http://schemas.openxmlformats.org/officeDocument/2006/relationships/hyperlink" Target="https://hoadon.ontik.vn/" TargetMode="External"/><Relationship Id="rId116" Type="http://schemas.openxmlformats.org/officeDocument/2006/relationships/hyperlink" Target="https://ketoanvlc.com/" TargetMode="External"/><Relationship Id="rId137" Type="http://schemas.openxmlformats.org/officeDocument/2006/relationships/hyperlink" Target="https://tracuu.ttltax.com/" TargetMode="External"/><Relationship Id="rId158" Type="http://schemas.openxmlformats.org/officeDocument/2006/relationships/hyperlink" Target="https://e-invoices.vn/" TargetMode="External"/><Relationship Id="rId20" Type="http://schemas.openxmlformats.org/officeDocument/2006/relationships/hyperlink" Target="https://matbao.in/tra-cuu-hoa-don" TargetMode="External"/><Relationship Id="rId41" Type="http://schemas.openxmlformats.org/officeDocument/2006/relationships/hyperlink" Target="https://tax24.com.vn/einvoice/servlet/ImageServlet" TargetMode="External"/><Relationship Id="rId62" Type="http://schemas.openxmlformats.org/officeDocument/2006/relationships/hyperlink" Target="https://www.vnpay.vn/" TargetMode="External"/><Relationship Id="rId83" Type="http://schemas.openxmlformats.org/officeDocument/2006/relationships/hyperlink" Target="https://hoadon30s.vn/" TargetMode="External"/><Relationship Id="rId179" Type="http://schemas.openxmlformats.org/officeDocument/2006/relationships/hyperlink" Target="http://beetek.vn/" TargetMode="External"/><Relationship Id="rId190" Type="http://schemas.openxmlformats.org/officeDocument/2006/relationships/hyperlink" Target="https://tracuuhoadon.ipos.vn/" TargetMode="External"/><Relationship Id="rId204" Type="http://schemas.openxmlformats.org/officeDocument/2006/relationships/hyperlink" Target="https://ttc.t-hoadon.vn/" TargetMode="External"/><Relationship Id="rId225" Type="http://schemas.openxmlformats.org/officeDocument/2006/relationships/hyperlink" Target="https://xinvoice.vn/" TargetMode="External"/><Relationship Id="rId246" Type="http://schemas.openxmlformats.org/officeDocument/2006/relationships/hyperlink" Target="https://tracuuhoadon2.xcyber.vn/" TargetMode="External"/><Relationship Id="rId106" Type="http://schemas.openxmlformats.org/officeDocument/2006/relationships/hyperlink" Target="http://voice.hoadondientu.net.vn/" TargetMode="External"/><Relationship Id="rId127" Type="http://schemas.openxmlformats.org/officeDocument/2006/relationships/hyperlink" Target="http://www.bitware.vn/services/hoa-don-dien-tu/" TargetMode="External"/><Relationship Id="rId10" Type="http://schemas.openxmlformats.org/officeDocument/2006/relationships/hyperlink" Target="https://einvoice.lcs.com.vn/" TargetMode="External"/><Relationship Id="rId31" Type="http://schemas.openxmlformats.org/officeDocument/2006/relationships/hyperlink" Target="http://www.nguyenminhvat.vn/" TargetMode="External"/><Relationship Id="rId52" Type="http://schemas.openxmlformats.org/officeDocument/2006/relationships/hyperlink" Target="https://hoadonbachkhoa.pmbk.vn/tra-cuu-hoa-don" TargetMode="External"/><Relationship Id="rId73" Type="http://schemas.openxmlformats.org/officeDocument/2006/relationships/hyperlink" Target="https://www.tctinvoice.com/" TargetMode="External"/><Relationship Id="rId94" Type="http://schemas.openxmlformats.org/officeDocument/2006/relationships/hyperlink" Target="https://dailychukyso.com.vn/mst/tools/read-xml.php" TargetMode="External"/><Relationship Id="rId148" Type="http://schemas.openxmlformats.org/officeDocument/2006/relationships/hyperlink" Target="https://autoinvoice.vn/" TargetMode="External"/><Relationship Id="rId169" Type="http://schemas.openxmlformats.org/officeDocument/2006/relationships/hyperlink" Target="https://invoice.pvssolution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tware.vn/tracuuhoadon/captcha/image/565360b73037ec023deb6be3801aa58ea7fede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workbookViewId="0"/>
  </sheetViews>
  <sheetFormatPr defaultColWidth="14.453125" defaultRowHeight="15" customHeight="1" x14ac:dyDescent="0.35"/>
  <cols>
    <col min="1" max="1" width="7" customWidth="1"/>
    <col min="2" max="2" width="60" customWidth="1"/>
    <col min="3" max="3" width="16" customWidth="1"/>
    <col min="4" max="5" width="60" customWidth="1"/>
    <col min="6" max="6" width="14.453125" customWidth="1"/>
  </cols>
  <sheetData>
    <row r="1" spans="1:5" ht="14.25" customHeight="1" x14ac:dyDescent="0.35">
      <c r="A1" s="2" t="s">
        <v>374</v>
      </c>
    </row>
    <row r="2" spans="1:5" ht="14.25" customHeight="1" x14ac:dyDescent="0.35">
      <c r="A2" s="3" t="s">
        <v>375</v>
      </c>
    </row>
    <row r="3" spans="1:5" ht="14.25" customHeight="1" x14ac:dyDescent="0.35"/>
    <row r="4" spans="1:5" ht="33.75" customHeight="1" x14ac:dyDescent="0.35">
      <c r="A4" s="5" t="s">
        <v>376</v>
      </c>
      <c r="B4" s="5" t="s">
        <v>377</v>
      </c>
      <c r="C4" s="5" t="s">
        <v>378</v>
      </c>
      <c r="D4" s="5" t="s">
        <v>379</v>
      </c>
      <c r="E4" s="5" t="s">
        <v>380</v>
      </c>
    </row>
    <row r="5" spans="1:5" ht="14.25" customHeight="1" x14ac:dyDescent="0.35">
      <c r="A5" s="8">
        <v>1</v>
      </c>
      <c r="B5" s="10" t="s">
        <v>381</v>
      </c>
      <c r="C5" s="8">
        <v>90</v>
      </c>
      <c r="D5" s="8">
        <f>COUNTIFS('Chi tiết'!$F$2:$F$1000,B5,'Chi tiết'!$I$2:$I$1000,"Xong")</f>
        <v>0</v>
      </c>
      <c r="E5" s="8">
        <f t="shared" ref="E5:E15" si="0">C5-D5</f>
        <v>90</v>
      </c>
    </row>
    <row r="6" spans="1:5" ht="14.25" customHeight="1" x14ac:dyDescent="0.35">
      <c r="A6" s="8">
        <v>2</v>
      </c>
      <c r="B6" s="10" t="s">
        <v>382</v>
      </c>
      <c r="C6" s="8">
        <f>COUNTIF('Chi tiết'!$F$2:$F$1000,B6)</f>
        <v>24</v>
      </c>
      <c r="D6" s="8">
        <f>COUNTIFS('Chi tiết'!$F$2:$F$1000,B6,'Chi tiết'!$I$2:$I$1000,"Xong")</f>
        <v>23</v>
      </c>
      <c r="E6" s="8">
        <f t="shared" si="0"/>
        <v>1</v>
      </c>
    </row>
    <row r="7" spans="1:5" ht="14.25" customHeight="1" x14ac:dyDescent="0.35">
      <c r="A7" s="8">
        <v>3</v>
      </c>
      <c r="B7" s="10" t="s">
        <v>383</v>
      </c>
      <c r="C7" s="8">
        <f>COUNTIF('Chi tiết'!$F$2:$F$1000,B7)</f>
        <v>11</v>
      </c>
      <c r="D7" s="8">
        <f>COUNTIFS('Chi tiết'!$F$2:$F$1000,B7,'Chi tiết'!$I$2:$I$1000,"Xong")</f>
        <v>0</v>
      </c>
      <c r="E7" s="8">
        <f t="shared" si="0"/>
        <v>11</v>
      </c>
    </row>
    <row r="8" spans="1:5" ht="14.25" customHeight="1" x14ac:dyDescent="0.35">
      <c r="A8" s="8">
        <v>4</v>
      </c>
      <c r="B8" s="10" t="s">
        <v>384</v>
      </c>
      <c r="C8" s="8">
        <v>5</v>
      </c>
      <c r="D8" s="8">
        <f>COUNTIFS('Chi tiết'!$F$2:$F$1000,B8,'Chi tiết'!$I$2:$I$1000,"Xong")</f>
        <v>0</v>
      </c>
      <c r="E8" s="8">
        <f t="shared" si="0"/>
        <v>5</v>
      </c>
    </row>
    <row r="9" spans="1:5" ht="14.25" customHeight="1" x14ac:dyDescent="0.35">
      <c r="A9" s="8">
        <v>5</v>
      </c>
      <c r="B9" s="10" t="s">
        <v>385</v>
      </c>
      <c r="C9" s="8">
        <f>COUNTIF('Chi tiết'!$F$2:$F$1000,B9)</f>
        <v>1</v>
      </c>
      <c r="D9" s="8">
        <f>COUNTIFS('Chi tiết'!$F$2:$F$1000,B9,'Chi tiết'!$I$2:$I$1000,"Xong")</f>
        <v>0</v>
      </c>
      <c r="E9" s="8">
        <f t="shared" si="0"/>
        <v>1</v>
      </c>
    </row>
    <row r="10" spans="1:5" ht="14.25" customHeight="1" x14ac:dyDescent="0.35">
      <c r="A10" s="8">
        <v>6</v>
      </c>
      <c r="B10" s="10" t="s">
        <v>386</v>
      </c>
      <c r="C10" s="8">
        <f>COUNTIF('Chi tiết'!$F$2:$F$1000,B10)</f>
        <v>2</v>
      </c>
      <c r="D10" s="8">
        <f>COUNTIFS('Chi tiết'!$F$2:$F$1000,B10,'Chi tiết'!$I$2:$I$1000,"Xong")</f>
        <v>0</v>
      </c>
      <c r="E10" s="8">
        <f t="shared" si="0"/>
        <v>2</v>
      </c>
    </row>
    <row r="11" spans="1:5" ht="14.25" customHeight="1" x14ac:dyDescent="0.35">
      <c r="A11" s="8">
        <v>7</v>
      </c>
      <c r="B11" s="10" t="s">
        <v>387</v>
      </c>
      <c r="C11" s="8">
        <f>COUNTIF('Chi tiết'!$F$2:$F$1000,B11)</f>
        <v>1</v>
      </c>
      <c r="D11" s="8">
        <f>COUNTIFS('Chi tiết'!$F$2:$F$1000,B11,'Chi tiết'!$I$2:$I$1000,"Xong")</f>
        <v>0</v>
      </c>
      <c r="E11" s="8">
        <f t="shared" si="0"/>
        <v>1</v>
      </c>
    </row>
    <row r="12" spans="1:5" ht="14.25" customHeight="1" x14ac:dyDescent="0.35">
      <c r="A12" s="8">
        <v>8</v>
      </c>
      <c r="B12" s="10" t="s">
        <v>388</v>
      </c>
      <c r="C12" s="8">
        <f>COUNTIF('Chi tiết'!$F$2:$F$1000,B12)</f>
        <v>1</v>
      </c>
      <c r="D12" s="8">
        <f>COUNTIFS('Chi tiết'!$F$2:$F$1000,B12,'Chi tiết'!$I$2:$I$1000,"Xong")</f>
        <v>0</v>
      </c>
      <c r="E12" s="8">
        <f t="shared" si="0"/>
        <v>1</v>
      </c>
    </row>
    <row r="13" spans="1:5" ht="14.25" customHeight="1" x14ac:dyDescent="0.35">
      <c r="A13" s="8">
        <v>9</v>
      </c>
      <c r="B13" s="10" t="s">
        <v>389</v>
      </c>
      <c r="C13" s="8">
        <f>COUNTIF('Chi tiết'!$F$2:$F$1000,B13)</f>
        <v>1</v>
      </c>
      <c r="D13" s="8">
        <f>COUNTIFS('Chi tiết'!$F$2:$F$1000,B13,'Chi tiết'!$I$2:$I$1000,"Xong")</f>
        <v>0</v>
      </c>
      <c r="E13" s="8">
        <f t="shared" si="0"/>
        <v>1</v>
      </c>
    </row>
    <row r="14" spans="1:5" ht="14.25" customHeight="1" x14ac:dyDescent="0.35">
      <c r="A14" s="8">
        <v>10</v>
      </c>
      <c r="B14" s="10" t="s">
        <v>390</v>
      </c>
      <c r="C14" s="8">
        <f>COUNTIF('Chi tiết'!$F$2:$F$1000,B14)</f>
        <v>1</v>
      </c>
      <c r="D14" s="8">
        <f>COUNTIFS('Chi tiết'!$F$2:$F$1000,B14,'Chi tiết'!$I$2:$I$1000,"Xong")</f>
        <v>0</v>
      </c>
      <c r="E14" s="8">
        <f t="shared" si="0"/>
        <v>1</v>
      </c>
    </row>
    <row r="15" spans="1:5" ht="14.25" customHeight="1" x14ac:dyDescent="0.35">
      <c r="A15" s="8">
        <v>11</v>
      </c>
      <c r="B15" s="10" t="s">
        <v>391</v>
      </c>
      <c r="C15" s="8">
        <f>COUNTIF('Chi tiết'!$F$2:$F$1000,B15)</f>
        <v>1</v>
      </c>
      <c r="D15" s="8">
        <f>COUNTIFS('Chi tiết'!$F$2:$F$1000,B15,'Chi tiết'!$I$2:$I$1000,"Xong")</f>
        <v>0</v>
      </c>
      <c r="E15" s="8">
        <f t="shared" si="0"/>
        <v>1</v>
      </c>
    </row>
    <row r="16" spans="1:5" ht="14.25" customHeight="1" x14ac:dyDescent="0.35">
      <c r="A16" s="40"/>
      <c r="B16" s="41" t="s">
        <v>392</v>
      </c>
      <c r="C16" s="40">
        <f>SUM(C5:C15)</f>
        <v>138</v>
      </c>
      <c r="D16" s="40">
        <f>SUM(D5:D15)</f>
        <v>23</v>
      </c>
      <c r="E16" s="40">
        <f>SUM(E5:E15)</f>
        <v>115</v>
      </c>
    </row>
    <row r="17" spans="1:7" ht="14.25" customHeight="1" x14ac:dyDescent="0.35"/>
    <row r="18" spans="1:7" ht="14.25" customHeight="1" x14ac:dyDescent="0.35">
      <c r="B18" s="42" t="s">
        <v>393</v>
      </c>
    </row>
    <row r="19" spans="1:7" ht="14.25" customHeight="1" x14ac:dyDescent="0.35">
      <c r="B19" s="43" t="s">
        <v>394</v>
      </c>
      <c r="C19" s="43" t="s">
        <v>395</v>
      </c>
      <c r="D19" s="43" t="s">
        <v>396</v>
      </c>
      <c r="E19" s="43" t="s">
        <v>397</v>
      </c>
    </row>
    <row r="20" spans="1:7" ht="14.25" customHeight="1" x14ac:dyDescent="0.35">
      <c r="B20" s="10" t="s">
        <v>382</v>
      </c>
      <c r="C20" s="8">
        <f>COUNTIF('Chi tiết'!$F$2:$F$1000,B20)</f>
        <v>24</v>
      </c>
      <c r="D20" s="8">
        <v>11</v>
      </c>
      <c r="E20" s="45">
        <f>IF(C20=0,0,D20/C20)</f>
        <v>0.45833333333333331</v>
      </c>
    </row>
    <row r="21" spans="1:7" ht="14.25" customHeight="1" x14ac:dyDescent="0.35">
      <c r="B21" s="10" t="s">
        <v>383</v>
      </c>
      <c r="C21" s="8">
        <f>COUNTIF('Chi tiết'!$F$2:$F$1000,B21)</f>
        <v>11</v>
      </c>
      <c r="D21" s="8">
        <f>COUNTIFS('Chi tiết'!$F$2:$F$1000,B21,'Chi tiết'!$I$2:$I$1000,"Xong")</f>
        <v>0</v>
      </c>
      <c r="E21" s="45">
        <f>IF(C21=0,0,D21/C21)</f>
        <v>0</v>
      </c>
    </row>
    <row r="22" spans="1:7" ht="14.25" customHeight="1" x14ac:dyDescent="0.35">
      <c r="B22" s="10" t="s">
        <v>387</v>
      </c>
      <c r="C22" s="8">
        <f>COUNTIF('Chi tiết'!$F$2:$F$1000,B22)</f>
        <v>1</v>
      </c>
      <c r="D22" s="8">
        <f>COUNTIFS('Chi tiết'!$F$2:$F$1000,B22,'Chi tiết'!$I$2:$I$1000,"Xong")</f>
        <v>0</v>
      </c>
      <c r="E22" s="45">
        <f>IF(C22=0,0,D22/C22)</f>
        <v>0</v>
      </c>
    </row>
    <row r="23" spans="1:7" ht="14.25" customHeight="1" x14ac:dyDescent="0.35">
      <c r="B23" s="41" t="s">
        <v>398</v>
      </c>
      <c r="C23" s="40">
        <f>SUM(C20:C22)</f>
        <v>36</v>
      </c>
      <c r="D23" s="40">
        <f>SUM(D20:D22)</f>
        <v>11</v>
      </c>
      <c r="E23" s="52">
        <f>IF(C23=0,0,D23/C23)</f>
        <v>0.30555555555555558</v>
      </c>
    </row>
    <row r="24" spans="1:7" ht="14.25" customHeight="1" x14ac:dyDescent="0.35"/>
    <row r="25" spans="1:7" ht="14.25" customHeight="1" x14ac:dyDescent="0.35">
      <c r="B25" s="42" t="s">
        <v>399</v>
      </c>
    </row>
    <row r="26" spans="1:7" ht="14.25" customHeight="1" x14ac:dyDescent="0.35">
      <c r="B26" s="3" t="s">
        <v>400</v>
      </c>
    </row>
    <row r="27" spans="1:7" ht="14.25" customHeight="1" x14ac:dyDescent="0.35">
      <c r="B27" s="3" t="s">
        <v>401</v>
      </c>
    </row>
    <row r="28" spans="1:7" ht="14.25" customHeight="1" x14ac:dyDescent="0.35">
      <c r="B28" s="3" t="s">
        <v>402</v>
      </c>
      <c r="E28" s="56">
        <f>COUNTA('Chi tiết'!$B$2:$B$1000)</f>
        <v>138</v>
      </c>
    </row>
    <row r="29" spans="1:7" ht="14.25" customHeight="1" x14ac:dyDescent="0.35"/>
    <row r="30" spans="1:7" ht="14.25" customHeight="1" x14ac:dyDescent="0.35">
      <c r="A30" s="1"/>
      <c r="B30" s="2" t="s">
        <v>403</v>
      </c>
      <c r="C30" s="1"/>
      <c r="D30" s="1"/>
      <c r="E30" s="1"/>
      <c r="F30" s="1"/>
      <c r="G30" s="1"/>
    </row>
    <row r="31" spans="1:7" ht="14.25" customHeight="1" x14ac:dyDescent="0.35">
      <c r="A31" s="1"/>
      <c r="B31" s="1" t="s">
        <v>404</v>
      </c>
      <c r="C31" s="1"/>
      <c r="D31" s="1"/>
      <c r="E31" s="1"/>
      <c r="F31" s="1"/>
      <c r="G31" s="1"/>
    </row>
    <row r="32" spans="1:7" ht="14.25" customHeight="1" x14ac:dyDescent="0.35">
      <c r="A32" s="1"/>
      <c r="B32" s="1"/>
      <c r="C32" s="1"/>
      <c r="D32" s="1"/>
      <c r="E32" s="1"/>
      <c r="F32" s="1"/>
      <c r="G32" s="1"/>
    </row>
    <row r="33" spans="1:7" ht="14.25" customHeight="1" x14ac:dyDescent="0.35">
      <c r="A33" s="1"/>
      <c r="B33" s="42" t="s">
        <v>405</v>
      </c>
      <c r="C33" s="1"/>
      <c r="D33" s="1"/>
      <c r="E33" s="1"/>
      <c r="F33" s="1"/>
      <c r="G33" s="1"/>
    </row>
    <row r="34" spans="1:7" ht="14.25" customHeight="1" x14ac:dyDescent="0.35">
      <c r="A34" s="1"/>
      <c r="B34" s="5" t="s">
        <v>406</v>
      </c>
      <c r="C34" s="5" t="s">
        <v>395</v>
      </c>
      <c r="D34" s="5" t="s">
        <v>397</v>
      </c>
      <c r="E34" s="1"/>
      <c r="F34" s="1"/>
      <c r="G34" s="1"/>
    </row>
    <row r="35" spans="1:7" ht="14.25" customHeight="1" x14ac:dyDescent="0.35">
      <c r="A35" s="1">
        <v>1</v>
      </c>
      <c r="B35" s="58" t="s">
        <v>407</v>
      </c>
      <c r="C35" s="10">
        <f>COUNTIF('Chi tiết'!$N$2:$N$1000,B35)</f>
        <v>106</v>
      </c>
      <c r="D35" s="61">
        <f>IF($C$40=0,0,C35/$C$40)</f>
        <v>0.93805309734513276</v>
      </c>
      <c r="E35" s="1"/>
      <c r="F35" s="1"/>
      <c r="G35" s="1"/>
    </row>
    <row r="36" spans="1:7" ht="14.25" customHeight="1" x14ac:dyDescent="0.35">
      <c r="A36" s="1">
        <v>2</v>
      </c>
      <c r="B36" s="58" t="s">
        <v>408</v>
      </c>
      <c r="C36" s="10">
        <f>COUNTIF('Chi tiết'!$N$2:$N$1000,B36)</f>
        <v>4</v>
      </c>
      <c r="D36" s="61">
        <f>IF($C$40=0,0,C36/$C$40)</f>
        <v>3.5398230088495575E-2</v>
      </c>
      <c r="E36" s="1"/>
      <c r="F36" s="1"/>
      <c r="G36" s="1"/>
    </row>
    <row r="37" spans="1:7" ht="14.25" customHeight="1" x14ac:dyDescent="0.35">
      <c r="A37" s="1">
        <v>3</v>
      </c>
      <c r="B37" s="58" t="s">
        <v>409</v>
      </c>
      <c r="C37" s="10">
        <f>COUNTIF('Chi tiết'!$N$2:$N$1000,B37)</f>
        <v>0</v>
      </c>
      <c r="D37" s="61">
        <f>IF($C$40=0,0,C37/$C$40)</f>
        <v>0</v>
      </c>
      <c r="E37" s="1"/>
      <c r="F37" s="1"/>
      <c r="G37" s="1"/>
    </row>
    <row r="38" spans="1:7" ht="14.25" customHeight="1" x14ac:dyDescent="0.35">
      <c r="A38" s="1">
        <v>4</v>
      </c>
      <c r="B38" s="58" t="s">
        <v>410</v>
      </c>
      <c r="C38" s="10">
        <f>COUNTIF('Chi tiết'!$N$2:$N$1000,B38)</f>
        <v>2</v>
      </c>
      <c r="D38" s="61">
        <f>IF($C$40=0,0,C38/$C$40)</f>
        <v>1.7699115044247787E-2</v>
      </c>
      <c r="E38" s="1"/>
      <c r="F38" s="1"/>
      <c r="G38" s="1"/>
    </row>
    <row r="39" spans="1:7" ht="14.25" customHeight="1" x14ac:dyDescent="0.35">
      <c r="A39" s="1">
        <v>5</v>
      </c>
      <c r="B39" s="58" t="s">
        <v>411</v>
      </c>
      <c r="C39" s="10">
        <f>COUNTIF('Chi tiết'!$N$2:$N$1000,B39)</f>
        <v>1</v>
      </c>
      <c r="D39" s="61">
        <f>IF($C$40=0,0,C39/$C$40)</f>
        <v>8.8495575221238937E-3</v>
      </c>
      <c r="E39" s="1"/>
      <c r="F39" s="1"/>
      <c r="G39" s="1"/>
    </row>
    <row r="40" spans="1:7" ht="14.25" customHeight="1" x14ac:dyDescent="0.35">
      <c r="A40" s="1"/>
      <c r="B40" s="41" t="s">
        <v>412</v>
      </c>
      <c r="C40" s="41">
        <f>SUM(C35:C39)</f>
        <v>113</v>
      </c>
      <c r="D40" s="64">
        <f>IF(C40=0,0,1)</f>
        <v>1</v>
      </c>
      <c r="E40" s="1"/>
      <c r="F40" s="1"/>
      <c r="G40" s="1"/>
    </row>
    <row r="41" spans="1:7" ht="14.25" customHeight="1" x14ac:dyDescent="0.35">
      <c r="A41" s="1"/>
      <c r="B41" s="1"/>
      <c r="C41" s="1"/>
      <c r="D41" s="1"/>
      <c r="E41" s="1"/>
      <c r="F41" s="1"/>
      <c r="G41" s="1"/>
    </row>
    <row r="42" spans="1:7" ht="14.25" customHeight="1" x14ac:dyDescent="0.35">
      <c r="A42" s="1"/>
      <c r="B42" s="42" t="s">
        <v>413</v>
      </c>
      <c r="C42" s="1"/>
      <c r="D42" s="1"/>
      <c r="E42" s="1"/>
      <c r="F42" s="1"/>
      <c r="G42" s="1"/>
    </row>
    <row r="43" spans="1:7" ht="14.25" customHeight="1" x14ac:dyDescent="0.35">
      <c r="A43" s="1"/>
      <c r="B43" s="5" t="s">
        <v>414</v>
      </c>
      <c r="C43" s="5" t="s">
        <v>395</v>
      </c>
      <c r="D43" s="5" t="s">
        <v>415</v>
      </c>
      <c r="E43" s="1"/>
      <c r="F43" s="1"/>
      <c r="G43" s="1"/>
    </row>
    <row r="44" spans="1:7" ht="14.25" customHeight="1" x14ac:dyDescent="0.35">
      <c r="A44" s="1">
        <v>1</v>
      </c>
      <c r="B44" s="58" t="s">
        <v>416</v>
      </c>
      <c r="C44" s="10">
        <f>COUNTIFS('Chi tiết'!$N$2:$N$1000,"OK",'Chi tiết'!$O$2:$O$1000,"✓")</f>
        <v>104</v>
      </c>
      <c r="D44" s="61">
        <f t="shared" ref="D44:D57" si="1">IF($C$35=0,0,C44/$C$35)</f>
        <v>0.98113207547169812</v>
      </c>
      <c r="E44" s="1"/>
      <c r="F44" s="1"/>
      <c r="G44" s="1"/>
    </row>
    <row r="45" spans="1:7" ht="14.25" customHeight="1" x14ac:dyDescent="0.35">
      <c r="A45" s="1">
        <v>2</v>
      </c>
      <c r="B45" s="58" t="s">
        <v>417</v>
      </c>
      <c r="C45" s="10">
        <f>COUNTIFS('Chi tiết'!$N$2:$N$1000,"OK",'Chi tiết'!$P$2:$P$1000,"✓")</f>
        <v>25</v>
      </c>
      <c r="D45" s="61">
        <f t="shared" si="1"/>
        <v>0.23584905660377359</v>
      </c>
      <c r="E45" s="1"/>
      <c r="F45" s="1"/>
      <c r="G45" s="1"/>
    </row>
    <row r="46" spans="1:7" ht="14.25" customHeight="1" x14ac:dyDescent="0.35">
      <c r="A46" s="1">
        <v>3</v>
      </c>
      <c r="B46" s="58" t="s">
        <v>418</v>
      </c>
      <c r="C46" s="10">
        <f>COUNTIFS('Chi tiết'!$N$2:$N$1000,"OK",'Chi tiết'!$Q$2:$Q$1000,"✓")</f>
        <v>1</v>
      </c>
      <c r="D46" s="61">
        <f t="shared" si="1"/>
        <v>9.433962264150943E-3</v>
      </c>
      <c r="E46" s="1"/>
      <c r="F46" s="1"/>
      <c r="G46" s="1"/>
    </row>
    <row r="47" spans="1:7" ht="14.25" customHeight="1" x14ac:dyDescent="0.35">
      <c r="A47" s="1">
        <v>4</v>
      </c>
      <c r="B47" s="58" t="s">
        <v>419</v>
      </c>
      <c r="C47" s="10">
        <f>COUNTIFS('Chi tiết'!$N$2:$N$1000,"OK",'Chi tiết'!$R$2:$R$1000,"✓")</f>
        <v>2</v>
      </c>
      <c r="D47" s="61">
        <f t="shared" si="1"/>
        <v>1.8867924528301886E-2</v>
      </c>
      <c r="E47" s="1"/>
      <c r="F47" s="1"/>
      <c r="G47" s="1"/>
    </row>
    <row r="48" spans="1:7" ht="14.25" customHeight="1" x14ac:dyDescent="0.35">
      <c r="A48" s="1">
        <v>5</v>
      </c>
      <c r="B48" s="58" t="s">
        <v>420</v>
      </c>
      <c r="C48" s="10">
        <f>COUNTIFS('Chi tiết'!$N$2:$N$1000,"OK",'Chi tiết'!$S$2:$S$1000,"✓")</f>
        <v>4</v>
      </c>
      <c r="D48" s="61">
        <f t="shared" si="1"/>
        <v>3.7735849056603772E-2</v>
      </c>
      <c r="E48" s="1"/>
      <c r="F48" s="1"/>
      <c r="G48" s="1"/>
    </row>
    <row r="49" spans="1:7" ht="14.25" customHeight="1" x14ac:dyDescent="0.35">
      <c r="A49" s="1">
        <v>6</v>
      </c>
      <c r="B49" s="58" t="s">
        <v>421</v>
      </c>
      <c r="C49" s="10">
        <f>COUNTIFS('Chi tiết'!$N$2:$N$1000,"OK",'Chi tiết'!$T$2:$T$1000,"✓")</f>
        <v>3</v>
      </c>
      <c r="D49" s="61">
        <f t="shared" si="1"/>
        <v>2.8301886792452831E-2</v>
      </c>
      <c r="E49" s="1"/>
      <c r="F49" s="1"/>
      <c r="G49" s="1"/>
    </row>
    <row r="50" spans="1:7" ht="14.25" customHeight="1" x14ac:dyDescent="0.35">
      <c r="A50" s="1">
        <v>7</v>
      </c>
      <c r="B50" s="58" t="s">
        <v>422</v>
      </c>
      <c r="C50" s="10">
        <f>COUNTIFS('Chi tiết'!$N$2:$N$1000,"OK",'Chi tiết'!$U$2:$U$1000,"✓")</f>
        <v>1</v>
      </c>
      <c r="D50" s="61">
        <f t="shared" si="1"/>
        <v>9.433962264150943E-3</v>
      </c>
      <c r="E50" s="1"/>
      <c r="F50" s="1"/>
      <c r="G50" s="1"/>
    </row>
    <row r="51" spans="1:7" ht="14.25" customHeight="1" x14ac:dyDescent="0.35">
      <c r="A51" s="1">
        <v>8</v>
      </c>
      <c r="B51" s="58" t="s">
        <v>423</v>
      </c>
      <c r="C51" s="10">
        <f>COUNTIFS('Chi tiết'!$N$2:$N$1000,"OK",'Chi tiết'!$V$2:$V$1000,"✓")</f>
        <v>1</v>
      </c>
      <c r="D51" s="61">
        <f t="shared" si="1"/>
        <v>9.433962264150943E-3</v>
      </c>
      <c r="E51" s="1"/>
      <c r="F51" s="1"/>
      <c r="G51" s="1"/>
    </row>
    <row r="52" spans="1:7" ht="14.25" customHeight="1" x14ac:dyDescent="0.35">
      <c r="A52" s="1">
        <v>9</v>
      </c>
      <c r="B52" s="58" t="s">
        <v>424</v>
      </c>
      <c r="C52" s="10">
        <f>COUNTIFS('Chi tiết'!$N$2:$N$1000,"OK",'Chi tiết'!$W$2:$W$1000,"✓")</f>
        <v>1</v>
      </c>
      <c r="D52" s="61">
        <f t="shared" si="1"/>
        <v>9.433962264150943E-3</v>
      </c>
      <c r="E52" s="1"/>
      <c r="F52" s="1"/>
      <c r="G52" s="1"/>
    </row>
    <row r="53" spans="1:7" ht="14.25" customHeight="1" x14ac:dyDescent="0.35">
      <c r="A53" s="1">
        <v>10</v>
      </c>
      <c r="B53" s="58" t="s">
        <v>425</v>
      </c>
      <c r="C53" s="10">
        <f>COUNTIFS('Chi tiết'!$N$2:$N$1000,"OK",'Chi tiết'!$X$2:$X$1000,"✓")</f>
        <v>24</v>
      </c>
      <c r="D53" s="61">
        <f t="shared" si="1"/>
        <v>0.22641509433962265</v>
      </c>
      <c r="E53" s="1"/>
      <c r="F53" s="1"/>
      <c r="G53" s="1"/>
    </row>
    <row r="54" spans="1:7" ht="14.25" customHeight="1" x14ac:dyDescent="0.35">
      <c r="A54" s="1">
        <v>11</v>
      </c>
      <c r="B54" s="58" t="s">
        <v>426</v>
      </c>
      <c r="C54" s="10">
        <f>COUNTIFS('Chi tiết'!$N$2:$N$1000,"OK",'Chi tiết'!$Y$2:$Y$1000,"✓")</f>
        <v>12</v>
      </c>
      <c r="D54" s="61">
        <f t="shared" si="1"/>
        <v>0.11320754716981132</v>
      </c>
      <c r="E54" s="1"/>
      <c r="F54" s="1"/>
      <c r="G54" s="1"/>
    </row>
    <row r="55" spans="1:7" ht="14.25" customHeight="1" x14ac:dyDescent="0.35">
      <c r="A55" s="1">
        <v>12</v>
      </c>
      <c r="B55" s="58" t="s">
        <v>427</v>
      </c>
      <c r="C55" s="10">
        <f>COUNTIFS('Chi tiết'!$N$2:$N$1000,"OK",'Chi tiết'!$Z$2:$Z$1000,"✓")</f>
        <v>2</v>
      </c>
      <c r="D55" s="61">
        <f t="shared" si="1"/>
        <v>1.8867924528301886E-2</v>
      </c>
      <c r="E55" s="1"/>
      <c r="F55" s="1"/>
      <c r="G55" s="1"/>
    </row>
    <row r="56" spans="1:7" ht="14.25" customHeight="1" x14ac:dyDescent="0.35">
      <c r="A56" s="1">
        <v>13</v>
      </c>
      <c r="B56" s="58" t="s">
        <v>428</v>
      </c>
      <c r="C56" s="10">
        <f>COUNTIFS('Chi tiết'!$N$2:$N$1000,"OK",'Chi tiết'!$AA$2:$AA$1000,"✓")</f>
        <v>0</v>
      </c>
      <c r="D56" s="61">
        <f t="shared" si="1"/>
        <v>0</v>
      </c>
      <c r="E56" s="1"/>
      <c r="F56" s="1"/>
      <c r="G56" s="1"/>
    </row>
    <row r="57" spans="1:7" ht="14.25" customHeight="1" x14ac:dyDescent="0.35">
      <c r="A57" s="1">
        <v>14</v>
      </c>
      <c r="B57" s="58" t="s">
        <v>429</v>
      </c>
      <c r="C57" s="10">
        <f>COUNTIFS('Chi tiết'!$N$2:$N$1000,"OK",'Chi tiết'!$AB$2:$AB$1000,"✓")</f>
        <v>0</v>
      </c>
      <c r="D57" s="61">
        <f t="shared" si="1"/>
        <v>0</v>
      </c>
      <c r="E57" s="1"/>
      <c r="F57" s="1"/>
      <c r="G57" s="1"/>
    </row>
    <row r="58" spans="1:7" ht="14.25" customHeight="1" x14ac:dyDescent="0.35">
      <c r="A58" s="1"/>
      <c r="B58" s="1"/>
      <c r="C58" s="1"/>
      <c r="D58" s="1"/>
      <c r="E58" s="1"/>
      <c r="F58" s="1"/>
      <c r="G58" s="1"/>
    </row>
    <row r="59" spans="1:7" ht="14.25" customHeight="1" x14ac:dyDescent="0.35">
      <c r="A59" s="1"/>
      <c r="B59" s="42" t="s">
        <v>430</v>
      </c>
      <c r="C59" s="1"/>
      <c r="D59" s="1"/>
      <c r="E59" s="1"/>
      <c r="F59" s="1"/>
      <c r="G59" s="1"/>
    </row>
    <row r="60" spans="1:7" ht="14.25" customHeight="1" x14ac:dyDescent="0.35">
      <c r="A60" s="1"/>
      <c r="B60" s="5" t="s">
        <v>431</v>
      </c>
      <c r="C60" s="5" t="s">
        <v>395</v>
      </c>
      <c r="D60" s="5" t="s">
        <v>397</v>
      </c>
      <c r="E60" s="1"/>
      <c r="F60" s="1"/>
      <c r="G60" s="1"/>
    </row>
    <row r="61" spans="1:7" ht="14.25" customHeight="1" x14ac:dyDescent="0.35">
      <c r="A61" s="1">
        <v>1</v>
      </c>
      <c r="B61" s="58" t="s">
        <v>432</v>
      </c>
      <c r="C61" s="10">
        <f>COUNTIFS('Chi tiết'!$N$2:$N$1000,"OK",'Chi tiết'!$AC$2:$AC$1000,1)</f>
        <v>50</v>
      </c>
      <c r="D61" s="61">
        <f>IF($C$35=0,0,C61/$C$35)</f>
        <v>0.47169811320754718</v>
      </c>
      <c r="E61" s="1"/>
      <c r="F61" s="1"/>
      <c r="G61" s="1"/>
    </row>
    <row r="62" spans="1:7" ht="14.25" customHeight="1" x14ac:dyDescent="0.35">
      <c r="A62" s="1">
        <v>2</v>
      </c>
      <c r="B62" s="58" t="s">
        <v>433</v>
      </c>
      <c r="C62" s="10">
        <f>COUNTIFS('Chi tiết'!$N$2:$N$1000,"OK",'Chi tiết'!$AC$2:$AC$1000,2)</f>
        <v>43</v>
      </c>
      <c r="D62" s="61">
        <f>IF($C$35=0,0,C62/$C$35)</f>
        <v>0.40566037735849059</v>
      </c>
      <c r="E62" s="1"/>
      <c r="F62" s="1"/>
      <c r="G62" s="1"/>
    </row>
    <row r="63" spans="1:7" ht="14.25" customHeight="1" x14ac:dyDescent="0.35">
      <c r="A63" s="1">
        <v>3</v>
      </c>
      <c r="B63" s="58" t="s">
        <v>434</v>
      </c>
      <c r="C63" s="10">
        <f>COUNTIFS('Chi tiết'!$N$2:$N$1000,"OK",'Chi tiết'!$AC$2:$AC$1000,3)</f>
        <v>9</v>
      </c>
      <c r="D63" s="61">
        <f>IF($C$35=0,0,C63/$C$35)</f>
        <v>8.4905660377358486E-2</v>
      </c>
      <c r="E63" s="1"/>
      <c r="F63" s="1"/>
      <c r="G63" s="1"/>
    </row>
    <row r="64" spans="1:7" ht="14.25" customHeight="1" x14ac:dyDescent="0.35">
      <c r="A64" s="1">
        <v>4</v>
      </c>
      <c r="B64" s="58" t="s">
        <v>435</v>
      </c>
      <c r="C64" s="10">
        <f>COUNTIFS('Chi tiết'!$N$2:$N$1000,"OK",'Chi tiết'!$AC$2:$AC$1000,4)</f>
        <v>3</v>
      </c>
      <c r="D64" s="61">
        <f>IF($C$35=0,0,C64/$C$35)</f>
        <v>2.8301886792452831E-2</v>
      </c>
      <c r="E64" s="1"/>
      <c r="F64" s="1"/>
      <c r="G64" s="1"/>
    </row>
    <row r="65" spans="1:7" ht="14.25" customHeight="1" x14ac:dyDescent="0.35">
      <c r="A65" s="1">
        <v>5</v>
      </c>
      <c r="B65" s="58" t="s">
        <v>436</v>
      </c>
      <c r="C65" s="10">
        <f>COUNTIFS('Chi tiết'!$N$2:$N$1000,"OK",'Chi tiết'!$AC$2:$AC$1000,"&gt;=5")</f>
        <v>1</v>
      </c>
      <c r="D65" s="61">
        <f>IF($C$35=0,0,C65/$C$35)</f>
        <v>9.433962264150943E-3</v>
      </c>
      <c r="E65" s="1"/>
      <c r="F65" s="1"/>
      <c r="G65" s="1"/>
    </row>
    <row r="66" spans="1:7" ht="14.25" customHeight="1" x14ac:dyDescent="0.35">
      <c r="A66" s="1"/>
      <c r="B66" s="41" t="s">
        <v>437</v>
      </c>
      <c r="C66" s="41">
        <f>SUM(C61:C65)</f>
        <v>106</v>
      </c>
      <c r="D66" s="1"/>
      <c r="E66" s="1"/>
      <c r="F66" s="1"/>
      <c r="G66" s="1"/>
    </row>
    <row r="67" spans="1:7" ht="14.25" customHeight="1" x14ac:dyDescent="0.35">
      <c r="A67" s="1"/>
      <c r="B67" s="1"/>
      <c r="C67" s="1"/>
      <c r="D67" s="1"/>
      <c r="E67" s="1"/>
      <c r="F67" s="1"/>
      <c r="G67" s="1"/>
    </row>
    <row r="68" spans="1:7" ht="14.25" customHeight="1" x14ac:dyDescent="0.35">
      <c r="A68" s="1"/>
      <c r="B68" s="42" t="s">
        <v>438</v>
      </c>
      <c r="C68" s="1"/>
      <c r="D68" s="1"/>
      <c r="E68" s="1"/>
      <c r="F68" s="1"/>
      <c r="G68" s="1"/>
    </row>
    <row r="69" spans="1:7" ht="14.25" customHeight="1" x14ac:dyDescent="0.35">
      <c r="A69" s="1"/>
      <c r="B69" s="5" t="s">
        <v>439</v>
      </c>
      <c r="C69" s="5" t="s">
        <v>395</v>
      </c>
      <c r="D69" s="5" t="s">
        <v>397</v>
      </c>
      <c r="E69" s="5" t="s">
        <v>440</v>
      </c>
      <c r="F69" s="1"/>
      <c r="G69" s="1"/>
    </row>
    <row r="70" spans="1:7" ht="14.25" customHeight="1" x14ac:dyDescent="0.35">
      <c r="A70" s="1">
        <v>1</v>
      </c>
      <c r="B70" s="58" t="s">
        <v>416</v>
      </c>
      <c r="C70" s="10">
        <f>COUNTIFS('Chi tiết'!$N$2:$N$1000,"OK",'Chi tiết'!$O$2:$O$1000,"✓",'Chi tiết'!$AC$2:$AC$1000,1)</f>
        <v>49</v>
      </c>
      <c r="D70" s="61">
        <f t="shared" ref="D70:D86" si="2">IF($C$35=0,0,C70/$C$35)</f>
        <v>0.46226415094339623</v>
      </c>
      <c r="E70" s="58" t="s">
        <v>441</v>
      </c>
      <c r="F70" s="1"/>
      <c r="G70" s="1"/>
    </row>
    <row r="71" spans="1:7" ht="14.25" customHeight="1" x14ac:dyDescent="0.35">
      <c r="A71" s="1">
        <v>2</v>
      </c>
      <c r="B71" s="58" t="s">
        <v>442</v>
      </c>
      <c r="C71" s="10">
        <f>COUNTIFS('Chi tiết'!$N$2:$N$1000,"OK",'Chi tiết'!$O$2:$O$1000,"✓",'Chi tiết'!$X$2:$X$1000,"✓",'Chi tiết'!$AC$2:$AC$1000,2)</f>
        <v>17</v>
      </c>
      <c r="D71" s="61">
        <f t="shared" si="2"/>
        <v>0.16037735849056603</v>
      </c>
      <c r="E71" s="58" t="s">
        <v>443</v>
      </c>
      <c r="F71" s="1"/>
      <c r="G71" s="1"/>
    </row>
    <row r="72" spans="1:7" ht="14.25" customHeight="1" x14ac:dyDescent="0.35">
      <c r="A72" s="1">
        <v>3</v>
      </c>
      <c r="B72" s="58" t="s">
        <v>444</v>
      </c>
      <c r="C72" s="10">
        <f>COUNTIFS('Chi tiết'!$N$2:$N$1000,"OK",'Chi tiết'!$O$2:$O$1000,"✓",'Chi tiết'!$P$2:$P$1000,"✓",'Chi tiết'!$AC$2:$AC$1000,2)</f>
        <v>15</v>
      </c>
      <c r="D72" s="61">
        <f t="shared" si="2"/>
        <v>0.14150943396226415</v>
      </c>
      <c r="E72" s="58" t="s">
        <v>445</v>
      </c>
      <c r="F72" s="1"/>
      <c r="G72" s="1"/>
    </row>
    <row r="73" spans="1:7" ht="14.25" customHeight="1" x14ac:dyDescent="0.35">
      <c r="A73" s="1">
        <v>4</v>
      </c>
      <c r="B73" s="58" t="s">
        <v>446</v>
      </c>
      <c r="C73" s="10">
        <f>COUNTIFS('Chi tiết'!$N$2:$N$1000,"OK",'Chi tiết'!$O$2:$O$1000,"✓",'Chi tiết'!$Y$2:$Y$1000,"✓",'Chi tiết'!$AC$2:$AC$1000,2)</f>
        <v>8</v>
      </c>
      <c r="D73" s="61">
        <f t="shared" si="2"/>
        <v>7.5471698113207544E-2</v>
      </c>
      <c r="E73" s="58" t="s">
        <v>447</v>
      </c>
      <c r="F73" s="1"/>
      <c r="G73" s="1"/>
    </row>
    <row r="74" spans="1:7" ht="14.25" customHeight="1" x14ac:dyDescent="0.35">
      <c r="A74" s="1">
        <v>5</v>
      </c>
      <c r="B74" s="58" t="s">
        <v>448</v>
      </c>
      <c r="C74" s="10">
        <f>COUNTIFS('Chi tiết'!$N$2:$N$1000,"OK",'Chi tiết'!$O$2:$O$1000,"✓",'Chi tiết'!$P$2:$P$1000,"✓",'Chi tiết'!$X$2:$X$1000,"✓",'Chi tiết'!$AC$2:$AC$1000,3)</f>
        <v>3</v>
      </c>
      <c r="D74" s="61">
        <f t="shared" si="2"/>
        <v>2.8301886792452831E-2</v>
      </c>
      <c r="E74" s="58" t="s">
        <v>449</v>
      </c>
      <c r="F74" s="1"/>
      <c r="G74" s="1"/>
    </row>
    <row r="75" spans="1:7" ht="14.25" customHeight="1" x14ac:dyDescent="0.35">
      <c r="A75" s="1">
        <v>6</v>
      </c>
      <c r="B75" s="58" t="s">
        <v>450</v>
      </c>
      <c r="C75" s="10">
        <f>COUNTIFS('Chi tiết'!$N$2:$N$1000,"OK",'Chi tiết'!$O$2:$O$1000,"✓",'Chi tiết'!$P$2:$P$1000,"✓",'Chi tiết'!$Y$2:$Y$1000,"✓",'Chi tiết'!$AC$2:$AC$1000,3)</f>
        <v>2</v>
      </c>
      <c r="D75" s="61">
        <f t="shared" si="2"/>
        <v>1.8867924528301886E-2</v>
      </c>
      <c r="E75" s="58" t="s">
        <v>451</v>
      </c>
      <c r="F75" s="1"/>
      <c r="G75" s="1"/>
    </row>
    <row r="76" spans="1:7" ht="14.25" customHeight="1" x14ac:dyDescent="0.35">
      <c r="A76" s="1">
        <v>7</v>
      </c>
      <c r="B76" s="58" t="s">
        <v>452</v>
      </c>
      <c r="C76" s="10">
        <f>COUNTIFS('Chi tiết'!$N$2:$N$1000,"OK",'Chi tiết'!$O$2:$O$1000,"✓",'Chi tiết'!$P$2:$P$1000,"✓",'Chi tiết'!$T$2:$T$1000,"✓",'Chi tiết'!$X$2:$X$1000,"✓",'Chi tiết'!$AC$2:$AC$1000,4)</f>
        <v>2</v>
      </c>
      <c r="D76" s="61">
        <f t="shared" si="2"/>
        <v>1.8867924528301886E-2</v>
      </c>
      <c r="E76" s="58" t="s">
        <v>453</v>
      </c>
      <c r="F76" s="1"/>
      <c r="G76" s="1"/>
    </row>
    <row r="77" spans="1:7" ht="14.25" customHeight="1" x14ac:dyDescent="0.35">
      <c r="A77" s="1">
        <v>8</v>
      </c>
      <c r="B77" s="58" t="s">
        <v>424</v>
      </c>
      <c r="C77" s="10">
        <f>COUNTIFS('Chi tiết'!$N$2:$N$1000,"OK",'Chi tiết'!$W$2:$W$1000,"✓",'Chi tiết'!$AC$2:$AC$1000,1)</f>
        <v>1</v>
      </c>
      <c r="D77" s="61">
        <f t="shared" si="2"/>
        <v>9.433962264150943E-3</v>
      </c>
      <c r="E77" s="58" t="s">
        <v>159</v>
      </c>
      <c r="F77" s="1"/>
      <c r="G77" s="1"/>
    </row>
    <row r="78" spans="1:7" ht="14.25" customHeight="1" x14ac:dyDescent="0.35">
      <c r="A78" s="1">
        <v>9</v>
      </c>
      <c r="B78" s="58" t="s">
        <v>454</v>
      </c>
      <c r="C78" s="10">
        <f>COUNTIFS('Chi tiết'!$N$2:$N$1000,"OK",'Chi tiết'!$O$2:$O$1000,"✓",'Chi tiết'!$Z$2:$Z$1000,"✓",'Chi tiết'!$AC$2:$AC$1000,2)</f>
        <v>1</v>
      </c>
      <c r="D78" s="61">
        <f t="shared" si="2"/>
        <v>9.433962264150943E-3</v>
      </c>
      <c r="E78" s="58" t="s">
        <v>352</v>
      </c>
      <c r="F78" s="1"/>
      <c r="G78" s="1"/>
    </row>
    <row r="79" spans="1:7" ht="14.25" customHeight="1" x14ac:dyDescent="0.35">
      <c r="A79" s="1">
        <v>10</v>
      </c>
      <c r="B79" s="58" t="s">
        <v>455</v>
      </c>
      <c r="C79" s="10">
        <f>COUNTIFS('Chi tiết'!$N$2:$N$1000,"OK",'Chi tiết'!$O$2:$O$1000,"✓",'Chi tiết'!$Q$2:$Q$1000,"✓",'Chi tiết'!$AC$2:$AC$1000,2)</f>
        <v>1</v>
      </c>
      <c r="D79" s="61">
        <f t="shared" si="2"/>
        <v>9.433962264150943E-3</v>
      </c>
      <c r="E79" s="58" t="s">
        <v>78</v>
      </c>
      <c r="F79" s="1"/>
      <c r="G79" s="1"/>
    </row>
    <row r="80" spans="1:7" ht="14.25" customHeight="1" x14ac:dyDescent="0.35">
      <c r="A80" s="1">
        <v>11</v>
      </c>
      <c r="B80" s="58" t="s">
        <v>456</v>
      </c>
      <c r="C80" s="10">
        <f>COUNTIFS('Chi tiết'!$N$2:$N$1000,"OK",'Chi tiết'!$O$2:$O$1000,"✓",'Chi tiết'!$T$2:$T$1000,"✓",'Chi tiết'!$AC$2:$AC$1000,2)</f>
        <v>1</v>
      </c>
      <c r="D80" s="61">
        <f t="shared" si="2"/>
        <v>9.433962264150943E-3</v>
      </c>
      <c r="E80" s="58" t="s">
        <v>211</v>
      </c>
      <c r="F80" s="1"/>
      <c r="G80" s="1"/>
    </row>
    <row r="81" spans="1:7" ht="14.25" customHeight="1" x14ac:dyDescent="0.35">
      <c r="A81" s="1">
        <v>12</v>
      </c>
      <c r="B81" s="58" t="s">
        <v>457</v>
      </c>
      <c r="C81" s="10">
        <f>COUNTIFS('Chi tiết'!$N$2:$N$1000,"OK",'Chi tiết'!$O$2:$O$1000,"✓",'Chi tiết'!$P$2:$P$1000,"✓",'Chi tiết'!$Z$2:$Z$1000,"✓",'Chi tiết'!$AC$2:$AC$1000,3)</f>
        <v>1</v>
      </c>
      <c r="D81" s="61">
        <f t="shared" si="2"/>
        <v>9.433962264150943E-3</v>
      </c>
      <c r="E81" s="58" t="s">
        <v>104</v>
      </c>
      <c r="F81" s="1"/>
      <c r="G81" s="1"/>
    </row>
    <row r="82" spans="1:7" ht="14.25" customHeight="1" x14ac:dyDescent="0.35">
      <c r="A82" s="1">
        <v>13</v>
      </c>
      <c r="B82" s="58" t="s">
        <v>458</v>
      </c>
      <c r="C82" s="10">
        <f>COUNTIFS('Chi tiết'!$N$2:$N$1000,"OK",'Chi tiết'!$O$2:$O$1000,"✓",'Chi tiết'!$P$2:$P$1000,"✓",'Chi tiết'!$S$2:$S$1000,"✓",'Chi tiết'!$AC$2:$AC$1000,3)</f>
        <v>1</v>
      </c>
      <c r="D82" s="61">
        <f t="shared" si="2"/>
        <v>9.433962264150943E-3</v>
      </c>
      <c r="E82" s="58" t="s">
        <v>110</v>
      </c>
      <c r="F82" s="1"/>
      <c r="G82" s="1"/>
    </row>
    <row r="83" spans="1:7" ht="14.25" customHeight="1" x14ac:dyDescent="0.35">
      <c r="A83" s="1">
        <v>14</v>
      </c>
      <c r="B83" s="58" t="s">
        <v>459</v>
      </c>
      <c r="C83" s="10">
        <f>COUNTIFS('Chi tiết'!$N$2:$N$1000,"OK",'Chi tiết'!$O$2:$O$1000,"✓",'Chi tiết'!$V$2:$V$1000,"✓",'Chi tiết'!$X$2:$X$1000,"✓",'Chi tiết'!$AC$2:$AC$1000,3)</f>
        <v>1</v>
      </c>
      <c r="D83" s="61">
        <f t="shared" si="2"/>
        <v>9.433962264150943E-3</v>
      </c>
      <c r="E83" s="58" t="s">
        <v>31</v>
      </c>
      <c r="F83" s="1"/>
      <c r="G83" s="1"/>
    </row>
    <row r="84" spans="1:7" ht="14.25" customHeight="1" x14ac:dyDescent="0.35">
      <c r="A84" s="1">
        <v>15</v>
      </c>
      <c r="B84" s="58" t="s">
        <v>460</v>
      </c>
      <c r="C84" s="10">
        <f>COUNTIFS('Chi tiết'!$N$2:$N$1000,"OK",'Chi tiết'!$O$2:$O$1000,"✓",'Chi tiết'!$S$2:$S$1000,"✓",'Chi tiết'!$Y$2:$Y$1000,"✓",'Chi tiết'!$AC$2:$AC$1000,3)</f>
        <v>1</v>
      </c>
      <c r="D84" s="61">
        <f t="shared" si="2"/>
        <v>9.433962264150943E-3</v>
      </c>
      <c r="E84" s="58" t="s">
        <v>73</v>
      </c>
      <c r="F84" s="1"/>
      <c r="G84" s="1"/>
    </row>
    <row r="85" spans="1:7" ht="14.25" customHeight="1" x14ac:dyDescent="0.35">
      <c r="A85" s="1">
        <v>16</v>
      </c>
      <c r="B85" s="58" t="s">
        <v>461</v>
      </c>
      <c r="C85" s="10">
        <f>COUNTIFS('Chi tiết'!$N$2:$N$1000,"OK",'Chi tiết'!$O$2:$O$1000,"✓",'Chi tiết'!$R$2:$R$1000,"✓",'Chi tiết'!$S$2:$S$1000,"✓",'Chi tiết'!$Y$2:$Y$1000,"✓",'Chi tiết'!$AC$2:$AC$1000,4)</f>
        <v>1</v>
      </c>
      <c r="D85" s="61">
        <f t="shared" si="2"/>
        <v>9.433962264150943E-3</v>
      </c>
      <c r="E85" s="58" t="s">
        <v>75</v>
      </c>
      <c r="F85" s="1"/>
      <c r="G85" s="1"/>
    </row>
    <row r="86" spans="1:7" ht="14.25" customHeight="1" x14ac:dyDescent="0.35">
      <c r="A86" s="1">
        <v>17</v>
      </c>
      <c r="B86" s="58" t="s">
        <v>462</v>
      </c>
      <c r="C86" s="10">
        <f>COUNTIFS('Chi tiết'!$N$2:$N$1000,"OK",'Chi tiết'!$P$2:$P$1000,"✓",'Chi tiết'!$R$2:$R$1000,"✓",'Chi tiết'!$S$2:$S$1000,"✓",'Chi tiết'!$U$2:$U$1000,"✓",'Chi tiết'!$X$2:$X$1000,"✓",'Chi tiết'!$AC$2:$AC$1000,5)</f>
        <v>1</v>
      </c>
      <c r="D86" s="61">
        <f t="shared" si="2"/>
        <v>9.433962264150943E-3</v>
      </c>
      <c r="E86" s="58" t="s">
        <v>59</v>
      </c>
      <c r="F86" s="1"/>
      <c r="G86" s="1"/>
    </row>
    <row r="87" spans="1:7" ht="14.25" customHeight="1" x14ac:dyDescent="0.35">
      <c r="A87" s="1"/>
      <c r="B87" s="41" t="s">
        <v>463</v>
      </c>
      <c r="C87" s="41">
        <f>SUM(C70:C86)</f>
        <v>106</v>
      </c>
      <c r="D87" s="1"/>
      <c r="E87" s="1"/>
      <c r="F87" s="1"/>
      <c r="G87" s="1"/>
    </row>
    <row r="88" spans="1:7" ht="14.25" customHeight="1" x14ac:dyDescent="0.35">
      <c r="A88" s="1"/>
      <c r="B88" s="1"/>
      <c r="C88" s="1"/>
      <c r="D88" s="1"/>
      <c r="E88" s="1"/>
      <c r="F88" s="1"/>
      <c r="G88" s="1"/>
    </row>
    <row r="89" spans="1:7" ht="14.25" customHeight="1" x14ac:dyDescent="0.35">
      <c r="A89" s="1"/>
      <c r="B89" s="42" t="s">
        <v>464</v>
      </c>
      <c r="C89" s="1"/>
      <c r="D89" s="1"/>
      <c r="E89" s="1"/>
      <c r="F89" s="1"/>
      <c r="G89" s="1"/>
    </row>
    <row r="90" spans="1:7" ht="14.25" customHeight="1" x14ac:dyDescent="0.35">
      <c r="A90" s="1"/>
      <c r="B90" s="5" t="s">
        <v>465</v>
      </c>
      <c r="C90" s="5" t="s">
        <v>395</v>
      </c>
      <c r="D90" s="5" t="s">
        <v>466</v>
      </c>
      <c r="E90" s="1"/>
      <c r="F90" s="1"/>
      <c r="G90" s="1"/>
    </row>
    <row r="91" spans="1:7" ht="14.25" customHeight="1" x14ac:dyDescent="0.35">
      <c r="A91" s="1">
        <v>1</v>
      </c>
      <c r="B91" s="58" t="s">
        <v>467</v>
      </c>
      <c r="C91" s="10">
        <f>COUNTIFS('Chi tiết'!$N$2:$N$1000,"OK",'Chi tiết'!$X$2:$X$1000,"&lt;&gt;✓",'Chi tiết'!$Y$2:$Y$1000,"&lt;&gt;✓",'Chi tiết'!$Z$2:$Z$1000,"&lt;&gt;✓",'Chi tiết'!$AA$2:$AA$1000,"&lt;&gt;✓")</f>
        <v>68</v>
      </c>
      <c r="D91" s="61">
        <f>IF($C$40=0,0,C91/$C$40)</f>
        <v>0.60176991150442483</v>
      </c>
      <c r="E91" s="1"/>
      <c r="F91" s="1"/>
      <c r="G91" s="1"/>
    </row>
    <row r="92" spans="1:7" ht="14.25" customHeight="1" x14ac:dyDescent="0.35">
      <c r="A92" s="1">
        <v>2</v>
      </c>
      <c r="B92" s="58" t="s">
        <v>468</v>
      </c>
      <c r="C92" s="10">
        <f>COUNTIFS('Chi tiết'!$N$2:$N$1000,"OK",'Chi tiết'!$X$2:$X$1000,"✓")</f>
        <v>24</v>
      </c>
      <c r="D92" s="61">
        <f>IF($C$40=0,0,C92/$C$40)</f>
        <v>0.21238938053097345</v>
      </c>
      <c r="E92" s="1"/>
      <c r="F92" s="1"/>
      <c r="G92" s="1"/>
    </row>
    <row r="93" spans="1:7" ht="14.25" customHeight="1" x14ac:dyDescent="0.35">
      <c r="A93" s="1">
        <v>3</v>
      </c>
      <c r="B93" s="58" t="s">
        <v>469</v>
      </c>
      <c r="C93" s="10">
        <f>COUNTIFS('Chi tiết'!$N$2:$N$1000,"OK",'Chi tiết'!$Y$2:$Y$1000,"✓")</f>
        <v>12</v>
      </c>
      <c r="D93" s="61">
        <f>IF($C$40=0,0,C93/$C$40)</f>
        <v>0.10619469026548672</v>
      </c>
      <c r="E93" s="1"/>
      <c r="F93" s="1"/>
      <c r="G93" s="1"/>
    </row>
    <row r="94" spans="1:7" ht="14.25" customHeight="1" x14ac:dyDescent="0.35">
      <c r="A94" s="1">
        <v>4</v>
      </c>
      <c r="B94" s="58" t="s">
        <v>470</v>
      </c>
      <c r="C94" s="10">
        <f>COUNTIFS('Chi tiết'!$N$2:$N$1000,"OK",'Chi tiết'!$Z$2:$Z$1000,"✓")</f>
        <v>2</v>
      </c>
      <c r="D94" s="61">
        <f>IF($C$40=0,0,C94/$C$40)</f>
        <v>1.7699115044247787E-2</v>
      </c>
      <c r="E94" s="1"/>
      <c r="F94" s="1"/>
      <c r="G94" s="1"/>
    </row>
    <row r="95" spans="1:7" ht="14.25" customHeight="1" x14ac:dyDescent="0.35">
      <c r="A95" s="1">
        <v>5</v>
      </c>
      <c r="B95" s="58" t="s">
        <v>471</v>
      </c>
      <c r="C95" s="10">
        <f>COUNTIF('Chi tiết'!$N$2:$N$1000,"Cần đăng nhập")</f>
        <v>4</v>
      </c>
      <c r="D95" s="61">
        <f>IF($C$40=0,0,C95/$C$40)</f>
        <v>3.5398230088495575E-2</v>
      </c>
      <c r="E95" s="1"/>
      <c r="F95" s="1"/>
      <c r="G95" s="1"/>
    </row>
    <row r="96" spans="1:7" ht="14.25" customHeight="1" x14ac:dyDescent="0.35">
      <c r="A96" s="1"/>
      <c r="B96" s="1"/>
      <c r="C96" s="1"/>
      <c r="D96" s="1"/>
      <c r="E96" s="1"/>
      <c r="F96" s="1"/>
      <c r="G96" s="1"/>
    </row>
    <row r="97" spans="1:7" ht="14.25" customHeight="1" x14ac:dyDescent="0.35">
      <c r="A97" s="1"/>
      <c r="B97" s="1" t="s">
        <v>472</v>
      </c>
      <c r="C97" s="1"/>
      <c r="D97" s="1"/>
      <c r="E97" s="1"/>
      <c r="F97" s="1"/>
      <c r="G97" s="1"/>
    </row>
    <row r="98" spans="1:7" ht="14.25" customHeight="1" x14ac:dyDescent="0.35">
      <c r="A98" s="1"/>
      <c r="B98" s="1"/>
      <c r="C98" s="1"/>
      <c r="D98" s="1"/>
      <c r="E98" s="1"/>
      <c r="F98" s="1"/>
      <c r="G98" s="1"/>
    </row>
    <row r="99" spans="1:7" ht="14.25" customHeight="1" x14ac:dyDescent="0.35">
      <c r="A99" s="1"/>
      <c r="B99" s="1"/>
      <c r="C99" s="1"/>
      <c r="D99" s="1"/>
      <c r="E99" s="1"/>
      <c r="F99" s="1"/>
      <c r="G99" s="1"/>
    </row>
    <row r="100" spans="1:7" ht="14.25" customHeight="1" x14ac:dyDescent="0.35">
      <c r="A100" s="1"/>
      <c r="B100" s="42" t="s">
        <v>473</v>
      </c>
      <c r="C100" s="1"/>
      <c r="D100" s="1"/>
      <c r="E100" s="1"/>
      <c r="F100" s="1"/>
      <c r="G100" s="1"/>
    </row>
    <row r="101" spans="1:7" ht="14.25" customHeight="1" x14ac:dyDescent="0.35">
      <c r="A101" s="1"/>
      <c r="B101" s="5" t="s">
        <v>406</v>
      </c>
      <c r="C101" s="5" t="s">
        <v>474</v>
      </c>
      <c r="D101" s="5" t="s">
        <v>475</v>
      </c>
      <c r="E101" s="5" t="s">
        <v>476</v>
      </c>
      <c r="F101" s="1"/>
      <c r="G101" s="1"/>
    </row>
    <row r="102" spans="1:7" ht="14.25" customHeight="1" x14ac:dyDescent="0.35">
      <c r="A102" s="1">
        <v>1</v>
      </c>
      <c r="B102" s="89" t="s">
        <v>15</v>
      </c>
      <c r="C102" s="89">
        <f>COUNTIF('WBS2'!$I$2:$I$25,"Hoàn thành")</f>
        <v>15</v>
      </c>
      <c r="D102" s="89">
        <f>COUNTIF('WBS2'!$I$27:$I$162,"Hoàn thành")</f>
        <v>29</v>
      </c>
      <c r="E102" s="89">
        <f>COUNTIF('WBS2'!$I$163:$I$298,"Hoàn thành")</f>
        <v>32</v>
      </c>
      <c r="F102" s="1"/>
      <c r="G102" s="1"/>
    </row>
    <row r="103" spans="1:7" ht="14.25" customHeight="1" x14ac:dyDescent="0.35">
      <c r="A103">
        <v>2</v>
      </c>
      <c r="B103" s="90" t="s">
        <v>477</v>
      </c>
      <c r="C103" s="90">
        <f>COUNTIF('WBS2'!$I$2:$I$25,"Sẵn sàng")</f>
        <v>0</v>
      </c>
      <c r="D103" s="90">
        <f>COUNTIF('WBS2'!$I$27:$I$162,"Sẵn sàng")</f>
        <v>46</v>
      </c>
      <c r="E103" s="90">
        <f>COUNTIF('WBS2'!$I$163:$I$298,"Sẵn sàng")</f>
        <v>44</v>
      </c>
    </row>
    <row r="104" spans="1:7" ht="14.25" customHeight="1" x14ac:dyDescent="0.35">
      <c r="A104">
        <v>3</v>
      </c>
      <c r="B104" s="90" t="s">
        <v>28</v>
      </c>
      <c r="C104" s="90">
        <f>COUNTIF('WBS2'!$I$2:$I$25,"Đang training")</f>
        <v>9</v>
      </c>
      <c r="D104" s="90">
        <f>COUNTIF('WBS2'!$I$27:$I$162,"Đang training")</f>
        <v>0</v>
      </c>
      <c r="E104" s="90">
        <f>COUNTIF('WBS2'!$I$163:$I$298,"Đang training")</f>
        <v>0</v>
      </c>
    </row>
    <row r="105" spans="1:7" ht="14.25" customHeight="1" x14ac:dyDescent="0.35">
      <c r="A105">
        <v>4</v>
      </c>
      <c r="B105" s="90" t="s">
        <v>71</v>
      </c>
      <c r="C105" s="90">
        <f>COUNTIF('WBS2'!$I$2:$I$25,"Chưa hoàn thành")</f>
        <v>0</v>
      </c>
      <c r="D105" s="90">
        <f>COUNTIF('WBS2'!$I$27:$I$162,"Chưa hoàn thành")</f>
        <v>61</v>
      </c>
      <c r="E105" s="90">
        <f>COUNTIF('WBS2'!$I$163:$I$298,"Chưa hoàn thành")</f>
        <v>60</v>
      </c>
    </row>
    <row r="106" spans="1:7" ht="14.25" customHeight="1" x14ac:dyDescent="0.35">
      <c r="A106">
        <v>5</v>
      </c>
      <c r="B106" s="90" t="s">
        <v>478</v>
      </c>
      <c r="C106" s="90">
        <f>COUNTIFS('WBS2'!$I$2:$I$25,"Chưa hoàn thành",'WBS2'!$H$2:$H$25,"&gt;="&amp;DATE(2026,11,1),'WBS2'!$H$2:$H$25,"&lt;="&amp;DATE(2026,11,30))</f>
        <v>0</v>
      </c>
      <c r="D106" s="90">
        <f>COUNTIFS('WBS2'!$I$27:$I$162,"Chưa hoàn thành",'WBS2'!$H$27:$H$162,"&gt;="&amp;DATE(2026,11,1),'WBS2'!$H$27:$H$162,"&lt;="&amp;DATE(2026,11,30))</f>
        <v>0</v>
      </c>
      <c r="E106" s="90">
        <f>COUNTIFS('WBS2'!$I$163:$I$298,"Chưa hoàn thành",'WBS2'!$H$163:$H$298,"&gt;="&amp;DATE(2026,11,1),'WBS2'!$H$163:$H$298,"&lt;="&amp;DATE(2026,11,30))</f>
        <v>0</v>
      </c>
    </row>
    <row r="107" spans="1:7" ht="14.25" customHeight="1" x14ac:dyDescent="0.35">
      <c r="A107">
        <v>6</v>
      </c>
      <c r="B107" s="90" t="s">
        <v>479</v>
      </c>
      <c r="C107" s="90">
        <f>COUNTIFS('WBS2'!$I$2:$I$25,"Chưa hoàn thành",'WBS2'!$H$2:$H$25,"&gt;="&amp;DATE(2026,12,1),'WBS2'!$H$2:$H$25,"&lt;="&amp;DATE(2026,12,31))</f>
        <v>0</v>
      </c>
      <c r="D107" s="90">
        <f>COUNTIFS('WBS2'!$I$27:$I$162,"Chưa hoàn thành",'WBS2'!$H$27:$H$162,"&gt;="&amp;DATE(2026,12,1),'WBS2'!$H$27:$H$162,"&lt;="&amp;DATE(2026,12,31))</f>
        <v>0</v>
      </c>
      <c r="E107" s="90">
        <f>COUNTIFS('WBS2'!$I$163:$I$298,"Chưa hoàn thành",'WBS2'!$H$163:$H$298,"&gt;="&amp;DATE(2026,12,1),'WBS2'!$H$163:$H$298,"&lt;="&amp;DATE(2026,12,31))</f>
        <v>0</v>
      </c>
    </row>
    <row r="108" spans="1:7" ht="14.25" customHeight="1" x14ac:dyDescent="0.35">
      <c r="B108" s="91" t="s">
        <v>480</v>
      </c>
      <c r="C108" s="91">
        <f>COUNTA('WBS2'!$E$2:$E$25)</f>
        <v>24</v>
      </c>
      <c r="D108" s="91">
        <f>COUNTA('WBS2'!$E$27:$E$162)</f>
        <v>136</v>
      </c>
      <c r="E108" s="91">
        <f>COUNTA('WBS2'!$E$163:$E$298)</f>
        <v>136</v>
      </c>
    </row>
    <row r="109" spans="1:7" ht="14.25" customHeight="1" x14ac:dyDescent="0.35"/>
    <row r="110" spans="1:7" ht="14.25" customHeight="1" x14ac:dyDescent="0.35">
      <c r="B110" t="s">
        <v>481</v>
      </c>
    </row>
    <row r="111" spans="1:7" ht="14.25" customHeight="1" x14ac:dyDescent="0.35"/>
    <row r="112" spans="1:7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1000"/>
  <sheetViews>
    <sheetView topLeftCell="H1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8.7265625" customWidth="1"/>
    <col min="2" max="2" width="65.81640625" customWidth="1"/>
    <col min="3" max="3" width="17.453125" customWidth="1"/>
    <col min="4" max="4" width="19.7265625" hidden="1" customWidth="1"/>
    <col min="5" max="5" width="28.81640625" customWidth="1"/>
    <col min="6" max="6" width="32.453125" customWidth="1"/>
    <col min="7" max="7" width="77" customWidth="1"/>
    <col min="8" max="8" width="46" customWidth="1"/>
    <col min="9" max="9" width="24.54296875" customWidth="1"/>
    <col min="10" max="10" width="8.7265625" hidden="1" customWidth="1"/>
    <col min="11" max="11" width="20" customWidth="1"/>
    <col min="12" max="12" width="37" customWidth="1"/>
    <col min="13" max="13" width="27.453125" customWidth="1"/>
    <col min="14" max="14" width="19.81640625" customWidth="1"/>
    <col min="15" max="15" width="9" customWidth="1"/>
    <col min="16" max="16" width="16.81640625" customWidth="1"/>
    <col min="17" max="17" width="17.7265625" customWidth="1"/>
    <col min="18" max="18" width="15.453125" customWidth="1"/>
    <col min="19" max="22" width="9" customWidth="1"/>
    <col min="23" max="23" width="13.54296875" customWidth="1"/>
    <col min="24" max="24" width="13.453125" customWidth="1"/>
    <col min="25" max="25" width="15.81640625" customWidth="1"/>
    <col min="26" max="26" width="21.54296875" customWidth="1"/>
    <col min="27" max="27" width="7.08984375" customWidth="1"/>
    <col min="28" max="28" width="11" customWidth="1"/>
    <col min="29" max="29" width="14" customWidth="1"/>
    <col min="30" max="33" width="40" customWidth="1"/>
    <col min="36" max="37" width="18" customWidth="1"/>
    <col min="38" max="38" width="14" customWidth="1"/>
    <col min="39" max="39" width="45" customWidth="1"/>
    <col min="40" max="40" width="18" customWidth="1"/>
    <col min="41" max="41" width="14" customWidth="1"/>
    <col min="42" max="42" width="45" customWidth="1"/>
  </cols>
  <sheetData>
    <row r="1" spans="1:42" ht="45" customHeight="1" x14ac:dyDescent="0.35">
      <c r="A1" s="6" t="s">
        <v>482</v>
      </c>
      <c r="B1" s="6" t="s">
        <v>483</v>
      </c>
      <c r="C1" s="7" t="s">
        <v>484</v>
      </c>
      <c r="D1" s="6" t="s">
        <v>485</v>
      </c>
      <c r="E1" s="6" t="s">
        <v>486</v>
      </c>
      <c r="F1" s="6" t="s">
        <v>487</v>
      </c>
      <c r="G1" s="6" t="s">
        <v>488</v>
      </c>
      <c r="H1" s="7" t="s">
        <v>489</v>
      </c>
      <c r="I1" s="7" t="s">
        <v>490</v>
      </c>
      <c r="J1" s="11"/>
      <c r="K1" s="6" t="s">
        <v>491</v>
      </c>
      <c r="L1" s="6" t="s">
        <v>492</v>
      </c>
      <c r="M1" s="6"/>
      <c r="N1" s="7" t="s">
        <v>493</v>
      </c>
      <c r="O1" s="7" t="s">
        <v>416</v>
      </c>
      <c r="P1" s="7" t="s">
        <v>417</v>
      </c>
      <c r="Q1" s="7" t="s">
        <v>418</v>
      </c>
      <c r="R1" s="7" t="s">
        <v>419</v>
      </c>
      <c r="S1" s="7" t="s">
        <v>420</v>
      </c>
      <c r="T1" s="7" t="s">
        <v>421</v>
      </c>
      <c r="U1" s="7" t="s">
        <v>422</v>
      </c>
      <c r="V1" s="7" t="s">
        <v>423</v>
      </c>
      <c r="W1" s="7" t="s">
        <v>424</v>
      </c>
      <c r="X1" s="7" t="s">
        <v>425</v>
      </c>
      <c r="Y1" s="7" t="s">
        <v>426</v>
      </c>
      <c r="Z1" s="7" t="s">
        <v>427</v>
      </c>
      <c r="AA1" s="7" t="s">
        <v>428</v>
      </c>
      <c r="AB1" s="7" t="s">
        <v>429</v>
      </c>
      <c r="AC1" s="7" t="s">
        <v>494</v>
      </c>
      <c r="AD1" s="7" t="s">
        <v>495</v>
      </c>
      <c r="AE1" s="7" t="s">
        <v>496</v>
      </c>
      <c r="AF1" s="7" t="s">
        <v>497</v>
      </c>
      <c r="AG1" s="7" t="s">
        <v>498</v>
      </c>
      <c r="AH1" s="1"/>
      <c r="AI1" s="1"/>
      <c r="AJ1" s="7" t="s">
        <v>499</v>
      </c>
      <c r="AK1" s="7" t="s">
        <v>500</v>
      </c>
      <c r="AL1" s="7" t="s">
        <v>501</v>
      </c>
      <c r="AM1" s="7" t="s">
        <v>502</v>
      </c>
      <c r="AN1" s="7" t="s">
        <v>503</v>
      </c>
      <c r="AO1" s="7" t="s">
        <v>504</v>
      </c>
      <c r="AP1" s="7" t="s">
        <v>505</v>
      </c>
    </row>
    <row r="2" spans="1:42" ht="14.25" hidden="1" customHeight="1" x14ac:dyDescent="0.35">
      <c r="A2" s="13">
        <v>1</v>
      </c>
      <c r="B2" s="13" t="s">
        <v>67</v>
      </c>
      <c r="C2" s="14" t="s">
        <v>68</v>
      </c>
      <c r="D2" s="13" t="s">
        <v>506</v>
      </c>
      <c r="E2" s="18" t="s">
        <v>507</v>
      </c>
      <c r="F2" s="20" t="s">
        <v>381</v>
      </c>
      <c r="G2" s="23" t="s">
        <v>508</v>
      </c>
      <c r="H2" s="35" t="str">
        <f t="shared" ref="H2:H33" si="0">IF(N2&lt;&gt;"OK","",IF(IF(O2="✓","Mã tra cứu|","")&amp;IF(P2="✓","MST người bán|","")&amp;IF(Q2="✓","MST người mua|","")&amp;IF(R2="✓","Mẫu số / Ký hiệu|","")&amp;IF(S2="✓","Số HĐ|","")&amp;IF(T2="✓","Ngày lập|","")&amp;IF(U2="✓","Tổng tiền|","")&amp;IF(V2="✓","Mã CQT|","")&amp;IF(W2="✓","Upload XML|","")&amp;IF(X2="✓","Captcha ảnh|","")&amp;IF(Y2="✓","Captcha dạng tích|","")&amp;IF(Z2="✓","Captcha khác (slider/hình)|","")&amp;IF(AA2="✓","Đăng nhập|","")&amp;IF(AB2="✓","Email/SĐT/OTP|","")="","(không có tham số)",SUBSTITUTE(LEFT(IF(O2="✓","Mã tra cứu|","")&amp;IF(P2="✓","MST người bán|","")&amp;IF(Q2="✓","MST người mua|","")&amp;IF(R2="✓","Mẫu số / Ký hiệu|","")&amp;IF(S2="✓","Số HĐ|","")&amp;IF(T2="✓","Ngày lập|","")&amp;IF(U2="✓","Tổng tiền|","")&amp;IF(V2="✓","Mã CQT|","")&amp;IF(W2="✓","Upload XML|","")&amp;IF(X2="✓","Captcha ảnh|","")&amp;IF(Y2="✓","Captcha dạng tích|","")&amp;IF(Z2="✓","Captcha khác (slider/hình)|","")&amp;IF(AA2="✓","Đăng nhập|","")&amp;IF(AB2="✓","Email/SĐT/OTP|",""),LEN(IF(O2="✓","Mã tra cứu|","")&amp;IF(P2="✓","MST người bán|","")&amp;IF(Q2="✓","MST người mua|","")&amp;IF(R2="✓","Mẫu số / Ký hiệu|","")&amp;IF(S2="✓","Số HĐ|","")&amp;IF(T2="✓","Ngày lập|","")&amp;IF(U2="✓","Tổng tiền|","")&amp;IF(V2="✓","Mã CQT|","")&amp;IF(W2="✓","Upload XML|","")&amp;IF(X2="✓","Captcha ảnh|","")&amp;IF(Y2="✓","Captcha dạng tích|","")&amp;IF(Z2="✓","Captcha khác (slider/hình)|","")&amp;IF(AA2="✓","Đăng nhập|","")&amp;IF(AB2="✓","Email/SĐT/OTP|",""))-1),"|"," + ")))</f>
        <v>Mã tra cứu</v>
      </c>
      <c r="I2" s="17"/>
      <c r="J2" s="17"/>
      <c r="K2" s="17"/>
      <c r="L2" s="17"/>
      <c r="M2" s="37"/>
      <c r="N2" s="38" t="s">
        <v>407</v>
      </c>
      <c r="O2" s="39" t="s">
        <v>509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>
        <v>1</v>
      </c>
      <c r="AD2" s="16" t="s">
        <v>510</v>
      </c>
      <c r="AE2" s="16" t="s">
        <v>511</v>
      </c>
      <c r="AF2" s="16" t="s">
        <v>512</v>
      </c>
      <c r="AG2" s="16" t="s">
        <v>508</v>
      </c>
      <c r="AH2" s="1"/>
      <c r="AI2" s="1"/>
      <c r="AJ2" t="str">
        <f>IFERROR(IF(INDEX('WBS2'!$I$2:$I$25,MATCH($C2,'WBS2'!$F$2:$F$25,0))="","",INDEX('WBS2'!$I$2:$I$25,MATCH($C2,'WBS2'!$F$2:$F$25,0))),"")</f>
        <v/>
      </c>
      <c r="AK2" t="str">
        <f>IFERROR(IF(INDEX('WBS2'!$I$27:$I$162,MATCH($C2,'WBS2'!$F$27:$F$162,0))="","",INDEX('WBS2'!$I$27:$I$162,MATCH($C2,'WBS2'!$F$27:$F$162,0))),"")</f>
        <v>Hoàn thành</v>
      </c>
      <c r="AL2" s="92" t="str">
        <f>IFERROR(IF(OR($AK2="Chưa hoàn thành",$AK2="Sẵn sàng"),INDEX('WBS2'!$H$27:$H$162,MATCH($C2,'WBS2'!$F$27:$F$162,0)),""),"")</f>
        <v/>
      </c>
      <c r="AM2" t="str">
        <f>IFERROR(IF(INDEX('WBS2'!$J$27:$J$162,MATCH($C2,'WBS2'!$F$27:$F$162,0))="","",INDEX('WBS2'!$J$27:$J$162,MATCH($C2,'WBS2'!$F$27:$F$162,0))),"")</f>
        <v/>
      </c>
      <c r="AN2" t="str">
        <f>IFERROR(IF(INDEX('WBS2'!$I$163:$I$298,MATCH($C2,'WBS2'!$F$163:$F$298,0))="","",INDEX('WBS2'!$I$163:$I$298,MATCH($C2,'WBS2'!$F$163:$F$298,0))),"")</f>
        <v>Hoàn thành</v>
      </c>
      <c r="AO2" s="92" t="str">
        <f>IFERROR(IF(OR($AN2="Chưa hoàn thành",$AN2="Sẵn sàng"),INDEX('WBS2'!$H$163:$H$298,MATCH($C2,'WBS2'!$F$163:$F$298,0)),""),"")</f>
        <v/>
      </c>
      <c r="AP2" t="str">
        <f>IFERROR(IF(INDEX('WBS2'!$J$163:$J$298,MATCH($C2,'WBS2'!$F$163:$F$298,0))="","",INDEX('WBS2'!$J$163:$J$298,MATCH($C2,'WBS2'!$F$163:$F$298,0))),"")</f>
        <v/>
      </c>
    </row>
    <row r="3" spans="1:42" ht="14.25" hidden="1" customHeight="1" x14ac:dyDescent="0.35">
      <c r="A3" s="13">
        <v>2</v>
      </c>
      <c r="B3" s="13" t="s">
        <v>69</v>
      </c>
      <c r="C3" s="14" t="s">
        <v>70</v>
      </c>
      <c r="D3" s="13" t="s">
        <v>513</v>
      </c>
      <c r="E3" s="18" t="s">
        <v>514</v>
      </c>
      <c r="F3" s="20" t="s">
        <v>381</v>
      </c>
      <c r="G3" s="23" t="s">
        <v>515</v>
      </c>
      <c r="H3" s="35" t="str">
        <f t="shared" si="0"/>
        <v>Mã tra cứu + MST người bán</v>
      </c>
      <c r="I3" s="17"/>
      <c r="J3" s="17"/>
      <c r="K3" s="17"/>
      <c r="L3" s="17"/>
      <c r="M3" s="37"/>
      <c r="N3" s="38" t="s">
        <v>407</v>
      </c>
      <c r="O3" s="39" t="s">
        <v>509</v>
      </c>
      <c r="P3" s="39" t="s">
        <v>509</v>
      </c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>
        <v>2</v>
      </c>
      <c r="AD3" s="16" t="s">
        <v>516</v>
      </c>
      <c r="AE3" s="16" t="s">
        <v>517</v>
      </c>
      <c r="AF3" s="16" t="s">
        <v>518</v>
      </c>
      <c r="AG3" s="16" t="s">
        <v>515</v>
      </c>
      <c r="AH3" s="1"/>
      <c r="AI3" s="1"/>
      <c r="AJ3" t="str">
        <f>IFERROR(IF(INDEX('WBS2'!$I$2:$I$25,MATCH($C3,'WBS2'!$F$2:$F$25,0))="","",INDEX('WBS2'!$I$2:$I$25,MATCH($C3,'WBS2'!$F$2:$F$25,0))),"")</f>
        <v/>
      </c>
      <c r="AK3" t="str">
        <f>IFERROR(IF(INDEX('WBS2'!$I$27:$I$162,MATCH($C3,'WBS2'!$F$27:$F$162,0))="","",INDEX('WBS2'!$I$27:$I$162,MATCH($C3,'WBS2'!$F$27:$F$162,0))),"")</f>
        <v>Chưa hoàn thành</v>
      </c>
      <c r="AL3" s="92">
        <f>IFERROR(IF(OR($AK3="Chưa hoàn thành",$AK3="Sẵn sàng"),INDEX('WBS2'!$H$27:$H$162,MATCH($C3,'WBS2'!$F$27:$F$162,0)),""),"")</f>
        <v>46446</v>
      </c>
      <c r="AM3" t="str">
        <f>IFERROR(IF(INDEX('WBS2'!$J$27:$J$162,MATCH($C3,'WBS2'!$F$27:$F$162,0))="","",INDEX('WBS2'!$J$27:$J$162,MATCH($C3,'WBS2'!$F$27:$F$162,0))),"")</f>
        <v>bị chặn bởi reCAPTCHA, lấy qua mail. dính reCAPTCHA v3</v>
      </c>
      <c r="AN3" t="str">
        <f>IFERROR(IF(INDEX('WBS2'!$I$163:$I$298,MATCH($C3,'WBS2'!$F$163:$F$298,0))="","",INDEX('WBS2'!$I$163:$I$298,MATCH($C3,'WBS2'!$F$163:$F$298,0))),"")</f>
        <v>Hoàn thành</v>
      </c>
      <c r="AO3" s="92" t="str">
        <f>IFERROR(IF(OR($AN3="Chưa hoàn thành",$AN3="Sẵn sàng"),INDEX('WBS2'!$H$163:$H$298,MATCH($C3,'WBS2'!$F$163:$F$298,0)),""),"")</f>
        <v/>
      </c>
      <c r="AP3" t="str">
        <f>IFERROR(IF(INDEX('WBS2'!$J$163:$J$298,MATCH($C3,'WBS2'!$F$163:$F$298,0))="","",INDEX('WBS2'!$J$163:$J$298,MATCH($C3,'WBS2'!$F$163:$F$298,0))),"")</f>
        <v/>
      </c>
    </row>
    <row r="4" spans="1:42" ht="14.25" hidden="1" customHeight="1" x14ac:dyDescent="0.35">
      <c r="A4" s="13">
        <v>3</v>
      </c>
      <c r="B4" s="13" t="s">
        <v>73</v>
      </c>
      <c r="C4" s="14" t="s">
        <v>74</v>
      </c>
      <c r="D4" s="13" t="s">
        <v>519</v>
      </c>
      <c r="E4" s="18" t="s">
        <v>520</v>
      </c>
      <c r="F4" s="20" t="s">
        <v>383</v>
      </c>
      <c r="G4" s="23" t="s">
        <v>521</v>
      </c>
      <c r="H4" s="35" t="str">
        <f t="shared" si="0"/>
        <v>Mã tra cứu + Số HĐ + Captcha dạng tích</v>
      </c>
      <c r="I4" s="17"/>
      <c r="J4" s="17"/>
      <c r="K4" s="17"/>
      <c r="L4" s="17"/>
      <c r="M4" s="37"/>
      <c r="N4" s="38" t="s">
        <v>407</v>
      </c>
      <c r="O4" s="39" t="s">
        <v>509</v>
      </c>
      <c r="P4" s="39"/>
      <c r="Q4" s="39"/>
      <c r="R4" s="39"/>
      <c r="S4" s="39" t="s">
        <v>509</v>
      </c>
      <c r="T4" s="39"/>
      <c r="U4" s="39"/>
      <c r="V4" s="39"/>
      <c r="W4" s="39"/>
      <c r="X4" s="39"/>
      <c r="Y4" s="39" t="s">
        <v>509</v>
      </c>
      <c r="Z4" s="39"/>
      <c r="AA4" s="39"/>
      <c r="AB4" s="39"/>
      <c r="AC4" s="39">
        <v>3</v>
      </c>
      <c r="AD4" s="16" t="s">
        <v>522</v>
      </c>
      <c r="AE4" s="16" t="s">
        <v>523</v>
      </c>
      <c r="AF4" s="16" t="s">
        <v>524</v>
      </c>
      <c r="AG4" s="16" t="s">
        <v>521</v>
      </c>
      <c r="AH4" s="1"/>
      <c r="AI4" s="1"/>
      <c r="AJ4" t="str">
        <f>IFERROR(IF(INDEX('WBS2'!$I$2:$I$25,MATCH($C4,'WBS2'!$F$2:$F$25,0))="","",INDEX('WBS2'!$I$2:$I$25,MATCH($C4,'WBS2'!$F$2:$F$25,0))),"")</f>
        <v/>
      </c>
      <c r="AK4" t="str">
        <f>IFERROR(IF(INDEX('WBS2'!$I$27:$I$162,MATCH($C4,'WBS2'!$F$27:$F$162,0))="","",INDEX('WBS2'!$I$27:$I$162,MATCH($C4,'WBS2'!$F$27:$F$162,0))),"")</f>
        <v>Chưa hoàn thành</v>
      </c>
      <c r="AL4" s="92">
        <f>IFERROR(IF(OR($AK4="Chưa hoàn thành",$AK4="Sẵn sàng"),INDEX('WBS2'!$H$27:$H$162,MATCH($C4,'WBS2'!$F$27:$F$162,0)),""),"")</f>
        <v>46446</v>
      </c>
      <c r="AM4" t="str">
        <f>IFERROR(IF(INDEX('WBS2'!$J$27:$J$162,MATCH($C4,'WBS2'!$F$27:$F$162,0))="","",INDEX('WBS2'!$J$27:$J$162,MATCH($C4,'WBS2'!$F$27:$F$162,0))),"")</f>
        <v>bị chặn bởi reCAPTCHA, lấy qua mail. dính reCAPTCHA v3</v>
      </c>
      <c r="AN4" t="str">
        <f>IFERROR(IF(INDEX('WBS2'!$I$163:$I$298,MATCH($C4,'WBS2'!$F$163:$F$298,0))="","",INDEX('WBS2'!$I$163:$I$298,MATCH($C4,'WBS2'!$F$163:$F$298,0))),"")</f>
        <v>Hoàn thành</v>
      </c>
      <c r="AO4" s="92" t="str">
        <f>IFERROR(IF(OR($AN4="Chưa hoàn thành",$AN4="Sẵn sàng"),INDEX('WBS2'!$H$163:$H$298,MATCH($C4,'WBS2'!$F$163:$F$298,0)),""),"")</f>
        <v/>
      </c>
      <c r="AP4" t="str">
        <f>IFERROR(IF(INDEX('WBS2'!$J$163:$J$298,MATCH($C4,'WBS2'!$F$163:$F$298,0))="","",INDEX('WBS2'!$J$163:$J$298,MATCH($C4,'WBS2'!$F$163:$F$298,0))),"")</f>
        <v/>
      </c>
    </row>
    <row r="5" spans="1:42" ht="14.25" customHeight="1" x14ac:dyDescent="0.35">
      <c r="A5" s="13">
        <v>4</v>
      </c>
      <c r="B5" s="13" t="s">
        <v>13</v>
      </c>
      <c r="C5" s="14" t="s">
        <v>14</v>
      </c>
      <c r="D5" s="13" t="s">
        <v>525</v>
      </c>
      <c r="E5" s="18" t="s">
        <v>526</v>
      </c>
      <c r="F5" s="20" t="s">
        <v>382</v>
      </c>
      <c r="G5" s="59" t="s">
        <v>527</v>
      </c>
      <c r="H5" s="35" t="str">
        <f t="shared" si="0"/>
        <v>Mã tra cứu + MST người bán + Captcha ảnh</v>
      </c>
      <c r="I5" s="20" t="s">
        <v>528</v>
      </c>
      <c r="J5" s="17"/>
      <c r="K5" s="60">
        <v>0.94899999999999995</v>
      </c>
      <c r="L5" s="20" t="s">
        <v>529</v>
      </c>
      <c r="M5" s="59" t="s">
        <v>527</v>
      </c>
      <c r="N5" s="38" t="s">
        <v>407</v>
      </c>
      <c r="O5" s="39" t="s">
        <v>509</v>
      </c>
      <c r="P5" s="39" t="s">
        <v>509</v>
      </c>
      <c r="Q5" s="39"/>
      <c r="R5" s="39"/>
      <c r="S5" s="39"/>
      <c r="T5" s="39"/>
      <c r="U5" s="39"/>
      <c r="V5" s="39"/>
      <c r="W5" s="39"/>
      <c r="X5" s="39" t="s">
        <v>509</v>
      </c>
      <c r="Y5" s="39"/>
      <c r="Z5" s="39"/>
      <c r="AA5" s="39"/>
      <c r="AB5" s="39"/>
      <c r="AC5" s="39">
        <v>3</v>
      </c>
      <c r="AD5" s="16" t="s">
        <v>530</v>
      </c>
      <c r="AE5" s="16" t="s">
        <v>531</v>
      </c>
      <c r="AF5" s="16" t="s">
        <v>532</v>
      </c>
      <c r="AG5" s="16" t="s">
        <v>533</v>
      </c>
      <c r="AH5" s="1"/>
      <c r="AI5" s="1"/>
      <c r="AJ5" t="str">
        <f>IFERROR(IF(INDEX('WBS2'!$I$2:$I$25,MATCH($C5,'WBS2'!$F$2:$F$25,0))="","",INDEX('WBS2'!$I$2:$I$25,MATCH($C5,'WBS2'!$F$2:$F$25,0))),"")</f>
        <v>Hoàn thành</v>
      </c>
      <c r="AK5" t="str">
        <f>IFERROR(IF(INDEX('WBS2'!$I$27:$I$162,MATCH($C5,'WBS2'!$F$27:$F$162,0))="","",INDEX('WBS2'!$I$27:$I$162,MATCH($C5,'WBS2'!$F$27:$F$162,0))),"")</f>
        <v>Hoàn thành</v>
      </c>
      <c r="AL5" s="92" t="str">
        <f>IFERROR(IF(OR($AK5="Chưa hoàn thành",$AK5="Sẵn sàng"),INDEX('WBS2'!$H$27:$H$162,MATCH($C5,'WBS2'!$F$27:$F$162,0)),""),"")</f>
        <v/>
      </c>
      <c r="AM5" t="str">
        <f>IFERROR(IF(INDEX('WBS2'!$J$27:$J$162,MATCH($C5,'WBS2'!$F$27:$F$162,0))="","",INDEX('WBS2'!$J$27:$J$162,MATCH($C5,'WBS2'!$F$27:$F$162,0))),"")</f>
        <v/>
      </c>
      <c r="AN5" t="str">
        <f>IFERROR(IF(INDEX('WBS2'!$I$163:$I$298,MATCH($C5,'WBS2'!$F$163:$F$298,0))="","",INDEX('WBS2'!$I$163:$I$298,MATCH($C5,'WBS2'!$F$163:$F$298,0))),"")</f>
        <v>Hoàn thành</v>
      </c>
      <c r="AO5" s="92" t="str">
        <f>IFERROR(IF(OR($AN5="Chưa hoàn thành",$AN5="Sẵn sàng"),INDEX('WBS2'!$H$163:$H$298,MATCH($C5,'WBS2'!$F$163:$F$298,0)),""),"")</f>
        <v/>
      </c>
      <c r="AP5" t="str">
        <f>IFERROR(IF(INDEX('WBS2'!$J$163:$J$298,MATCH($C5,'WBS2'!$F$163:$F$298,0))="","",INDEX('WBS2'!$J$163:$J$298,MATCH($C5,'WBS2'!$F$163:$F$298,0))),"")</f>
        <v/>
      </c>
    </row>
    <row r="6" spans="1:42" ht="14.25" hidden="1" customHeight="1" x14ac:dyDescent="0.35">
      <c r="A6" s="13">
        <v>5</v>
      </c>
      <c r="B6" s="13" t="s">
        <v>75</v>
      </c>
      <c r="C6" s="14" t="s">
        <v>76</v>
      </c>
      <c r="D6" s="13" t="s">
        <v>534</v>
      </c>
      <c r="E6" s="18" t="s">
        <v>535</v>
      </c>
      <c r="F6" s="20" t="s">
        <v>383</v>
      </c>
      <c r="G6" s="63" t="s">
        <v>536</v>
      </c>
      <c r="H6" s="35" t="str">
        <f t="shared" si="0"/>
        <v>Mã tra cứu + Mẫu số / Ký hiệu + Số HĐ + Captcha dạng tích</v>
      </c>
      <c r="I6" s="17"/>
      <c r="J6" s="17"/>
      <c r="K6" s="17"/>
      <c r="L6" s="17"/>
      <c r="M6" s="37"/>
      <c r="N6" s="38" t="s">
        <v>407</v>
      </c>
      <c r="O6" s="39" t="s">
        <v>509</v>
      </c>
      <c r="P6" s="39"/>
      <c r="Q6" s="39"/>
      <c r="R6" s="39" t="s">
        <v>509</v>
      </c>
      <c r="S6" s="39" t="s">
        <v>509</v>
      </c>
      <c r="T6" s="39"/>
      <c r="U6" s="39"/>
      <c r="V6" s="39"/>
      <c r="W6" s="39"/>
      <c r="X6" s="39"/>
      <c r="Y6" s="39" t="s">
        <v>509</v>
      </c>
      <c r="Z6" s="39"/>
      <c r="AA6" s="39"/>
      <c r="AB6" s="39"/>
      <c r="AC6" s="39">
        <v>4</v>
      </c>
      <c r="AD6" s="16" t="s">
        <v>537</v>
      </c>
      <c r="AE6" s="16" t="s">
        <v>538</v>
      </c>
      <c r="AF6" s="16" t="s">
        <v>539</v>
      </c>
      <c r="AG6" s="16" t="s">
        <v>536</v>
      </c>
      <c r="AH6" s="1"/>
      <c r="AI6" s="1"/>
      <c r="AJ6" t="str">
        <f>IFERROR(IF(INDEX('WBS2'!$I$2:$I$25,MATCH($C6,'WBS2'!$F$2:$F$25,0))="","",INDEX('WBS2'!$I$2:$I$25,MATCH($C6,'WBS2'!$F$2:$F$25,0))),"")</f>
        <v/>
      </c>
      <c r="AK6" t="str">
        <f>IFERROR(IF(INDEX('WBS2'!$I$27:$I$162,MATCH($C6,'WBS2'!$F$27:$F$162,0))="","",INDEX('WBS2'!$I$27:$I$162,MATCH($C6,'WBS2'!$F$27:$F$162,0))),"")</f>
        <v>Chưa hoàn thành</v>
      </c>
      <c r="AL6" s="92">
        <f>IFERROR(IF(OR($AK6="Chưa hoàn thành",$AK6="Sẵn sàng"),INDEX('WBS2'!$H$27:$H$162,MATCH($C6,'WBS2'!$F$27:$F$162,0)),""),"")</f>
        <v>46446</v>
      </c>
      <c r="AM6" t="str">
        <f>IFERROR(IF(INDEX('WBS2'!$J$27:$J$162,MATCH($C6,'WBS2'!$F$27:$F$162,0))="","",INDEX('WBS2'!$J$27:$J$162,MATCH($C6,'WBS2'!$F$27:$F$162,0))),"")</f>
        <v>Không làm được qua link tra cứu – bị chặn bởi reCAPTCHA v2 (server kiểm), lấy qua mail. eip.lcssoft.com.vn</v>
      </c>
      <c r="AN6" t="str">
        <f>IFERROR(IF(INDEX('WBS2'!$I$163:$I$298,MATCH($C6,'WBS2'!$F$163:$F$298,0))="","",INDEX('WBS2'!$I$163:$I$298,MATCH($C6,'WBS2'!$F$163:$F$298,0))),"")</f>
        <v>Chưa hoàn thành</v>
      </c>
      <c r="AO6" s="92">
        <f>IFERROR(IF(OR($AN6="Chưa hoàn thành",$AN6="Sẵn sàng"),INDEX('WBS2'!$H$163:$H$298,MATCH($C6,'WBS2'!$F$163:$F$298,0)),""),"")</f>
        <v>46446</v>
      </c>
      <c r="AP6" t="str">
        <f>IFERROR(IF(INDEX('WBS2'!$J$163:$J$298,MATCH($C6,'WBS2'!$F$163:$F$298,0))="","",INDEX('WBS2'!$J$163:$J$298,MATCH($C6,'WBS2'!$F$163:$F$298,0))),"")</f>
        <v>Chưa có mail/PDF nào của NCC này (kiểm DB 27/10)</v>
      </c>
    </row>
    <row r="7" spans="1:42" ht="14.25" hidden="1" customHeight="1" x14ac:dyDescent="0.35">
      <c r="A7" s="13">
        <v>6</v>
      </c>
      <c r="B7" s="13" t="s">
        <v>78</v>
      </c>
      <c r="C7" s="14" t="s">
        <v>79</v>
      </c>
      <c r="D7" s="13" t="s">
        <v>540</v>
      </c>
      <c r="E7" s="18" t="s">
        <v>541</v>
      </c>
      <c r="F7" s="20" t="s">
        <v>381</v>
      </c>
      <c r="G7" s="23" t="s">
        <v>542</v>
      </c>
      <c r="H7" s="35" t="str">
        <f t="shared" si="0"/>
        <v>Mã tra cứu + MST người mua</v>
      </c>
      <c r="I7" s="17"/>
      <c r="J7" s="17"/>
      <c r="K7" s="17"/>
      <c r="L7" s="17"/>
      <c r="M7" s="37"/>
      <c r="N7" s="38" t="s">
        <v>407</v>
      </c>
      <c r="O7" s="39" t="s">
        <v>509</v>
      </c>
      <c r="P7" s="39"/>
      <c r="Q7" s="39" t="s">
        <v>509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v>2</v>
      </c>
      <c r="AD7" s="16" t="s">
        <v>510</v>
      </c>
      <c r="AE7" s="16"/>
      <c r="AF7" s="16" t="s">
        <v>543</v>
      </c>
      <c r="AG7" s="16" t="s">
        <v>542</v>
      </c>
      <c r="AH7" s="1"/>
      <c r="AI7" s="1"/>
      <c r="AJ7" t="str">
        <f>IFERROR(IF(INDEX('WBS2'!$I$2:$I$25,MATCH($C7,'WBS2'!$F$2:$F$25,0))="","",INDEX('WBS2'!$I$2:$I$25,MATCH($C7,'WBS2'!$F$2:$F$25,0))),"")</f>
        <v/>
      </c>
      <c r="AK7" t="str">
        <f>IFERROR(IF(INDEX('WBS2'!$I$27:$I$162,MATCH($C7,'WBS2'!$F$27:$F$162,0))="","",INDEX('WBS2'!$I$27:$I$162,MATCH($C7,'WBS2'!$F$27:$F$162,0))),"")</f>
        <v>Sẵn sàng</v>
      </c>
      <c r="AL7" s="92">
        <f>IFERROR(IF(OR($AK7="Chưa hoàn thành",$AK7="Sẵn sàng"),INDEX('WBS2'!$H$27:$H$162,MATCH($C7,'WBS2'!$F$27:$F$162,0)),""),"")</f>
        <v>46356</v>
      </c>
      <c r="AM7" t="str">
        <f>IFERROR(IF(INDEX('WBS2'!$J$27:$J$162,MATCH($C7,'WBS2'!$F$27:$F$162,0))="","",INDEX('WBS2'!$J$27:$J$162,MATCH($C7,'WBS2'!$F$27:$F$162,0))),"")</f>
        <v/>
      </c>
      <c r="AN7" t="str">
        <f>IFERROR(IF(INDEX('WBS2'!$I$163:$I$298,MATCH($C7,'WBS2'!$F$163:$F$298,0))="","",INDEX('WBS2'!$I$163:$I$298,MATCH($C7,'WBS2'!$F$163:$F$298,0))),"")</f>
        <v>Chưa hoàn thành</v>
      </c>
      <c r="AO7" s="92">
        <f>IFERROR(IF(OR($AN7="Chưa hoàn thành",$AN7="Sẵn sàng"),INDEX('WBS2'!$H$163:$H$298,MATCH($C7,'WBS2'!$F$163:$F$298,0)),""),"")</f>
        <v>46446</v>
      </c>
      <c r="AP7" t="str">
        <f>IFERROR(IF(INDEX('WBS2'!$J$163:$J$298,MATCH($C7,'WBS2'!$F$163:$F$298,0))="","",INDEX('WBS2'!$J$163:$J$298,MATCH($C7,'WBS2'!$F$163:$F$298,0))),"")</f>
        <v>Chưa có mail/PDF nào của NCC này (kiểm DB 27/10)</v>
      </c>
    </row>
    <row r="8" spans="1:42" ht="14.25" customHeight="1" x14ac:dyDescent="0.35">
      <c r="A8" s="13">
        <v>7</v>
      </c>
      <c r="B8" s="17" t="s">
        <v>16</v>
      </c>
      <c r="C8" s="14" t="s">
        <v>17</v>
      </c>
      <c r="D8" s="17"/>
      <c r="E8" s="65" t="s">
        <v>544</v>
      </c>
      <c r="F8" s="20" t="s">
        <v>382</v>
      </c>
      <c r="G8" s="66" t="s">
        <v>544</v>
      </c>
      <c r="H8" s="35" t="str">
        <f t="shared" si="0"/>
        <v>Mã tra cứu + Captcha ảnh</v>
      </c>
      <c r="I8" s="20" t="s">
        <v>528</v>
      </c>
      <c r="J8" s="17"/>
      <c r="K8" s="67">
        <v>0.97699999999999998</v>
      </c>
      <c r="L8" s="20" t="s">
        <v>545</v>
      </c>
      <c r="M8" s="37"/>
      <c r="N8" s="38" t="s">
        <v>407</v>
      </c>
      <c r="O8" s="39" t="s">
        <v>509</v>
      </c>
      <c r="P8" s="39"/>
      <c r="Q8" s="39"/>
      <c r="R8" s="39"/>
      <c r="S8" s="39"/>
      <c r="T8" s="39"/>
      <c r="U8" s="39"/>
      <c r="V8" s="39"/>
      <c r="W8" s="39"/>
      <c r="X8" s="39" t="s">
        <v>509</v>
      </c>
      <c r="Y8" s="39"/>
      <c r="Z8" s="39"/>
      <c r="AA8" s="39"/>
      <c r="AB8" s="39"/>
      <c r="AC8" s="39">
        <v>2</v>
      </c>
      <c r="AD8" s="16" t="s">
        <v>546</v>
      </c>
      <c r="AE8" s="16" t="s">
        <v>547</v>
      </c>
      <c r="AF8" s="16" t="s">
        <v>548</v>
      </c>
      <c r="AG8" s="16" t="s">
        <v>544</v>
      </c>
      <c r="AH8" s="1"/>
      <c r="AI8" s="1"/>
      <c r="AJ8" t="str">
        <f>IFERROR(IF(INDEX('WBS2'!$I$2:$I$25,MATCH($C8,'WBS2'!$F$2:$F$25,0))="","",INDEX('WBS2'!$I$2:$I$25,MATCH($C8,'WBS2'!$F$2:$F$25,0))),"")</f>
        <v>Hoàn thành</v>
      </c>
      <c r="AK8" t="str">
        <f>IFERROR(IF(INDEX('WBS2'!$I$27:$I$162,MATCH($C8,'WBS2'!$F$27:$F$162,0))="","",INDEX('WBS2'!$I$27:$I$162,MATCH($C8,'WBS2'!$F$27:$F$162,0))),"")</f>
        <v>Hoàn thành</v>
      </c>
      <c r="AL8" s="92" t="str">
        <f>IFERROR(IF(OR($AK8="Chưa hoàn thành",$AK8="Sẵn sàng"),INDEX('WBS2'!$H$27:$H$162,MATCH($C8,'WBS2'!$F$27:$F$162,0)),""),"")</f>
        <v/>
      </c>
      <c r="AM8" t="str">
        <f>IFERROR(IF(INDEX('WBS2'!$J$27:$J$162,MATCH($C8,'WBS2'!$F$27:$F$162,0))="","",INDEX('WBS2'!$J$27:$J$162,MATCH($C8,'WBS2'!$F$27:$F$162,0))),"")</f>
        <v/>
      </c>
      <c r="AN8" t="str">
        <f>IFERROR(IF(INDEX('WBS2'!$I$163:$I$298,MATCH($C8,'WBS2'!$F$163:$F$298,0))="","",INDEX('WBS2'!$I$163:$I$298,MATCH($C8,'WBS2'!$F$163:$F$298,0))),"")</f>
        <v>Sẵn sàng</v>
      </c>
      <c r="AO8" s="92">
        <f>IFERROR(IF(OR($AN8="Chưa hoàn thành",$AN8="Sẵn sàng"),INDEX('WBS2'!$H$163:$H$298,MATCH($C8,'WBS2'!$F$163:$F$298,0)),""),"")</f>
        <v>46356</v>
      </c>
      <c r="AP8" t="str">
        <f>IFERROR(IF(INDEX('WBS2'!$J$163:$J$298,MATCH($C8,'WBS2'!$F$163:$F$298,0))="","",INDEX('WBS2'!$J$163:$J$298,MATCH($C8,'WBS2'!$F$163:$F$298,0))),"")</f>
        <v/>
      </c>
    </row>
    <row r="9" spans="1:42" ht="14.25" customHeight="1" x14ac:dyDescent="0.35">
      <c r="A9" s="13">
        <v>8</v>
      </c>
      <c r="B9" s="13" t="s">
        <v>18</v>
      </c>
      <c r="C9" s="14" t="s">
        <v>19</v>
      </c>
      <c r="D9" s="13" t="s">
        <v>549</v>
      </c>
      <c r="E9" s="18" t="s">
        <v>550</v>
      </c>
      <c r="F9" s="20" t="s">
        <v>382</v>
      </c>
      <c r="G9" s="68" t="s">
        <v>551</v>
      </c>
      <c r="H9" s="35" t="str">
        <f t="shared" si="0"/>
        <v>Mã tra cứu + Captcha ảnh</v>
      </c>
      <c r="I9" s="20" t="s">
        <v>528</v>
      </c>
      <c r="J9" s="17"/>
      <c r="K9" s="67">
        <v>0</v>
      </c>
      <c r="L9" s="20" t="s">
        <v>552</v>
      </c>
      <c r="M9" s="69" t="s">
        <v>553</v>
      </c>
      <c r="N9" s="38" t="s">
        <v>407</v>
      </c>
      <c r="O9" s="39" t="s">
        <v>509</v>
      </c>
      <c r="P9" s="39"/>
      <c r="Q9" s="39"/>
      <c r="R9" s="39"/>
      <c r="S9" s="39"/>
      <c r="T9" s="39"/>
      <c r="U9" s="39"/>
      <c r="V9" s="39"/>
      <c r="W9" s="39"/>
      <c r="X9" s="39" t="s">
        <v>509</v>
      </c>
      <c r="Y9" s="39"/>
      <c r="Z9" s="39"/>
      <c r="AA9" s="39"/>
      <c r="AB9" s="39"/>
      <c r="AC9" s="39">
        <v>2</v>
      </c>
      <c r="AD9" s="16" t="s">
        <v>554</v>
      </c>
      <c r="AE9" s="16"/>
      <c r="AF9" s="16" t="s">
        <v>555</v>
      </c>
      <c r="AG9" s="16" t="s">
        <v>551</v>
      </c>
      <c r="AH9" s="1"/>
      <c r="AI9" s="1"/>
      <c r="AJ9" t="str">
        <f>IFERROR(IF(INDEX('WBS2'!$I$2:$I$25,MATCH($C9,'WBS2'!$F$2:$F$25,0))="","",INDEX('WBS2'!$I$2:$I$25,MATCH($C9,'WBS2'!$F$2:$F$25,0))),"")</f>
        <v>Hoàn thành</v>
      </c>
      <c r="AK9" t="str">
        <f>IFERROR(IF(INDEX('WBS2'!$I$27:$I$162,MATCH($C9,'WBS2'!$F$27:$F$162,0))="","",INDEX('WBS2'!$I$27:$I$162,MATCH($C9,'WBS2'!$F$27:$F$162,0))),"")</f>
        <v>Chưa hoàn thành</v>
      </c>
      <c r="AL9" s="92">
        <f>IFERROR(IF(OR($AK9="Chưa hoàn thành",$AK9="Sẵn sàng"),INDEX('WBS2'!$H$27:$H$162,MATCH($C9,'WBS2'!$F$27:$F$162,0)),""),"")</f>
        <v>46446</v>
      </c>
      <c r="AM9" t="str">
        <f>IFERROR(IF(INDEX('WBS2'!$J$27:$J$162,MATCH($C9,'WBS2'!$F$27:$F$162,0))="","",INDEX('WBS2'!$J$27:$J$162,MATCH($C9,'WBS2'!$F$27:$F$162,0))),"")</f>
        <v/>
      </c>
      <c r="AN9" t="str">
        <f>IFERROR(IF(INDEX('WBS2'!$I$163:$I$298,MATCH($C9,'WBS2'!$F$163:$F$298,0))="","",INDEX('WBS2'!$I$163:$I$298,MATCH($C9,'WBS2'!$F$163:$F$298,0))),"")</f>
        <v>Chưa hoàn thành</v>
      </c>
      <c r="AO9" s="92">
        <f>IFERROR(IF(OR($AN9="Chưa hoàn thành",$AN9="Sẵn sàng"),INDEX('WBS2'!$H$163:$H$298,MATCH($C9,'WBS2'!$F$163:$F$298,0)),""),"")</f>
        <v>46446</v>
      </c>
      <c r="AP9" t="str">
        <f>IFERROR(IF(INDEX('WBS2'!$J$163:$J$298,MATCH($C9,'WBS2'!$F$163:$F$298,0))="","",INDEX('WBS2'!$J$163:$J$298,MATCH($C9,'WBS2'!$F$163:$F$298,0))),"")</f>
        <v>Chưa có mail/PDF nào của NCC này (kiểm DB 27/10)</v>
      </c>
    </row>
    <row r="10" spans="1:42" ht="14.25" hidden="1" customHeight="1" x14ac:dyDescent="0.35">
      <c r="A10" s="13">
        <v>9</v>
      </c>
      <c r="B10" s="13" t="s">
        <v>81</v>
      </c>
      <c r="C10" s="14" t="s">
        <v>82</v>
      </c>
      <c r="D10" s="13" t="s">
        <v>556</v>
      </c>
      <c r="E10" s="18" t="s">
        <v>557</v>
      </c>
      <c r="F10" s="20" t="s">
        <v>558</v>
      </c>
      <c r="G10" s="63" t="s">
        <v>559</v>
      </c>
      <c r="H10" s="35" t="str">
        <f t="shared" si="0"/>
        <v>Mã tra cứu</v>
      </c>
      <c r="I10" s="17"/>
      <c r="J10" s="17"/>
      <c r="K10" s="17"/>
      <c r="L10" s="17"/>
      <c r="M10" s="37"/>
      <c r="N10" s="38" t="s">
        <v>407</v>
      </c>
      <c r="O10" s="39" t="s">
        <v>509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v>1</v>
      </c>
      <c r="AD10" s="16" t="s">
        <v>510</v>
      </c>
      <c r="AE10" s="16" t="s">
        <v>560</v>
      </c>
      <c r="AF10" s="16" t="s">
        <v>561</v>
      </c>
      <c r="AG10" s="16" t="s">
        <v>559</v>
      </c>
      <c r="AH10" s="1"/>
      <c r="AI10" s="1"/>
      <c r="AJ10" t="str">
        <f>IFERROR(IF(INDEX('WBS2'!$I$2:$I$25,MATCH($C10,'WBS2'!$F$2:$F$25,0))="","",INDEX('WBS2'!$I$2:$I$25,MATCH($C10,'WBS2'!$F$2:$F$25,0))),"")</f>
        <v/>
      </c>
      <c r="AK10" t="str">
        <f>IFERROR(IF(INDEX('WBS2'!$I$27:$I$162,MATCH($C10,'WBS2'!$F$27:$F$162,0))="","",INDEX('WBS2'!$I$27:$I$162,MATCH($C10,'WBS2'!$F$27:$F$162,0))),"")</f>
        <v>Hoàn thành</v>
      </c>
      <c r="AL10" s="92" t="str">
        <f>IFERROR(IF(OR($AK10="Chưa hoàn thành",$AK10="Sẵn sàng"),INDEX('WBS2'!$H$27:$H$162,MATCH($C10,'WBS2'!$F$27:$F$162,0)),""),"")</f>
        <v/>
      </c>
      <c r="AM10" t="str">
        <f>IFERROR(IF(INDEX('WBS2'!$J$27:$J$162,MATCH($C10,'WBS2'!$F$27:$F$162,0))="","",INDEX('WBS2'!$J$27:$J$162,MATCH($C10,'WBS2'!$F$27:$F$162,0))),"")</f>
        <v/>
      </c>
      <c r="AN10" t="str">
        <f>IFERROR(IF(INDEX('WBS2'!$I$163:$I$298,MATCH($C10,'WBS2'!$F$163:$F$298,0))="","",INDEX('WBS2'!$I$163:$I$298,MATCH($C10,'WBS2'!$F$163:$F$298,0))),"")</f>
        <v>Hoàn thành</v>
      </c>
      <c r="AO10" s="92" t="str">
        <f>IFERROR(IF(OR($AN10="Chưa hoàn thành",$AN10="Sẵn sàng"),INDEX('WBS2'!$H$163:$H$298,MATCH($C10,'WBS2'!$F$163:$F$298,0)),""),"")</f>
        <v/>
      </c>
      <c r="AP10" t="str">
        <f>IFERROR(IF(INDEX('WBS2'!$J$163:$J$298,MATCH($C10,'WBS2'!$F$163:$F$298,0))="","",INDEX('WBS2'!$J$163:$J$298,MATCH($C10,'WBS2'!$F$163:$F$298,0))),"")</f>
        <v/>
      </c>
    </row>
    <row r="11" spans="1:42" ht="14.25" hidden="1" customHeight="1" x14ac:dyDescent="0.35">
      <c r="A11" s="13">
        <v>10</v>
      </c>
      <c r="B11" s="13" t="s">
        <v>83</v>
      </c>
      <c r="C11" s="14" t="s">
        <v>84</v>
      </c>
      <c r="D11" s="13" t="s">
        <v>562</v>
      </c>
      <c r="E11" s="18" t="s">
        <v>563</v>
      </c>
      <c r="F11" s="20" t="s">
        <v>381</v>
      </c>
      <c r="G11" s="63" t="s">
        <v>564</v>
      </c>
      <c r="H11" s="35" t="str">
        <f t="shared" si="0"/>
        <v>Mã tra cứu</v>
      </c>
      <c r="I11" s="17"/>
      <c r="J11" s="17"/>
      <c r="K11" s="17"/>
      <c r="L11" s="17"/>
      <c r="M11" s="37"/>
      <c r="N11" s="38" t="s">
        <v>407</v>
      </c>
      <c r="O11" s="39" t="s">
        <v>509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v>1</v>
      </c>
      <c r="AD11" s="16" t="s">
        <v>510</v>
      </c>
      <c r="AE11" s="16" t="s">
        <v>565</v>
      </c>
      <c r="AF11" s="16" t="s">
        <v>566</v>
      </c>
      <c r="AG11" s="16" t="s">
        <v>564</v>
      </c>
      <c r="AH11" s="1"/>
      <c r="AI11" s="1"/>
      <c r="AJ11" t="str">
        <f>IFERROR(IF(INDEX('WBS2'!$I$2:$I$25,MATCH($C11,'WBS2'!$F$2:$F$25,0))="","",INDEX('WBS2'!$I$2:$I$25,MATCH($C11,'WBS2'!$F$2:$F$25,0))),"")</f>
        <v/>
      </c>
      <c r="AK11" t="str">
        <f>IFERROR(IF(INDEX('WBS2'!$I$27:$I$162,MATCH($C11,'WBS2'!$F$27:$F$162,0))="","",INDEX('WBS2'!$I$27:$I$162,MATCH($C11,'WBS2'!$F$27:$F$162,0))),"")</f>
        <v>Sẵn sàng</v>
      </c>
      <c r="AL11" s="92">
        <f>IFERROR(IF(OR($AK11="Chưa hoàn thành",$AK11="Sẵn sàng"),INDEX('WBS2'!$H$27:$H$162,MATCH($C11,'WBS2'!$F$27:$F$162,0)),""),"")</f>
        <v>46356</v>
      </c>
      <c r="AM11" t="str">
        <f>IFERROR(IF(INDEX('WBS2'!$J$27:$J$162,MATCH($C11,'WBS2'!$F$27:$F$162,0))="","",INDEX('WBS2'!$J$27:$J$162,MATCH($C11,'WBS2'!$F$27:$F$162,0))),"")</f>
        <v/>
      </c>
      <c r="AN11" t="str">
        <f>IFERROR(IF(INDEX('WBS2'!$I$163:$I$298,MATCH($C11,'WBS2'!$F$163:$F$298,0))="","",INDEX('WBS2'!$I$163:$I$298,MATCH($C11,'WBS2'!$F$163:$F$298,0))),"")</f>
        <v>Chưa hoàn thành</v>
      </c>
      <c r="AO11" s="92">
        <f>IFERROR(IF(OR($AN11="Chưa hoàn thành",$AN11="Sẵn sàng"),INDEX('WBS2'!$H$163:$H$298,MATCH($C11,'WBS2'!$F$163:$F$298,0)),""),"")</f>
        <v>46446</v>
      </c>
      <c r="AP11" t="str">
        <f>IFERROR(IF(INDEX('WBS2'!$J$163:$J$298,MATCH($C11,'WBS2'!$F$163:$F$298,0))="","",INDEX('WBS2'!$J$163:$J$298,MATCH($C11,'WBS2'!$F$163:$F$298,0))),"")</f>
        <v>Chưa có mail/PDF nào của NCC này (kiểm DB 27/10)</v>
      </c>
    </row>
    <row r="12" spans="1:42" ht="14.25" customHeight="1" x14ac:dyDescent="0.35">
      <c r="A12" s="13">
        <v>11</v>
      </c>
      <c r="B12" s="13" t="s">
        <v>20</v>
      </c>
      <c r="C12" s="14" t="s">
        <v>21</v>
      </c>
      <c r="D12" s="13" t="s">
        <v>567</v>
      </c>
      <c r="E12" s="18" t="s">
        <v>568</v>
      </c>
      <c r="F12" s="20" t="s">
        <v>382</v>
      </c>
      <c r="G12" s="23" t="s">
        <v>569</v>
      </c>
      <c r="H12" s="35" t="str">
        <f t="shared" si="0"/>
        <v>Mã tra cứu + Captcha ảnh</v>
      </c>
      <c r="I12" s="20" t="s">
        <v>528</v>
      </c>
      <c r="J12" s="17"/>
      <c r="K12" s="67">
        <v>1</v>
      </c>
      <c r="L12" s="20" t="s">
        <v>570</v>
      </c>
      <c r="M12" s="37"/>
      <c r="N12" s="38" t="s">
        <v>407</v>
      </c>
      <c r="O12" s="39" t="s">
        <v>509</v>
      </c>
      <c r="P12" s="39"/>
      <c r="Q12" s="39"/>
      <c r="R12" s="39"/>
      <c r="S12" s="39"/>
      <c r="T12" s="39"/>
      <c r="U12" s="39"/>
      <c r="V12" s="39"/>
      <c r="W12" s="39"/>
      <c r="X12" s="39" t="s">
        <v>509</v>
      </c>
      <c r="Y12" s="39"/>
      <c r="Z12" s="39"/>
      <c r="AA12" s="39"/>
      <c r="AB12" s="39"/>
      <c r="AC12" s="39">
        <v>2</v>
      </c>
      <c r="AD12" s="16" t="s">
        <v>571</v>
      </c>
      <c r="AE12" s="16" t="s">
        <v>572</v>
      </c>
      <c r="AF12" s="16" t="s">
        <v>573</v>
      </c>
      <c r="AG12" s="16" t="s">
        <v>574</v>
      </c>
      <c r="AH12" s="1"/>
      <c r="AI12" s="1"/>
      <c r="AJ12" t="str">
        <f>IFERROR(IF(INDEX('WBS2'!$I$2:$I$25,MATCH($C12,'WBS2'!$F$2:$F$25,0))="","",INDEX('WBS2'!$I$2:$I$25,MATCH($C12,'WBS2'!$F$2:$F$25,0))),"")</f>
        <v>Hoàn thành</v>
      </c>
      <c r="AK12" t="str">
        <f>IFERROR(IF(INDEX('WBS2'!$I$27:$I$162,MATCH($C12,'WBS2'!$F$27:$F$162,0))="","",INDEX('WBS2'!$I$27:$I$162,MATCH($C12,'WBS2'!$F$27:$F$162,0))),"")</f>
        <v>Sẵn sàng</v>
      </c>
      <c r="AL12" s="92">
        <f>IFERROR(IF(OR($AK12="Chưa hoàn thành",$AK12="Sẵn sàng"),INDEX('WBS2'!$H$27:$H$162,MATCH($C12,'WBS2'!$F$27:$F$162,0)),""),"")</f>
        <v>46356</v>
      </c>
      <c r="AM12" t="str">
        <f>IFERROR(IF(INDEX('WBS2'!$J$27:$J$162,MATCH($C12,'WBS2'!$F$27:$F$162,0))="","",INDEX('WBS2'!$J$27:$J$162,MATCH($C12,'WBS2'!$F$27:$F$162,0))),"")</f>
        <v/>
      </c>
      <c r="AN12" t="str">
        <f>IFERROR(IF(INDEX('WBS2'!$I$163:$I$298,MATCH($C12,'WBS2'!$F$163:$F$298,0))="","",INDEX('WBS2'!$I$163:$I$298,MATCH($C12,'WBS2'!$F$163:$F$298,0))),"")</f>
        <v>Sẵn sàng</v>
      </c>
      <c r="AO12" s="92">
        <f>IFERROR(IF(OR($AN12="Chưa hoàn thành",$AN12="Sẵn sàng"),INDEX('WBS2'!$H$163:$H$298,MATCH($C12,'WBS2'!$F$163:$F$298,0)),""),"")</f>
        <v>46356</v>
      </c>
      <c r="AP12" t="str">
        <f>IFERROR(IF(INDEX('WBS2'!$J$163:$J$298,MATCH($C12,'WBS2'!$F$163:$F$298,0))="","",INDEX('WBS2'!$J$163:$J$298,MATCH($C12,'WBS2'!$F$163:$F$298,0))),"")</f>
        <v/>
      </c>
    </row>
    <row r="13" spans="1:42" ht="14.25" hidden="1" customHeight="1" x14ac:dyDescent="0.35">
      <c r="A13" s="13">
        <v>12</v>
      </c>
      <c r="B13" s="13" t="s">
        <v>85</v>
      </c>
      <c r="C13" s="14" t="s">
        <v>86</v>
      </c>
      <c r="D13" s="13" t="s">
        <v>575</v>
      </c>
      <c r="E13" s="18" t="s">
        <v>576</v>
      </c>
      <c r="F13" s="20" t="s">
        <v>577</v>
      </c>
      <c r="G13" s="66" t="s">
        <v>578</v>
      </c>
      <c r="H13" s="35" t="str">
        <f t="shared" si="0"/>
        <v/>
      </c>
      <c r="I13" s="17"/>
      <c r="J13" s="17"/>
      <c r="K13" s="17"/>
      <c r="L13" s="17"/>
      <c r="M13" s="37"/>
      <c r="N13" s="38" t="s">
        <v>579</v>
      </c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16" t="s">
        <v>580</v>
      </c>
      <c r="AE13" s="16"/>
      <c r="AF13" s="16" t="s">
        <v>581</v>
      </c>
      <c r="AG13" s="16" t="s">
        <v>578</v>
      </c>
      <c r="AH13" s="1"/>
      <c r="AI13" s="1"/>
      <c r="AJ13" t="str">
        <f>IFERROR(IF(INDEX('WBS2'!$I$2:$I$25,MATCH($C13,'WBS2'!$F$2:$F$25,0))="","",INDEX('WBS2'!$I$2:$I$25,MATCH($C13,'WBS2'!$F$2:$F$25,0))),"")</f>
        <v/>
      </c>
      <c r="AK13" t="str">
        <f>IFERROR(IF(INDEX('WBS2'!$I$27:$I$162,MATCH($C13,'WBS2'!$F$27:$F$162,0))="","",INDEX('WBS2'!$I$27:$I$162,MATCH($C13,'WBS2'!$F$27:$F$162,0))),"")</f>
        <v>Chưa hoàn thành</v>
      </c>
      <c r="AL13" s="92">
        <f>IFERROR(IF(OR($AK13="Chưa hoàn thành",$AK13="Sẵn sàng"),INDEX('WBS2'!$H$27:$H$162,MATCH($C13,'WBS2'!$F$27:$F$162,0)),""),"")</f>
        <v>46446</v>
      </c>
      <c r="AM13" t="str">
        <f>IFERROR(IF(INDEX('WBS2'!$J$27:$J$162,MATCH($C13,'WBS2'!$F$27:$F$162,0))="","",INDEX('WBS2'!$J$27:$J$162,MATCH($C13,'WBS2'!$F$27:$F$162,0))),"")</f>
        <v>Không làm được qua link tra cứu – cổng lỗi. azinvoice.vn (khảo sát 14/10: Faile)</v>
      </c>
      <c r="AN13" t="str">
        <f>IFERROR(IF(INDEX('WBS2'!$I$163:$I$298,MATCH($C13,'WBS2'!$F$163:$F$298,0))="","",INDEX('WBS2'!$I$163:$I$298,MATCH($C13,'WBS2'!$F$163:$F$298,0))),"")</f>
        <v>Chưa hoàn thành</v>
      </c>
      <c r="AO13" s="92">
        <f>IFERROR(IF(OR($AN13="Chưa hoàn thành",$AN13="Sẵn sàng"),INDEX('WBS2'!$H$163:$H$298,MATCH($C13,'WBS2'!$F$163:$F$298,0)),""),"")</f>
        <v>46446</v>
      </c>
      <c r="AP13" t="str">
        <f>IFERROR(IF(INDEX('WBS2'!$J$163:$J$298,MATCH($C13,'WBS2'!$F$163:$F$298,0))="","",INDEX('WBS2'!$J$163:$J$298,MATCH($C13,'WBS2'!$F$163:$F$298,0))),"")</f>
        <v>Chưa có mail/PDF nào của NCC này (kiểm DB 27/10)</v>
      </c>
    </row>
    <row r="14" spans="1:42" ht="14.25" hidden="1" customHeight="1" x14ac:dyDescent="0.35">
      <c r="A14" s="13">
        <v>13</v>
      </c>
      <c r="B14" s="13" t="s">
        <v>88</v>
      </c>
      <c r="C14" s="14" t="s">
        <v>89</v>
      </c>
      <c r="D14" s="13" t="s">
        <v>582</v>
      </c>
      <c r="E14" s="18" t="s">
        <v>583</v>
      </c>
      <c r="F14" s="20" t="s">
        <v>381</v>
      </c>
      <c r="G14" s="23" t="s">
        <v>584</v>
      </c>
      <c r="H14" s="35" t="str">
        <f t="shared" si="0"/>
        <v>Mã tra cứu</v>
      </c>
      <c r="I14" s="17"/>
      <c r="J14" s="17"/>
      <c r="K14" s="17"/>
      <c r="L14" s="17"/>
      <c r="M14" s="37"/>
      <c r="N14" s="38" t="s">
        <v>407</v>
      </c>
      <c r="O14" s="39" t="s">
        <v>509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v>1</v>
      </c>
      <c r="AD14" s="16" t="s">
        <v>585</v>
      </c>
      <c r="AE14" s="16" t="s">
        <v>586</v>
      </c>
      <c r="AF14" s="16" t="s">
        <v>587</v>
      </c>
      <c r="AG14" s="16" t="s">
        <v>584</v>
      </c>
      <c r="AH14" s="1"/>
      <c r="AI14" s="1"/>
      <c r="AJ14" t="str">
        <f>IFERROR(IF(INDEX('WBS2'!$I$2:$I$25,MATCH($C14,'WBS2'!$F$2:$F$25,0))="","",INDEX('WBS2'!$I$2:$I$25,MATCH($C14,'WBS2'!$F$2:$F$25,0))),"")</f>
        <v/>
      </c>
      <c r="AK14" t="str">
        <f>IFERROR(IF(INDEX('WBS2'!$I$27:$I$162,MATCH($C14,'WBS2'!$F$27:$F$162,0))="","",INDEX('WBS2'!$I$27:$I$162,MATCH($C14,'WBS2'!$F$27:$F$162,0))),"")</f>
        <v>Hoàn thành</v>
      </c>
      <c r="AL14" s="92" t="str">
        <f>IFERROR(IF(OR($AK14="Chưa hoàn thành",$AK14="Sẵn sàng"),INDEX('WBS2'!$H$27:$H$162,MATCH($C14,'WBS2'!$F$27:$F$162,0)),""),"")</f>
        <v/>
      </c>
      <c r="AM14" t="str">
        <f>IFERROR(IF(INDEX('WBS2'!$J$27:$J$162,MATCH($C14,'WBS2'!$F$27:$F$162,0))="","",INDEX('WBS2'!$J$27:$J$162,MATCH($C14,'WBS2'!$F$27:$F$162,0))),"")</f>
        <v/>
      </c>
      <c r="AN14" t="str">
        <f>IFERROR(IF(INDEX('WBS2'!$I$163:$I$298,MATCH($C14,'WBS2'!$F$163:$F$298,0))="","",INDEX('WBS2'!$I$163:$I$298,MATCH($C14,'WBS2'!$F$163:$F$298,0))),"")</f>
        <v>Hoàn thành</v>
      </c>
      <c r="AO14" s="92" t="str">
        <f>IFERROR(IF(OR($AN14="Chưa hoàn thành",$AN14="Sẵn sàng"),INDEX('WBS2'!$H$163:$H$298,MATCH($C14,'WBS2'!$F$163:$F$298,0)),""),"")</f>
        <v/>
      </c>
      <c r="AP14" t="str">
        <f>IFERROR(IF(INDEX('WBS2'!$J$163:$J$298,MATCH($C14,'WBS2'!$F$163:$F$298,0))="","",INDEX('WBS2'!$J$163:$J$298,MATCH($C14,'WBS2'!$F$163:$F$298,0))),"")</f>
        <v/>
      </c>
    </row>
    <row r="15" spans="1:42" ht="14.25" hidden="1" customHeight="1" x14ac:dyDescent="0.35">
      <c r="A15" s="13">
        <v>14</v>
      </c>
      <c r="B15" s="13" t="s">
        <v>90</v>
      </c>
      <c r="C15" s="14" t="s">
        <v>91</v>
      </c>
      <c r="D15" s="13" t="s">
        <v>588</v>
      </c>
      <c r="E15" s="18" t="s">
        <v>589</v>
      </c>
      <c r="F15" s="20" t="s">
        <v>381</v>
      </c>
      <c r="G15" s="63" t="s">
        <v>590</v>
      </c>
      <c r="H15" s="35" t="str">
        <f t="shared" si="0"/>
        <v>Mã tra cứu + MST người bán</v>
      </c>
      <c r="I15" s="17"/>
      <c r="J15" s="17"/>
      <c r="K15" s="17"/>
      <c r="L15" s="17"/>
      <c r="M15" s="37"/>
      <c r="N15" s="38" t="s">
        <v>407</v>
      </c>
      <c r="O15" s="39" t="s">
        <v>509</v>
      </c>
      <c r="P15" s="39" t="s">
        <v>509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v>2</v>
      </c>
      <c r="AD15" s="16" t="s">
        <v>510</v>
      </c>
      <c r="AE15" s="16" t="s">
        <v>591</v>
      </c>
      <c r="AF15" s="16" t="s">
        <v>592</v>
      </c>
      <c r="AG15" s="16" t="s">
        <v>590</v>
      </c>
      <c r="AH15" s="1"/>
      <c r="AI15" s="1"/>
      <c r="AJ15" t="str">
        <f>IFERROR(IF(INDEX('WBS2'!$I$2:$I$25,MATCH($C15,'WBS2'!$F$2:$F$25,0))="","",INDEX('WBS2'!$I$2:$I$25,MATCH($C15,'WBS2'!$F$2:$F$25,0))),"")</f>
        <v/>
      </c>
      <c r="AK15" t="str">
        <f>IFERROR(IF(INDEX('WBS2'!$I$27:$I$162,MATCH($C15,'WBS2'!$F$27:$F$162,0))="","",INDEX('WBS2'!$I$27:$I$162,MATCH($C15,'WBS2'!$F$27:$F$162,0))),"")</f>
        <v>Hoàn thành</v>
      </c>
      <c r="AL15" s="92" t="str">
        <f>IFERROR(IF(OR($AK15="Chưa hoàn thành",$AK15="Sẵn sàng"),INDEX('WBS2'!$H$27:$H$162,MATCH($C15,'WBS2'!$F$27:$F$162,0)),""),"")</f>
        <v/>
      </c>
      <c r="AM15" t="str">
        <f>IFERROR(IF(INDEX('WBS2'!$J$27:$J$162,MATCH($C15,'WBS2'!$F$27:$F$162,0))="","",INDEX('WBS2'!$J$27:$J$162,MATCH($C15,'WBS2'!$F$27:$F$162,0))),"")</f>
        <v/>
      </c>
      <c r="AN15" t="str">
        <f>IFERROR(IF(INDEX('WBS2'!$I$163:$I$298,MATCH($C15,'WBS2'!$F$163:$F$298,0))="","",INDEX('WBS2'!$I$163:$I$298,MATCH($C15,'WBS2'!$F$163:$F$298,0))),"")</f>
        <v>Hoàn thành</v>
      </c>
      <c r="AO15" s="92" t="str">
        <f>IFERROR(IF(OR($AN15="Chưa hoàn thành",$AN15="Sẵn sàng"),INDEX('WBS2'!$H$163:$H$298,MATCH($C15,'WBS2'!$F$163:$F$298,0)),""),"")</f>
        <v/>
      </c>
      <c r="AP15" t="str">
        <f>IFERROR(IF(INDEX('WBS2'!$J$163:$J$298,MATCH($C15,'WBS2'!$F$163:$F$298,0))="","",INDEX('WBS2'!$J$163:$J$298,MATCH($C15,'WBS2'!$F$163:$F$298,0))),"")</f>
        <v/>
      </c>
    </row>
    <row r="16" spans="1:42" ht="14.25" hidden="1" customHeight="1" x14ac:dyDescent="0.35">
      <c r="A16" s="13">
        <v>15</v>
      </c>
      <c r="B16" s="13" t="s">
        <v>92</v>
      </c>
      <c r="C16" s="14" t="s">
        <v>93</v>
      </c>
      <c r="D16" s="13" t="s">
        <v>593</v>
      </c>
      <c r="E16" s="18" t="s">
        <v>594</v>
      </c>
      <c r="F16" s="20"/>
      <c r="G16" s="20"/>
      <c r="H16" s="35" t="str">
        <f t="shared" si="0"/>
        <v/>
      </c>
      <c r="I16" s="17"/>
      <c r="J16" s="17"/>
      <c r="K16" s="17"/>
      <c r="L16" s="17"/>
      <c r="M16" s="37"/>
      <c r="N16" s="38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1"/>
      <c r="AI16" s="1"/>
      <c r="AJ16" t="str">
        <f>IFERROR(IF(INDEX('WBS2'!$I$2:$I$25,MATCH($C16,'WBS2'!$F$2:$F$25,0))="","",INDEX('WBS2'!$I$2:$I$25,MATCH($C16,'WBS2'!$F$2:$F$25,0))),"")</f>
        <v/>
      </c>
      <c r="AK16" t="str">
        <f>IFERROR(IF(INDEX('WBS2'!$I$27:$I$162,MATCH($C16,'WBS2'!$F$27:$F$162,0))="","",INDEX('WBS2'!$I$27:$I$162,MATCH($C16,'WBS2'!$F$27:$F$162,0))),"")</f>
        <v>Chưa hoàn thành</v>
      </c>
      <c r="AL16" s="92">
        <f>IFERROR(IF(OR($AK16="Chưa hoàn thành",$AK16="Sẵn sàng"),INDEX('WBS2'!$H$27:$H$162,MATCH($C16,'WBS2'!$F$27:$F$162,0)),""),"")</f>
        <v>46446</v>
      </c>
      <c r="AM16" t="str">
        <f>IFERROR(IF(INDEX('WBS2'!$J$27:$J$162,MATCH($C16,'WBS2'!$F$27:$F$162,0))="","",INDEX('WBS2'!$J$27:$J$162,MATCH($C16,'WBS2'!$F$27:$F$162,0))),"")</f>
        <v>Chưa làm – danh sách chưa có link tra cứu, chưa có HĐ thật</v>
      </c>
      <c r="AN16" t="str">
        <f>IFERROR(IF(INDEX('WBS2'!$I$163:$I$298,MATCH($C16,'WBS2'!$F$163:$F$298,0))="","",INDEX('WBS2'!$I$163:$I$298,MATCH($C16,'WBS2'!$F$163:$F$298,0))),"")</f>
        <v>Chưa hoàn thành</v>
      </c>
      <c r="AO16" s="92">
        <f>IFERROR(IF(OR($AN16="Chưa hoàn thành",$AN16="Sẵn sàng"),INDEX('WBS2'!$H$163:$H$298,MATCH($C16,'WBS2'!$F$163:$F$298,0)),""),"")</f>
        <v>46446</v>
      </c>
      <c r="AP16" t="str">
        <f>IFERROR(IF(INDEX('WBS2'!$J$163:$J$298,MATCH($C16,'WBS2'!$F$163:$F$298,0))="","",INDEX('WBS2'!$J$163:$J$298,MATCH($C16,'WBS2'!$F$163:$F$298,0))),"")</f>
        <v>Chưa có mail/PDF nào của NCC này (kiểm DB 27/10)</v>
      </c>
    </row>
    <row r="17" spans="1:42" ht="18" customHeight="1" x14ac:dyDescent="0.35">
      <c r="A17" s="13">
        <v>16</v>
      </c>
      <c r="B17" s="13" t="s">
        <v>22</v>
      </c>
      <c r="C17" s="14" t="s">
        <v>23</v>
      </c>
      <c r="D17" s="13" t="s">
        <v>595</v>
      </c>
      <c r="E17" s="18" t="s">
        <v>596</v>
      </c>
      <c r="F17" s="20" t="s">
        <v>382</v>
      </c>
      <c r="G17" s="74" t="s">
        <v>597</v>
      </c>
      <c r="H17" s="35" t="str">
        <f t="shared" si="0"/>
        <v>Mã tra cứu + MST người bán + Captcha ảnh</v>
      </c>
      <c r="I17" s="20" t="s">
        <v>528</v>
      </c>
      <c r="J17" s="17"/>
      <c r="K17" s="67">
        <v>0.89239999999999997</v>
      </c>
      <c r="L17" s="20" t="s">
        <v>598</v>
      </c>
      <c r="M17" s="37"/>
      <c r="N17" s="38" t="s">
        <v>407</v>
      </c>
      <c r="O17" s="39" t="s">
        <v>509</v>
      </c>
      <c r="P17" s="39" t="s">
        <v>509</v>
      </c>
      <c r="Q17" s="39"/>
      <c r="R17" s="39"/>
      <c r="S17" s="39"/>
      <c r="T17" s="39"/>
      <c r="U17" s="39"/>
      <c r="V17" s="39"/>
      <c r="W17" s="39"/>
      <c r="X17" s="39" t="s">
        <v>509</v>
      </c>
      <c r="Y17" s="39"/>
      <c r="Z17" s="39"/>
      <c r="AA17" s="39"/>
      <c r="AB17" s="39"/>
      <c r="AC17" s="39">
        <v>3</v>
      </c>
      <c r="AD17" s="16" t="s">
        <v>599</v>
      </c>
      <c r="AE17" s="16"/>
      <c r="AF17" s="16" t="s">
        <v>600</v>
      </c>
      <c r="AG17" s="16" t="s">
        <v>601</v>
      </c>
      <c r="AH17" s="1"/>
      <c r="AI17" s="1"/>
      <c r="AJ17" t="str">
        <f>IFERROR(IF(INDEX('WBS2'!$I$2:$I$25,MATCH($C17,'WBS2'!$F$2:$F$25,0))="","",INDEX('WBS2'!$I$2:$I$25,MATCH($C17,'WBS2'!$F$2:$F$25,0))),"")</f>
        <v>Hoàn thành</v>
      </c>
      <c r="AK17" t="str">
        <f>IFERROR(IF(INDEX('WBS2'!$I$27:$I$162,MATCH($C17,'WBS2'!$F$27:$F$162,0))="","",INDEX('WBS2'!$I$27:$I$162,MATCH($C17,'WBS2'!$F$27:$F$162,0))),"")</f>
        <v>Hoàn thành</v>
      </c>
      <c r="AL17" s="92" t="str">
        <f>IFERROR(IF(OR($AK17="Chưa hoàn thành",$AK17="Sẵn sàng"),INDEX('WBS2'!$H$27:$H$162,MATCH($C17,'WBS2'!$F$27:$F$162,0)),""),"")</f>
        <v/>
      </c>
      <c r="AM17" t="str">
        <f>IFERROR(IF(INDEX('WBS2'!$J$27:$J$162,MATCH($C17,'WBS2'!$F$27:$F$162,0))="","",INDEX('WBS2'!$J$27:$J$162,MATCH($C17,'WBS2'!$F$27:$F$162,0))),"")</f>
        <v>lấy được đa số, Grab không lấy được</v>
      </c>
      <c r="AN17" t="str">
        <f>IFERROR(IF(INDEX('WBS2'!$I$163:$I$298,MATCH($C17,'WBS2'!$F$163:$F$298,0))="","",INDEX('WBS2'!$I$163:$I$298,MATCH($C17,'WBS2'!$F$163:$F$298,0))),"")</f>
        <v>Hoàn thành</v>
      </c>
      <c r="AO17" s="92" t="str">
        <f>IFERROR(IF(OR($AN17="Chưa hoàn thành",$AN17="Sẵn sàng"),INDEX('WBS2'!$H$163:$H$298,MATCH($C17,'WBS2'!$F$163:$F$298,0)),""),"")</f>
        <v/>
      </c>
      <c r="AP17" t="str">
        <f>IFERROR(IF(INDEX('WBS2'!$J$163:$J$298,MATCH($C17,'WBS2'!$F$163:$F$298,0))="","",INDEX('WBS2'!$J$163:$J$298,MATCH($C17,'WBS2'!$F$163:$F$298,0))),"")</f>
        <v/>
      </c>
    </row>
    <row r="18" spans="1:42" ht="14.25" hidden="1" customHeight="1" x14ac:dyDescent="0.35">
      <c r="A18" s="13">
        <v>17</v>
      </c>
      <c r="B18" s="13" t="s">
        <v>96</v>
      </c>
      <c r="C18" s="14" t="s">
        <v>97</v>
      </c>
      <c r="D18" s="13" t="s">
        <v>602</v>
      </c>
      <c r="E18" s="18" t="s">
        <v>603</v>
      </c>
      <c r="F18" s="20" t="s">
        <v>383</v>
      </c>
      <c r="G18" s="20" t="s">
        <v>604</v>
      </c>
      <c r="H18" s="35" t="str">
        <f t="shared" si="0"/>
        <v>Mã tra cứu + MST người bán + Captcha dạng tích</v>
      </c>
      <c r="I18" s="17"/>
      <c r="J18" s="17"/>
      <c r="K18" s="17"/>
      <c r="L18" s="17"/>
      <c r="M18" s="37"/>
      <c r="N18" s="38" t="s">
        <v>407</v>
      </c>
      <c r="O18" s="39" t="s">
        <v>509</v>
      </c>
      <c r="P18" s="39" t="s">
        <v>509</v>
      </c>
      <c r="Q18" s="39"/>
      <c r="R18" s="39"/>
      <c r="S18" s="39"/>
      <c r="T18" s="39"/>
      <c r="U18" s="39"/>
      <c r="V18" s="39"/>
      <c r="W18" s="39"/>
      <c r="X18" s="39"/>
      <c r="Y18" s="39" t="s">
        <v>509</v>
      </c>
      <c r="Z18" s="39"/>
      <c r="AA18" s="39"/>
      <c r="AB18" s="39"/>
      <c r="AC18" s="39">
        <v>3</v>
      </c>
      <c r="AD18" s="16" t="s">
        <v>522</v>
      </c>
      <c r="AE18" s="16" t="s">
        <v>605</v>
      </c>
      <c r="AF18" s="16" t="s">
        <v>606</v>
      </c>
      <c r="AG18" s="16" t="s">
        <v>604</v>
      </c>
      <c r="AH18" s="1"/>
      <c r="AI18" s="1"/>
      <c r="AJ18" t="str">
        <f>IFERROR(IF(INDEX('WBS2'!$I$2:$I$25,MATCH($C18,'WBS2'!$F$2:$F$25,0))="","",INDEX('WBS2'!$I$2:$I$25,MATCH($C18,'WBS2'!$F$2:$F$25,0))),"")</f>
        <v/>
      </c>
      <c r="AK18" t="str">
        <f>IFERROR(IF(INDEX('WBS2'!$I$27:$I$162,MATCH($C18,'WBS2'!$F$27:$F$162,0))="","",INDEX('WBS2'!$I$27:$I$162,MATCH($C18,'WBS2'!$F$27:$F$162,0))),"")</f>
        <v>Chưa hoàn thành</v>
      </c>
      <c r="AL18" s="92">
        <f>IFERROR(IF(OR($AK18="Chưa hoàn thành",$AK18="Sẵn sàng"),INDEX('WBS2'!$H$27:$H$162,MATCH($C18,'WBS2'!$F$27:$F$162,0)),""),"")</f>
        <v>46446</v>
      </c>
      <c r="AM18" t="str">
        <f>IFERROR(IF(INDEX('WBS2'!$J$27:$J$162,MATCH($C18,'WBS2'!$F$27:$F$162,0))="","",INDEX('WBS2'!$J$27:$J$162,MATCH($C18,'WBS2'!$F$27:$F$162,0))),"")</f>
        <v>Không làm được qua link tra cứu – bị chặn bởi reCAPTCHA v2 (server kiểm), lấy qua mail. dính reCAPTCHA Enterprise</v>
      </c>
      <c r="AN18" t="str">
        <f>IFERROR(IF(INDEX('WBS2'!$I$163:$I$298,MATCH($C18,'WBS2'!$F$163:$F$298,0))="","",INDEX('WBS2'!$I$163:$I$298,MATCH($C18,'WBS2'!$F$163:$F$298,0))),"")</f>
        <v>Chưa hoàn thành</v>
      </c>
      <c r="AO18" s="92">
        <f>IFERROR(IF(OR($AN18="Chưa hoàn thành",$AN18="Sẵn sàng"),INDEX('WBS2'!$H$163:$H$298,MATCH($C18,'WBS2'!$F$163:$F$298,0)),""),"")</f>
        <v>46446</v>
      </c>
      <c r="AP18" t="str">
        <f>IFERROR(IF(INDEX('WBS2'!$J$163:$J$298,MATCH($C18,'WBS2'!$F$163:$F$298,0))="","",INDEX('WBS2'!$J$163:$J$298,MATCH($C18,'WBS2'!$F$163:$F$298,0))),"")</f>
        <v>Chưa có mail/PDF nào của NCC này (kiểm DB 27/10)</v>
      </c>
    </row>
    <row r="19" spans="1:42" ht="14.25" hidden="1" customHeight="1" x14ac:dyDescent="0.35">
      <c r="A19" s="13">
        <v>18</v>
      </c>
      <c r="B19" s="13" t="s">
        <v>99</v>
      </c>
      <c r="C19" s="14" t="s">
        <v>100</v>
      </c>
      <c r="D19" s="13" t="s">
        <v>607</v>
      </c>
      <c r="E19" s="18" t="s">
        <v>608</v>
      </c>
      <c r="F19" s="20" t="s">
        <v>381</v>
      </c>
      <c r="G19" s="20" t="s">
        <v>609</v>
      </c>
      <c r="H19" s="35" t="str">
        <f t="shared" si="0"/>
        <v>Mã tra cứu + MST người bán</v>
      </c>
      <c r="I19" s="17"/>
      <c r="J19" s="17"/>
      <c r="K19" s="17"/>
      <c r="L19" s="17"/>
      <c r="M19" s="37"/>
      <c r="N19" s="38" t="s">
        <v>407</v>
      </c>
      <c r="O19" s="39" t="s">
        <v>509</v>
      </c>
      <c r="P19" s="39" t="s">
        <v>509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v>2</v>
      </c>
      <c r="AD19" s="16" t="s">
        <v>510</v>
      </c>
      <c r="AE19" s="16"/>
      <c r="AF19" s="16" t="s">
        <v>610</v>
      </c>
      <c r="AG19" s="16" t="s">
        <v>609</v>
      </c>
      <c r="AH19" s="1"/>
      <c r="AI19" s="1"/>
      <c r="AJ19" t="str">
        <f>IFERROR(IF(INDEX('WBS2'!$I$2:$I$25,MATCH($C19,'WBS2'!$F$2:$F$25,0))="","",INDEX('WBS2'!$I$2:$I$25,MATCH($C19,'WBS2'!$F$2:$F$25,0))),"")</f>
        <v/>
      </c>
      <c r="AK19" t="str">
        <f>IFERROR(IF(INDEX('WBS2'!$I$27:$I$162,MATCH($C19,'WBS2'!$F$27:$F$162,0))="","",INDEX('WBS2'!$I$27:$I$162,MATCH($C19,'WBS2'!$F$27:$F$162,0))),"")</f>
        <v>Chưa hoàn thành</v>
      </c>
      <c r="AL19" s="92">
        <f>IFERROR(IF(OR($AK19="Chưa hoàn thành",$AK19="Sẵn sàng"),INDEX('WBS2'!$H$27:$H$162,MATCH($C19,'WBS2'!$F$27:$F$162,0)),""),"")</f>
        <v>46446</v>
      </c>
      <c r="AM19" t="str">
        <f>IFERROR(IF(INDEX('WBS2'!$J$27:$J$162,MATCH($C19,'WBS2'!$F$27:$F$162,0))="","",INDEX('WBS2'!$J$27:$J$162,MATCH($C19,'WBS2'!$F$27:$F$162,0))),"")</f>
        <v>Không làm được qua link tra cứu – đại lý cổng FPT (reCAPTCHA v3), lấy qua mail. oinvoice.vn chuyển sang tracuuhoadon.fpt.com.vn; /api/search trả 500 invalid-input-response</v>
      </c>
      <c r="AN19" t="str">
        <f>IFERROR(IF(INDEX('WBS2'!$I$163:$I$298,MATCH($C19,'WBS2'!$F$163:$F$298,0))="","",INDEX('WBS2'!$I$163:$I$298,MATCH($C19,'WBS2'!$F$163:$F$298,0))),"")</f>
        <v>Chưa hoàn thành</v>
      </c>
      <c r="AO19" s="92">
        <f>IFERROR(IF(OR($AN19="Chưa hoàn thành",$AN19="Sẵn sàng"),INDEX('WBS2'!$H$163:$H$298,MATCH($C19,'WBS2'!$F$163:$F$298,0)),""),"")</f>
        <v>46446</v>
      </c>
      <c r="AP19" t="str">
        <f>IFERROR(IF(INDEX('WBS2'!$J$163:$J$298,MATCH($C19,'WBS2'!$F$163:$F$298,0))="","",INDEX('WBS2'!$J$163:$J$298,MATCH($C19,'WBS2'!$F$163:$F$298,0))),"")</f>
        <v>Chưa có mail/PDF nào của NCC này (kiểm DB 27/10)</v>
      </c>
    </row>
    <row r="20" spans="1:42" ht="14.25" hidden="1" customHeight="1" x14ac:dyDescent="0.35">
      <c r="A20" s="13">
        <v>19</v>
      </c>
      <c r="B20" s="13" t="s">
        <v>102</v>
      </c>
      <c r="C20" s="14" t="s">
        <v>103</v>
      </c>
      <c r="D20" s="13" t="s">
        <v>611</v>
      </c>
      <c r="E20" s="18" t="s">
        <v>612</v>
      </c>
      <c r="F20" s="20" t="s">
        <v>381</v>
      </c>
      <c r="G20" s="63" t="s">
        <v>613</v>
      </c>
      <c r="H20" s="35" t="str">
        <f t="shared" si="0"/>
        <v>Mã tra cứu</v>
      </c>
      <c r="I20" s="17"/>
      <c r="J20" s="17"/>
      <c r="K20" s="17"/>
      <c r="L20" s="17"/>
      <c r="M20" s="37"/>
      <c r="N20" s="38" t="s">
        <v>407</v>
      </c>
      <c r="O20" s="39" t="s">
        <v>509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v>1</v>
      </c>
      <c r="AD20" s="16" t="s">
        <v>614</v>
      </c>
      <c r="AE20" s="16" t="s">
        <v>615</v>
      </c>
      <c r="AF20" s="16" t="s">
        <v>616</v>
      </c>
      <c r="AG20" s="16" t="s">
        <v>613</v>
      </c>
      <c r="AH20" s="1"/>
      <c r="AI20" s="1"/>
      <c r="AJ20" t="str">
        <f>IFERROR(IF(INDEX('WBS2'!$I$2:$I$25,MATCH($C20,'WBS2'!$F$2:$F$25,0))="","",INDEX('WBS2'!$I$2:$I$25,MATCH($C20,'WBS2'!$F$2:$F$25,0))),"")</f>
        <v/>
      </c>
      <c r="AK20" t="str">
        <f>IFERROR(IF(INDEX('WBS2'!$I$27:$I$162,MATCH($C20,'WBS2'!$F$27:$F$162,0))="","",INDEX('WBS2'!$I$27:$I$162,MATCH($C20,'WBS2'!$F$27:$F$162,0))),"")</f>
        <v>Hoàn thành</v>
      </c>
      <c r="AL20" s="92" t="str">
        <f>IFERROR(IF(OR($AK20="Chưa hoàn thành",$AK20="Sẵn sàng"),INDEX('WBS2'!$H$27:$H$162,MATCH($C20,'WBS2'!$F$27:$F$162,0)),""),"")</f>
        <v/>
      </c>
      <c r="AM20" t="str">
        <f>IFERROR(IF(INDEX('WBS2'!$J$27:$J$162,MATCH($C20,'WBS2'!$F$27:$F$162,0))="","",INDEX('WBS2'!$J$27:$J$162,MATCH($C20,'WBS2'!$F$27:$F$162,0))),"")</f>
        <v/>
      </c>
      <c r="AN20" t="str">
        <f>IFERROR(IF(INDEX('WBS2'!$I$163:$I$298,MATCH($C20,'WBS2'!$F$163:$F$298,0))="","",INDEX('WBS2'!$I$163:$I$298,MATCH($C20,'WBS2'!$F$163:$F$298,0))),"")</f>
        <v>Hoàn thành</v>
      </c>
      <c r="AO20" s="92" t="str">
        <f>IFERROR(IF(OR($AN20="Chưa hoàn thành",$AN20="Sẵn sàng"),INDEX('WBS2'!$H$163:$H$298,MATCH($C20,'WBS2'!$F$163:$F$298,0)),""),"")</f>
        <v/>
      </c>
      <c r="AP20" t="str">
        <f>IFERROR(IF(INDEX('WBS2'!$J$163:$J$298,MATCH($C20,'WBS2'!$F$163:$F$298,0))="","",INDEX('WBS2'!$J$163:$J$298,MATCH($C20,'WBS2'!$F$163:$F$298,0))),"")</f>
        <v/>
      </c>
    </row>
    <row r="21" spans="1:42" ht="14.25" hidden="1" customHeight="1" x14ac:dyDescent="0.35">
      <c r="A21" s="13">
        <v>20</v>
      </c>
      <c r="B21" s="13" t="s">
        <v>104</v>
      </c>
      <c r="C21" s="14" t="s">
        <v>105</v>
      </c>
      <c r="D21" s="13" t="s">
        <v>617</v>
      </c>
      <c r="E21" s="18" t="s">
        <v>618</v>
      </c>
      <c r="F21" s="20" t="s">
        <v>387</v>
      </c>
      <c r="G21" s="23" t="s">
        <v>619</v>
      </c>
      <c r="H21" s="35" t="str">
        <f t="shared" si="0"/>
        <v>Mã tra cứu + MST người bán + Captcha khác (slider/hình)</v>
      </c>
      <c r="I21" s="17"/>
      <c r="J21" s="17"/>
      <c r="K21" s="17"/>
      <c r="L21" s="17"/>
      <c r="M21" s="37"/>
      <c r="N21" s="38" t="s">
        <v>407</v>
      </c>
      <c r="O21" s="39" t="s">
        <v>509</v>
      </c>
      <c r="P21" s="39" t="s">
        <v>509</v>
      </c>
      <c r="Q21" s="39"/>
      <c r="R21" s="39"/>
      <c r="S21" s="39"/>
      <c r="T21" s="39"/>
      <c r="U21" s="39"/>
      <c r="V21" s="39"/>
      <c r="W21" s="39"/>
      <c r="X21" s="39"/>
      <c r="Y21" s="39"/>
      <c r="Z21" s="39" t="s">
        <v>509</v>
      </c>
      <c r="AA21" s="39"/>
      <c r="AB21" s="39"/>
      <c r="AC21" s="39">
        <v>3</v>
      </c>
      <c r="AD21" s="16" t="s">
        <v>620</v>
      </c>
      <c r="AE21" s="16"/>
      <c r="AF21" s="16" t="s">
        <v>621</v>
      </c>
      <c r="AG21" s="16" t="s">
        <v>619</v>
      </c>
      <c r="AH21" s="1"/>
      <c r="AI21" s="1"/>
      <c r="AJ21" t="str">
        <f>IFERROR(IF(INDEX('WBS2'!$I$2:$I$25,MATCH($C21,'WBS2'!$F$2:$F$25,0))="","",INDEX('WBS2'!$I$2:$I$25,MATCH($C21,'WBS2'!$F$2:$F$25,0))),"")</f>
        <v/>
      </c>
      <c r="AK21" t="str">
        <f>IFERROR(IF(INDEX('WBS2'!$I$27:$I$162,MATCH($C21,'WBS2'!$F$27:$F$162,0))="","",INDEX('WBS2'!$I$27:$I$162,MATCH($C21,'WBS2'!$F$27:$F$162,0))),"")</f>
        <v>Hoàn thành</v>
      </c>
      <c r="AL21" s="92" t="str">
        <f>IFERROR(IF(OR($AK21="Chưa hoàn thành",$AK21="Sẵn sàng"),INDEX('WBS2'!$H$27:$H$162,MATCH($C21,'WBS2'!$F$27:$F$162,0)),""),"")</f>
        <v/>
      </c>
      <c r="AM21" t="str">
        <f>IFERROR(IF(INDEX('WBS2'!$J$27:$J$162,MATCH($C21,'WBS2'!$F$27:$F$162,0))="","",INDEX('WBS2'!$J$27:$J$162,MATCH($C21,'WBS2'!$F$27:$F$162,0))),"")</f>
        <v/>
      </c>
      <c r="AN21" t="str">
        <f>IFERROR(IF(INDEX('WBS2'!$I$163:$I$298,MATCH($C21,'WBS2'!$F$163:$F$298,0))="","",INDEX('WBS2'!$I$163:$I$298,MATCH($C21,'WBS2'!$F$163:$F$298,0))),"")</f>
        <v>Hoàn thành</v>
      </c>
      <c r="AO21" s="92" t="str">
        <f>IFERROR(IF(OR($AN21="Chưa hoàn thành",$AN21="Sẵn sàng"),INDEX('WBS2'!$H$163:$H$298,MATCH($C21,'WBS2'!$F$163:$F$298,0)),""),"")</f>
        <v/>
      </c>
      <c r="AP21" t="str">
        <f>IFERROR(IF(INDEX('WBS2'!$J$163:$J$298,MATCH($C21,'WBS2'!$F$163:$F$298,0))="","",INDEX('WBS2'!$J$163:$J$298,MATCH($C21,'WBS2'!$F$163:$F$298,0))),"")</f>
        <v/>
      </c>
    </row>
    <row r="22" spans="1:42" ht="14.25" customHeight="1" x14ac:dyDescent="0.35">
      <c r="A22" s="13">
        <v>21</v>
      </c>
      <c r="B22" s="13" t="s">
        <v>24</v>
      </c>
      <c r="C22" s="14" t="s">
        <v>25</v>
      </c>
      <c r="D22" s="13" t="s">
        <v>622</v>
      </c>
      <c r="E22" s="18" t="s">
        <v>623</v>
      </c>
      <c r="F22" s="20" t="s">
        <v>382</v>
      </c>
      <c r="G22" s="23" t="s">
        <v>624</v>
      </c>
      <c r="H22" s="35" t="str">
        <f t="shared" si="0"/>
        <v>Mã tra cứu + Captcha ảnh</v>
      </c>
      <c r="I22" s="20" t="s">
        <v>528</v>
      </c>
      <c r="J22" s="17"/>
      <c r="K22" s="67">
        <v>1</v>
      </c>
      <c r="L22" s="20" t="s">
        <v>625</v>
      </c>
      <c r="M22" s="37"/>
      <c r="N22" s="38" t="s">
        <v>407</v>
      </c>
      <c r="O22" s="39" t="s">
        <v>509</v>
      </c>
      <c r="P22" s="39"/>
      <c r="Q22" s="39"/>
      <c r="R22" s="39"/>
      <c r="S22" s="39"/>
      <c r="T22" s="39"/>
      <c r="U22" s="39"/>
      <c r="V22" s="39"/>
      <c r="W22" s="39"/>
      <c r="X22" s="39" t="s">
        <v>509</v>
      </c>
      <c r="Y22" s="39"/>
      <c r="Z22" s="39"/>
      <c r="AA22" s="39"/>
      <c r="AB22" s="39"/>
      <c r="AC22" s="39">
        <v>2</v>
      </c>
      <c r="AD22" s="16" t="s">
        <v>626</v>
      </c>
      <c r="AE22" s="16" t="s">
        <v>627</v>
      </c>
      <c r="AF22" s="16" t="s">
        <v>628</v>
      </c>
      <c r="AG22" s="16" t="s">
        <v>629</v>
      </c>
      <c r="AH22" s="1"/>
      <c r="AI22" s="1"/>
      <c r="AJ22" t="str">
        <f>IFERROR(IF(INDEX('WBS2'!$I$2:$I$25,MATCH($C22,'WBS2'!$F$2:$F$25,0))="","",INDEX('WBS2'!$I$2:$I$25,MATCH($C22,'WBS2'!$F$2:$F$25,0))),"")</f>
        <v>Hoàn thành</v>
      </c>
      <c r="AK22" t="str">
        <f>IFERROR(IF(INDEX('WBS2'!$I$27:$I$162,MATCH($C22,'WBS2'!$F$27:$F$162,0))="","",INDEX('WBS2'!$I$27:$I$162,MATCH($C22,'WBS2'!$F$27:$F$162,0))),"")</f>
        <v>Chưa hoàn thành</v>
      </c>
      <c r="AL22" s="92">
        <f>IFERROR(IF(OR($AK22="Chưa hoàn thành",$AK22="Sẵn sàng"),INDEX('WBS2'!$H$27:$H$162,MATCH($C22,'WBS2'!$F$27:$F$162,0)),""),"")</f>
        <v>46446</v>
      </c>
      <c r="AM22" t="str">
        <f>IFERROR(IF(INDEX('WBS2'!$J$27:$J$162,MATCH($C22,'WBS2'!$F$27:$F$162,0))="","",INDEX('WBS2'!$J$27:$J$162,MATCH($C22,'WBS2'!$F$27:$F$162,0))),"")</f>
        <v>Không làm được qua link tra cứu – phải đăng nhập. tax24.com.vn/einvoice là cổng đăng nhập doanh nghiệp, không có tra cứu công khai</v>
      </c>
      <c r="AN22" t="str">
        <f>IFERROR(IF(INDEX('WBS2'!$I$163:$I$298,MATCH($C22,'WBS2'!$F$163:$F$298,0))="","",INDEX('WBS2'!$I$163:$I$298,MATCH($C22,'WBS2'!$F$163:$F$298,0))),"")</f>
        <v>Chưa hoàn thành</v>
      </c>
      <c r="AO22" s="92">
        <f>IFERROR(IF(OR($AN22="Chưa hoàn thành",$AN22="Sẵn sàng"),INDEX('WBS2'!$H$163:$H$298,MATCH($C22,'WBS2'!$F$163:$F$298,0)),""),"")</f>
        <v>46477</v>
      </c>
      <c r="AP22" t="str">
        <f>IFERROR(IF(INDEX('WBS2'!$J$163:$J$298,MATCH($C22,'WBS2'!$F$163:$F$298,0))="","",INDEX('WBS2'!$J$163:$J$298,MATCH($C22,'WBS2'!$F$163:$F$298,0))),"")</f>
        <v>Chưa có mail/PDF nào của NCC này (kiểm DB 27/10)</v>
      </c>
    </row>
    <row r="23" spans="1:42" ht="14.25" hidden="1" customHeight="1" x14ac:dyDescent="0.35">
      <c r="A23" s="13">
        <v>22</v>
      </c>
      <c r="B23" s="13" t="s">
        <v>107</v>
      </c>
      <c r="C23" s="14" t="s">
        <v>108</v>
      </c>
      <c r="D23" s="75" t="s">
        <v>630</v>
      </c>
      <c r="E23" s="18" t="s">
        <v>631</v>
      </c>
      <c r="F23" s="20" t="s">
        <v>381</v>
      </c>
      <c r="G23" s="20" t="s">
        <v>632</v>
      </c>
      <c r="H23" s="35" t="str">
        <f t="shared" si="0"/>
        <v>Mã tra cứu + Captcha dạng tích</v>
      </c>
      <c r="I23" s="17"/>
      <c r="J23" s="17"/>
      <c r="K23" s="17"/>
      <c r="L23" s="17"/>
      <c r="M23" s="37"/>
      <c r="N23" s="38" t="s">
        <v>407</v>
      </c>
      <c r="O23" s="39" t="s">
        <v>509</v>
      </c>
      <c r="P23" s="39"/>
      <c r="Q23" s="39"/>
      <c r="R23" s="39"/>
      <c r="S23" s="39"/>
      <c r="T23" s="39"/>
      <c r="U23" s="39"/>
      <c r="V23" s="39"/>
      <c r="W23" s="39"/>
      <c r="X23" s="39"/>
      <c r="Y23" s="39" t="s">
        <v>509</v>
      </c>
      <c r="Z23" s="39"/>
      <c r="AA23" s="39"/>
      <c r="AB23" s="39"/>
      <c r="AC23" s="39">
        <v>2</v>
      </c>
      <c r="AD23" s="16" t="s">
        <v>537</v>
      </c>
      <c r="AE23" s="16" t="s">
        <v>633</v>
      </c>
      <c r="AF23" s="16" t="s">
        <v>634</v>
      </c>
      <c r="AG23" s="16" t="s">
        <v>632</v>
      </c>
      <c r="AH23" s="1"/>
      <c r="AI23" s="1"/>
      <c r="AJ23" t="str">
        <f>IFERROR(IF(INDEX('WBS2'!$I$2:$I$25,MATCH($C23,'WBS2'!$F$2:$F$25,0))="","",INDEX('WBS2'!$I$2:$I$25,MATCH($C23,'WBS2'!$F$2:$F$25,0))),"")</f>
        <v/>
      </c>
      <c r="AK23" t="str">
        <f>IFERROR(IF(INDEX('WBS2'!$I$27:$I$162,MATCH($C23,'WBS2'!$F$27:$F$162,0))="","",INDEX('WBS2'!$I$27:$I$162,MATCH($C23,'WBS2'!$F$27:$F$162,0))),"")</f>
        <v>Chưa hoàn thành</v>
      </c>
      <c r="AL23" s="92">
        <f>IFERROR(IF(OR($AK23="Chưa hoàn thành",$AK23="Sẵn sàng"),INDEX('WBS2'!$H$27:$H$162,MATCH($C23,'WBS2'!$F$27:$F$162,0)),""),"")</f>
        <v>46477</v>
      </c>
      <c r="AM23" t="str">
        <f>IFERROR(IF(INDEX('WBS2'!$J$27:$J$162,MATCH($C23,'WBS2'!$F$27:$F$162,0))="","",INDEX('WBS2'!$J$27:$J$162,MATCH($C23,'WBS2'!$F$27:$F$162,0))),"")</f>
        <v>Không làm được qua link tra cứu – bị chặn bởi reCAPTCHA v2 (server kiểm), lấy qua mail. newinvoice.com.vn</v>
      </c>
      <c r="AN23" t="str">
        <f>IFERROR(IF(INDEX('WBS2'!$I$163:$I$298,MATCH($C23,'WBS2'!$F$163:$F$298,0))="","",INDEX('WBS2'!$I$163:$I$298,MATCH($C23,'WBS2'!$F$163:$F$298,0))),"")</f>
        <v>Chưa hoàn thành</v>
      </c>
      <c r="AO23" s="92">
        <f>IFERROR(IF(OR($AN23="Chưa hoàn thành",$AN23="Sẵn sàng"),INDEX('WBS2'!$H$163:$H$298,MATCH($C23,'WBS2'!$F$163:$F$298,0)),""),"")</f>
        <v>46477</v>
      </c>
      <c r="AP23" t="str">
        <f>IFERROR(IF(INDEX('WBS2'!$J$163:$J$298,MATCH($C23,'WBS2'!$F$163:$F$298,0))="","",INDEX('WBS2'!$J$163:$J$298,MATCH($C23,'WBS2'!$F$163:$F$298,0))),"")</f>
        <v>Chưa có mail/PDF nào của NCC này (kiểm DB 27/10)</v>
      </c>
    </row>
    <row r="24" spans="1:42" ht="14.25" hidden="1" customHeight="1" x14ac:dyDescent="0.35">
      <c r="A24" s="13">
        <v>23</v>
      </c>
      <c r="B24" s="13" t="s">
        <v>110</v>
      </c>
      <c r="C24" s="14" t="s">
        <v>111</v>
      </c>
      <c r="D24" s="13" t="s">
        <v>635</v>
      </c>
      <c r="E24" s="18" t="s">
        <v>636</v>
      </c>
      <c r="F24" s="20" t="s">
        <v>381</v>
      </c>
      <c r="G24" s="63" t="s">
        <v>637</v>
      </c>
      <c r="H24" s="35" t="str">
        <f t="shared" si="0"/>
        <v>Mã tra cứu + MST người bán + Số HĐ</v>
      </c>
      <c r="I24" s="17"/>
      <c r="J24" s="17"/>
      <c r="K24" s="17"/>
      <c r="L24" s="17"/>
      <c r="M24" s="37"/>
      <c r="N24" s="38" t="s">
        <v>407</v>
      </c>
      <c r="O24" s="39" t="s">
        <v>509</v>
      </c>
      <c r="P24" s="39" t="s">
        <v>509</v>
      </c>
      <c r="Q24" s="39"/>
      <c r="R24" s="39"/>
      <c r="S24" s="39" t="s">
        <v>509</v>
      </c>
      <c r="T24" s="39"/>
      <c r="U24" s="39"/>
      <c r="V24" s="39"/>
      <c r="W24" s="39"/>
      <c r="X24" s="39"/>
      <c r="Y24" s="39"/>
      <c r="Z24" s="39"/>
      <c r="AA24" s="39"/>
      <c r="AB24" s="39"/>
      <c r="AC24" s="39">
        <v>3</v>
      </c>
      <c r="AD24" s="16" t="s">
        <v>510</v>
      </c>
      <c r="AE24" s="16"/>
      <c r="AF24" s="16" t="s">
        <v>638</v>
      </c>
      <c r="AG24" s="16" t="s">
        <v>637</v>
      </c>
      <c r="AH24" s="1"/>
      <c r="AI24" s="1"/>
      <c r="AJ24" t="str">
        <f>IFERROR(IF(INDEX('WBS2'!$I$2:$I$25,MATCH($C24,'WBS2'!$F$2:$F$25,0))="","",INDEX('WBS2'!$I$2:$I$25,MATCH($C24,'WBS2'!$F$2:$F$25,0))),"")</f>
        <v/>
      </c>
      <c r="AK24" t="str">
        <f>IFERROR(IF(INDEX('WBS2'!$I$27:$I$162,MATCH($C24,'WBS2'!$F$27:$F$162,0))="","",INDEX('WBS2'!$I$27:$I$162,MATCH($C24,'WBS2'!$F$27:$F$162,0))),"")</f>
        <v>Chưa hoàn thành</v>
      </c>
      <c r="AL24" s="92">
        <f>IFERROR(IF(OR($AK24="Chưa hoàn thành",$AK24="Sẵn sàng"),INDEX('WBS2'!$H$27:$H$162,MATCH($C24,'WBS2'!$F$27:$F$162,0)),""),"")</f>
        <v>46446</v>
      </c>
      <c r="AM24" t="str">
        <f>IFERROR(IF(INDEX('WBS2'!$J$27:$J$162,MATCH($C24,'WBS2'!$F$27:$F$162,0))="","",INDEX('WBS2'!$J$27:$J$162,MATCH($C24,'WBS2'!$F$27:$F$162,0))),"")</f>
        <v>Chưa làm. hddt.3asoft.vn: mtk + shd + mst, không captcha</v>
      </c>
      <c r="AN24" t="str">
        <f>IFERROR(IF(INDEX('WBS2'!$I$163:$I$298,MATCH($C24,'WBS2'!$F$163:$F$298,0))="","",INDEX('WBS2'!$I$163:$I$298,MATCH($C24,'WBS2'!$F$163:$F$298,0))),"")</f>
        <v>Chưa hoàn thành</v>
      </c>
      <c r="AO24" s="92">
        <f>IFERROR(IF(OR($AN24="Chưa hoàn thành",$AN24="Sẵn sàng"),INDEX('WBS2'!$H$163:$H$298,MATCH($C24,'WBS2'!$F$163:$F$298,0)),""),"")</f>
        <v>46446</v>
      </c>
      <c r="AP24" t="str">
        <f>IFERROR(IF(INDEX('WBS2'!$J$163:$J$298,MATCH($C24,'WBS2'!$F$163:$F$298,0))="","",INDEX('WBS2'!$J$163:$J$298,MATCH($C24,'WBS2'!$F$163:$F$298,0))),"")</f>
        <v>Chưa có mail/PDF nào của NCC này (kiểm DB 27/10)</v>
      </c>
    </row>
    <row r="25" spans="1:42" ht="14.25" hidden="1" customHeight="1" x14ac:dyDescent="0.35">
      <c r="A25" s="13">
        <v>24</v>
      </c>
      <c r="B25" s="13" t="s">
        <v>113</v>
      </c>
      <c r="C25" s="14" t="s">
        <v>114</v>
      </c>
      <c r="D25" s="13" t="s">
        <v>639</v>
      </c>
      <c r="E25" s="18" t="s">
        <v>640</v>
      </c>
      <c r="F25" s="20" t="s">
        <v>381</v>
      </c>
      <c r="G25" s="20" t="s">
        <v>641</v>
      </c>
      <c r="H25" s="35" t="str">
        <f t="shared" si="0"/>
        <v>Mã tra cứu + MST người bán</v>
      </c>
      <c r="I25" s="17"/>
      <c r="J25" s="17"/>
      <c r="K25" s="17"/>
      <c r="L25" s="17"/>
      <c r="M25" s="37"/>
      <c r="N25" s="38" t="s">
        <v>407</v>
      </c>
      <c r="O25" s="39" t="s">
        <v>509</v>
      </c>
      <c r="P25" s="39" t="s">
        <v>509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v>2</v>
      </c>
      <c r="AD25" s="16" t="s">
        <v>510</v>
      </c>
      <c r="AE25" s="16" t="s">
        <v>642</v>
      </c>
      <c r="AF25" s="16" t="s">
        <v>643</v>
      </c>
      <c r="AG25" s="16" t="s">
        <v>641</v>
      </c>
      <c r="AH25" s="1"/>
      <c r="AI25" s="1"/>
      <c r="AJ25" t="str">
        <f>IFERROR(IF(INDEX('WBS2'!$I$2:$I$25,MATCH($C25,'WBS2'!$F$2:$F$25,0))="","",INDEX('WBS2'!$I$2:$I$25,MATCH($C25,'WBS2'!$F$2:$F$25,0))),"")</f>
        <v/>
      </c>
      <c r="AK25" t="str">
        <f>IFERROR(IF(INDEX('WBS2'!$I$27:$I$162,MATCH($C25,'WBS2'!$F$27:$F$162,0))="","",INDEX('WBS2'!$I$27:$I$162,MATCH($C25,'WBS2'!$F$27:$F$162,0))),"")</f>
        <v>Hoàn thành</v>
      </c>
      <c r="AL25" s="92" t="str">
        <f>IFERROR(IF(OR($AK25="Chưa hoàn thành",$AK25="Sẵn sàng"),INDEX('WBS2'!$H$27:$H$162,MATCH($C25,'WBS2'!$F$27:$F$162,0)),""),"")</f>
        <v/>
      </c>
      <c r="AM25" t="str">
        <f>IFERROR(IF(INDEX('WBS2'!$J$27:$J$162,MATCH($C25,'WBS2'!$F$27:$F$162,0))="","",INDEX('WBS2'!$J$27:$J$162,MATCH($C25,'WBS2'!$F$27:$F$162,0))),"")</f>
        <v/>
      </c>
      <c r="AN25" t="str">
        <f>IFERROR(IF(INDEX('WBS2'!$I$163:$I$298,MATCH($C25,'WBS2'!$F$163:$F$298,0))="","",INDEX('WBS2'!$I$163:$I$298,MATCH($C25,'WBS2'!$F$163:$F$298,0))),"")</f>
        <v>Hoàn thành</v>
      </c>
      <c r="AO25" s="92" t="str">
        <f>IFERROR(IF(OR($AN25="Chưa hoàn thành",$AN25="Sẵn sàng"),INDEX('WBS2'!$H$163:$H$298,MATCH($C25,'WBS2'!$F$163:$F$298,0)),""),"")</f>
        <v/>
      </c>
      <c r="AP25" t="str">
        <f>IFERROR(IF(INDEX('WBS2'!$J$163:$J$298,MATCH($C25,'WBS2'!$F$163:$F$298,0))="","",INDEX('WBS2'!$J$163:$J$298,MATCH($C25,'WBS2'!$F$163:$F$298,0))),"")</f>
        <v/>
      </c>
    </row>
    <row r="26" spans="1:42" ht="14.25" hidden="1" customHeight="1" x14ac:dyDescent="0.35">
      <c r="A26" s="13">
        <v>25</v>
      </c>
      <c r="B26" s="13" t="s">
        <v>115</v>
      </c>
      <c r="C26" s="14" t="s">
        <v>116</v>
      </c>
      <c r="D26" s="13" t="s">
        <v>644</v>
      </c>
      <c r="E26" s="18" t="s">
        <v>645</v>
      </c>
      <c r="F26" s="20" t="s">
        <v>381</v>
      </c>
      <c r="G26" s="20" t="s">
        <v>646</v>
      </c>
      <c r="H26" s="35" t="str">
        <f t="shared" si="0"/>
        <v>Mã tra cứu + Captcha dạng tích</v>
      </c>
      <c r="I26" s="17"/>
      <c r="J26" s="17"/>
      <c r="K26" s="17"/>
      <c r="L26" s="17"/>
      <c r="M26" s="37"/>
      <c r="N26" s="38" t="s">
        <v>407</v>
      </c>
      <c r="O26" s="39" t="s">
        <v>509</v>
      </c>
      <c r="P26" s="39"/>
      <c r="Q26" s="39"/>
      <c r="R26" s="39"/>
      <c r="S26" s="39"/>
      <c r="T26" s="39"/>
      <c r="U26" s="39"/>
      <c r="V26" s="39"/>
      <c r="W26" s="39"/>
      <c r="X26" s="39"/>
      <c r="Y26" s="39" t="s">
        <v>509</v>
      </c>
      <c r="Z26" s="39"/>
      <c r="AA26" s="39"/>
      <c r="AB26" s="39"/>
      <c r="AC26" s="39">
        <v>2</v>
      </c>
      <c r="AD26" s="16" t="s">
        <v>537</v>
      </c>
      <c r="AE26" s="16" t="s">
        <v>647</v>
      </c>
      <c r="AF26" s="16" t="s">
        <v>648</v>
      </c>
      <c r="AG26" s="16" t="s">
        <v>646</v>
      </c>
      <c r="AH26" s="1"/>
      <c r="AI26" s="1"/>
      <c r="AJ26" t="str">
        <f>IFERROR(IF(INDEX('WBS2'!$I$2:$I$25,MATCH($C26,'WBS2'!$F$2:$F$25,0))="","",INDEX('WBS2'!$I$2:$I$25,MATCH($C26,'WBS2'!$F$2:$F$25,0))),"")</f>
        <v/>
      </c>
      <c r="AK26" t="str">
        <f>IFERROR(IF(INDEX('WBS2'!$I$27:$I$162,MATCH($C26,'WBS2'!$F$27:$F$162,0))="","",INDEX('WBS2'!$I$27:$I$162,MATCH($C26,'WBS2'!$F$27:$F$162,0))),"")</f>
        <v>Hoàn thành</v>
      </c>
      <c r="AL26" s="92" t="str">
        <f>IFERROR(IF(OR($AK26="Chưa hoàn thành",$AK26="Sẵn sàng"),INDEX('WBS2'!$H$27:$H$162,MATCH($C26,'WBS2'!$F$27:$F$162,0)),""),"")</f>
        <v/>
      </c>
      <c r="AM26" t="str">
        <f>IFERROR(IF(INDEX('WBS2'!$J$27:$J$162,MATCH($C26,'WBS2'!$F$27:$F$162,0))="","",INDEX('WBS2'!$J$27:$J$162,MATCH($C26,'WBS2'!$F$27:$F$162,0))),"")</f>
        <v/>
      </c>
      <c r="AN26" t="str">
        <f>IFERROR(IF(INDEX('WBS2'!$I$163:$I$298,MATCH($C26,'WBS2'!$F$163:$F$298,0))="","",INDEX('WBS2'!$I$163:$I$298,MATCH($C26,'WBS2'!$F$163:$F$298,0))),"")</f>
        <v>Hoàn thành</v>
      </c>
      <c r="AO26" s="92" t="str">
        <f>IFERROR(IF(OR($AN26="Chưa hoàn thành",$AN26="Sẵn sàng"),INDEX('WBS2'!$H$163:$H$298,MATCH($C26,'WBS2'!$F$163:$F$298,0)),""),"")</f>
        <v/>
      </c>
      <c r="AP26" t="str">
        <f>IFERROR(IF(INDEX('WBS2'!$J$163:$J$298,MATCH($C26,'WBS2'!$F$163:$F$298,0))="","",INDEX('WBS2'!$J$163:$J$298,MATCH($C26,'WBS2'!$F$163:$F$298,0))),"")</f>
        <v/>
      </c>
    </row>
    <row r="27" spans="1:42" ht="14.25" customHeight="1" x14ac:dyDescent="0.35">
      <c r="A27" s="13">
        <v>26</v>
      </c>
      <c r="B27" s="13" t="s">
        <v>26</v>
      </c>
      <c r="C27" s="14" t="s">
        <v>27</v>
      </c>
      <c r="D27" s="13" t="s">
        <v>649</v>
      </c>
      <c r="E27" s="18" t="s">
        <v>650</v>
      </c>
      <c r="F27" s="20" t="s">
        <v>382</v>
      </c>
      <c r="G27" s="59" t="s">
        <v>651</v>
      </c>
      <c r="H27" s="35" t="str">
        <f t="shared" si="0"/>
        <v>Mã tra cứu + Captcha ảnh</v>
      </c>
      <c r="I27" s="20" t="s">
        <v>528</v>
      </c>
      <c r="J27" s="17"/>
      <c r="K27" s="67">
        <v>0</v>
      </c>
      <c r="L27" s="20" t="s">
        <v>652</v>
      </c>
      <c r="M27" s="37"/>
      <c r="N27" s="38" t="s">
        <v>407</v>
      </c>
      <c r="O27" s="39" t="s">
        <v>509</v>
      </c>
      <c r="P27" s="39"/>
      <c r="Q27" s="39"/>
      <c r="R27" s="39"/>
      <c r="S27" s="39"/>
      <c r="T27" s="39"/>
      <c r="U27" s="39"/>
      <c r="V27" s="39"/>
      <c r="W27" s="39"/>
      <c r="X27" s="39" t="s">
        <v>509</v>
      </c>
      <c r="Y27" s="39"/>
      <c r="Z27" s="39"/>
      <c r="AA27" s="39"/>
      <c r="AB27" s="39"/>
      <c r="AC27" s="39">
        <v>2</v>
      </c>
      <c r="AD27" s="16" t="s">
        <v>653</v>
      </c>
      <c r="AE27" s="16" t="s">
        <v>654</v>
      </c>
      <c r="AF27" s="16" t="s">
        <v>655</v>
      </c>
      <c r="AG27" s="16" t="s">
        <v>656</v>
      </c>
      <c r="AH27" s="1"/>
      <c r="AI27" s="1"/>
      <c r="AJ27" t="str">
        <f>IFERROR(IF(INDEX('WBS2'!$I$2:$I$25,MATCH($C27,'WBS2'!$F$2:$F$25,0))="","",INDEX('WBS2'!$I$2:$I$25,MATCH($C27,'WBS2'!$F$2:$F$25,0))),"")</f>
        <v>Đang training</v>
      </c>
      <c r="AK27" t="str">
        <f>IFERROR(IF(INDEX('WBS2'!$I$27:$I$162,MATCH($C27,'WBS2'!$F$27:$F$162,0))="","",INDEX('WBS2'!$I$27:$I$162,MATCH($C27,'WBS2'!$F$27:$F$162,0))),"")</f>
        <v>Hoàn thành</v>
      </c>
      <c r="AL27" s="92" t="str">
        <f>IFERROR(IF(OR($AK27="Chưa hoàn thành",$AK27="Sẵn sàng"),INDEX('WBS2'!$H$27:$H$162,MATCH($C27,'WBS2'!$F$27:$F$162,0)),""),"")</f>
        <v/>
      </c>
      <c r="AM27" t="str">
        <f>IFERROR(IF(INDEX('WBS2'!$J$27:$J$162,MATCH($C27,'WBS2'!$F$27:$F$162,0))="","",INDEX('WBS2'!$J$27:$J$162,MATCH($C27,'WBS2'!$F$27:$F$162,0))),"")</f>
        <v/>
      </c>
      <c r="AN27" t="str">
        <f>IFERROR(IF(INDEX('WBS2'!$I$163:$I$298,MATCH($C27,'WBS2'!$F$163:$F$298,0))="","",INDEX('WBS2'!$I$163:$I$298,MATCH($C27,'WBS2'!$F$163:$F$298,0))),"")</f>
        <v>Hoàn thành</v>
      </c>
      <c r="AO27" s="92" t="str">
        <f>IFERROR(IF(OR($AN27="Chưa hoàn thành",$AN27="Sẵn sàng"),INDEX('WBS2'!$H$163:$H$298,MATCH($C27,'WBS2'!$F$163:$F$298,0)),""),"")</f>
        <v/>
      </c>
      <c r="AP27" t="str">
        <f>IFERROR(IF(INDEX('WBS2'!$J$163:$J$298,MATCH($C27,'WBS2'!$F$163:$F$298,0))="","",INDEX('WBS2'!$J$163:$J$298,MATCH($C27,'WBS2'!$F$163:$F$298,0))),"")</f>
        <v/>
      </c>
    </row>
    <row r="28" spans="1:42" ht="14.25" customHeight="1" x14ac:dyDescent="0.35">
      <c r="A28" s="13">
        <v>27</v>
      </c>
      <c r="B28" s="13" t="s">
        <v>29</v>
      </c>
      <c r="C28" s="14" t="s">
        <v>30</v>
      </c>
      <c r="D28" s="13" t="s">
        <v>657</v>
      </c>
      <c r="E28" s="18" t="s">
        <v>658</v>
      </c>
      <c r="F28" s="20" t="s">
        <v>382</v>
      </c>
      <c r="G28" s="59" t="s">
        <v>659</v>
      </c>
      <c r="H28" s="35" t="str">
        <f t="shared" si="0"/>
        <v>Mã tra cứu + Captcha ảnh</v>
      </c>
      <c r="I28" s="20" t="s">
        <v>528</v>
      </c>
      <c r="J28" s="17"/>
      <c r="K28" s="67">
        <v>0.96</v>
      </c>
      <c r="L28" s="20" t="s">
        <v>660</v>
      </c>
      <c r="M28" s="37"/>
      <c r="N28" s="38" t="s">
        <v>407</v>
      </c>
      <c r="O28" s="39" t="s">
        <v>509</v>
      </c>
      <c r="P28" s="39"/>
      <c r="Q28" s="39"/>
      <c r="R28" s="39"/>
      <c r="S28" s="39"/>
      <c r="T28" s="39"/>
      <c r="U28" s="39"/>
      <c r="V28" s="39"/>
      <c r="W28" s="39"/>
      <c r="X28" s="39" t="s">
        <v>509</v>
      </c>
      <c r="Y28" s="39"/>
      <c r="Z28" s="39"/>
      <c r="AA28" s="39"/>
      <c r="AB28" s="39"/>
      <c r="AC28" s="39">
        <v>2</v>
      </c>
      <c r="AD28" s="16" t="s">
        <v>661</v>
      </c>
      <c r="AE28" s="16" t="s">
        <v>662</v>
      </c>
      <c r="AF28" s="16" t="s">
        <v>663</v>
      </c>
      <c r="AG28" s="16" t="s">
        <v>664</v>
      </c>
      <c r="AH28" s="1"/>
      <c r="AI28" s="1"/>
      <c r="AJ28" t="str">
        <f>IFERROR(IF(INDEX('WBS2'!$I$2:$I$25,MATCH($C28,'WBS2'!$F$2:$F$25,0))="","",INDEX('WBS2'!$I$2:$I$25,MATCH($C28,'WBS2'!$F$2:$F$25,0))),"")</f>
        <v>Hoàn thành</v>
      </c>
      <c r="AK28" t="str">
        <f>IFERROR(IF(INDEX('WBS2'!$I$27:$I$162,MATCH($C28,'WBS2'!$F$27:$F$162,0))="","",INDEX('WBS2'!$I$27:$I$162,MATCH($C28,'WBS2'!$F$27:$F$162,0))),"")</f>
        <v>Hoàn thành</v>
      </c>
      <c r="AL28" s="92" t="str">
        <f>IFERROR(IF(OR($AK28="Chưa hoàn thành",$AK28="Sẵn sàng"),INDEX('WBS2'!$H$27:$H$162,MATCH($C28,'WBS2'!$F$27:$F$162,0)),""),"")</f>
        <v/>
      </c>
      <c r="AM28" t="str">
        <f>IFERROR(IF(INDEX('WBS2'!$J$27:$J$162,MATCH($C28,'WBS2'!$F$27:$F$162,0))="","",INDEX('WBS2'!$J$27:$J$162,MATCH($C28,'WBS2'!$F$27:$F$162,0))),"")</f>
        <v/>
      </c>
      <c r="AN28" t="str">
        <f>IFERROR(IF(INDEX('WBS2'!$I$163:$I$298,MATCH($C28,'WBS2'!$F$163:$F$298,0))="","",INDEX('WBS2'!$I$163:$I$298,MATCH($C28,'WBS2'!$F$163:$F$298,0))),"")</f>
        <v>Hoàn thành</v>
      </c>
      <c r="AO28" s="92" t="str">
        <f>IFERROR(IF(OR($AN28="Chưa hoàn thành",$AN28="Sẵn sàng"),INDEX('WBS2'!$H$163:$H$298,MATCH($C28,'WBS2'!$F$163:$F$298,0)),""),"")</f>
        <v/>
      </c>
      <c r="AP28" t="str">
        <f>IFERROR(IF(INDEX('WBS2'!$J$163:$J$298,MATCH($C28,'WBS2'!$F$163:$F$298,0))="","",INDEX('WBS2'!$J$163:$J$298,MATCH($C28,'WBS2'!$F$163:$F$298,0))),"")</f>
        <v/>
      </c>
    </row>
    <row r="29" spans="1:42" ht="14.25" hidden="1" customHeight="1" x14ac:dyDescent="0.35">
      <c r="A29" s="13">
        <v>28</v>
      </c>
      <c r="B29" s="13" t="s">
        <v>117</v>
      </c>
      <c r="C29" s="14" t="s">
        <v>118</v>
      </c>
      <c r="D29" s="13" t="s">
        <v>665</v>
      </c>
      <c r="E29" s="18" t="s">
        <v>666</v>
      </c>
      <c r="F29" s="20" t="s">
        <v>577</v>
      </c>
      <c r="G29" s="63" t="s">
        <v>667</v>
      </c>
      <c r="H29" s="35" t="str">
        <f t="shared" si="0"/>
        <v>Mã tra cứu</v>
      </c>
      <c r="I29" s="17"/>
      <c r="J29" s="17"/>
      <c r="K29" s="17"/>
      <c r="L29" s="17"/>
      <c r="M29" s="37"/>
      <c r="N29" s="38" t="s">
        <v>407</v>
      </c>
      <c r="O29" s="39" t="s">
        <v>509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v>1</v>
      </c>
      <c r="AD29" s="16" t="s">
        <v>510</v>
      </c>
      <c r="AE29" s="16" t="s">
        <v>668</v>
      </c>
      <c r="AF29" s="16" t="s">
        <v>669</v>
      </c>
      <c r="AG29" s="16" t="s">
        <v>667</v>
      </c>
      <c r="AH29" s="1"/>
      <c r="AI29" s="1"/>
      <c r="AJ29" t="str">
        <f>IFERROR(IF(INDEX('WBS2'!$I$2:$I$25,MATCH($C29,'WBS2'!$F$2:$F$25,0))="","",INDEX('WBS2'!$I$2:$I$25,MATCH($C29,'WBS2'!$F$2:$F$25,0))),"")</f>
        <v/>
      </c>
      <c r="AK29" t="str">
        <f>IFERROR(IF(INDEX('WBS2'!$I$27:$I$162,MATCH($C29,'WBS2'!$F$27:$F$162,0))="","",INDEX('WBS2'!$I$27:$I$162,MATCH($C29,'WBS2'!$F$27:$F$162,0))),"")</f>
        <v>Sẵn sàng</v>
      </c>
      <c r="AL29" s="92">
        <f>IFERROR(IF(OR($AK29="Chưa hoàn thành",$AK29="Sẵn sàng"),INDEX('WBS2'!$H$27:$H$162,MATCH($C29,'WBS2'!$F$27:$F$162,0)),""),"")</f>
        <v>46356</v>
      </c>
      <c r="AM29" t="str">
        <f>IFERROR(IF(INDEX('WBS2'!$J$27:$J$162,MATCH($C29,'WBS2'!$F$27:$F$162,0))="","",INDEX('WBS2'!$J$27:$J$162,MATCH($C29,'WBS2'!$F$27:$F$162,0))),"")</f>
        <v>pmbk – không captcha</v>
      </c>
      <c r="AN29" t="str">
        <f>IFERROR(IF(INDEX('WBS2'!$I$163:$I$298,MATCH($C29,'WBS2'!$F$163:$F$298,0))="","",INDEX('WBS2'!$I$163:$I$298,MATCH($C29,'WBS2'!$F$163:$F$298,0))),"")</f>
        <v>Sẵn sàng</v>
      </c>
      <c r="AO29" s="92">
        <f>IFERROR(IF(OR($AN29="Chưa hoàn thành",$AN29="Sẵn sàng"),INDEX('WBS2'!$H$163:$H$298,MATCH($C29,'WBS2'!$F$163:$F$298,0)),""),"")</f>
        <v>46356</v>
      </c>
      <c r="AP29" t="str">
        <f>IFERROR(IF(INDEX('WBS2'!$J$163:$J$298,MATCH($C29,'WBS2'!$F$163:$F$298,0))="","",INDEX('WBS2'!$J$163:$J$298,MATCH($C29,'WBS2'!$F$163:$F$298,0))),"")</f>
        <v/>
      </c>
    </row>
    <row r="30" spans="1:42" ht="14.25" customHeight="1" x14ac:dyDescent="0.35">
      <c r="A30" s="13">
        <v>29</v>
      </c>
      <c r="B30" s="13" t="s">
        <v>31</v>
      </c>
      <c r="C30" s="14" t="s">
        <v>32</v>
      </c>
      <c r="D30" s="13" t="s">
        <v>670</v>
      </c>
      <c r="E30" s="18" t="s">
        <v>671</v>
      </c>
      <c r="F30" s="20" t="s">
        <v>382</v>
      </c>
      <c r="G30" s="76" t="s">
        <v>672</v>
      </c>
      <c r="H30" s="35" t="str">
        <f t="shared" si="0"/>
        <v>Mã tra cứu + Mã CQT + Captcha ảnh</v>
      </c>
      <c r="I30" s="20" t="s">
        <v>528</v>
      </c>
      <c r="J30" s="17"/>
      <c r="K30" s="67">
        <v>0</v>
      </c>
      <c r="L30" s="20" t="s">
        <v>673</v>
      </c>
      <c r="M30" s="37"/>
      <c r="N30" s="38" t="s">
        <v>407</v>
      </c>
      <c r="O30" s="39" t="s">
        <v>509</v>
      </c>
      <c r="P30" s="39"/>
      <c r="Q30" s="39"/>
      <c r="R30" s="39"/>
      <c r="S30" s="39"/>
      <c r="T30" s="39"/>
      <c r="U30" s="39"/>
      <c r="V30" s="39" t="s">
        <v>509</v>
      </c>
      <c r="W30" s="39"/>
      <c r="X30" s="39" t="s">
        <v>509</v>
      </c>
      <c r="Y30" s="39"/>
      <c r="Z30" s="39"/>
      <c r="AA30" s="39"/>
      <c r="AB30" s="39"/>
      <c r="AC30" s="39">
        <v>3</v>
      </c>
      <c r="AD30" s="16" t="s">
        <v>674</v>
      </c>
      <c r="AE30" s="16" t="s">
        <v>675</v>
      </c>
      <c r="AF30" s="16" t="s">
        <v>676</v>
      </c>
      <c r="AG30" s="16" t="s">
        <v>677</v>
      </c>
      <c r="AH30" s="76" t="s">
        <v>678</v>
      </c>
      <c r="AI30" s="1"/>
      <c r="AJ30" t="str">
        <f>IFERROR(IF(INDEX('WBS2'!$I$2:$I$25,MATCH($C30,'WBS2'!$F$2:$F$25,0))="","",INDEX('WBS2'!$I$2:$I$25,MATCH($C30,'WBS2'!$F$2:$F$25,0))),"")</f>
        <v>Hoàn thành</v>
      </c>
      <c r="AK30" t="str">
        <f>IFERROR(IF(INDEX('WBS2'!$I$27:$I$162,MATCH($C30,'WBS2'!$F$27:$F$162,0))="","",INDEX('WBS2'!$I$27:$I$162,MATCH($C30,'WBS2'!$F$27:$F$162,0))),"")</f>
        <v>Hoàn thành</v>
      </c>
      <c r="AL30" s="92" t="str">
        <f>IFERROR(IF(OR($AK30="Chưa hoàn thành",$AK30="Sẵn sàng"),INDEX('WBS2'!$H$27:$H$162,MATCH($C30,'WBS2'!$F$27:$F$162,0)),""),"")</f>
        <v/>
      </c>
      <c r="AM30" t="str">
        <f>IFERROR(IF(INDEX('WBS2'!$J$27:$J$162,MATCH($C30,'WBS2'!$F$27:$F$162,0))="","",INDEX('WBS2'!$J$27:$J$162,MATCH($C30,'WBS2'!$F$27:$F$162,0))),"")</f>
        <v>27/10: thêm cổng Nội Bài invoice-noibai.vietnamairport.vn → han-tt78.vnpt-invoice.com.vn (Fkey trong link mail, thật 1/1); host -tt78 có dấu '_' cũng nhận</v>
      </c>
      <c r="AN30" t="str">
        <f>IFERROR(IF(INDEX('WBS2'!$I$163:$I$298,MATCH($C30,'WBS2'!$F$163:$F$298,0))="","",INDEX('WBS2'!$I$163:$I$298,MATCH($C30,'WBS2'!$F$163:$F$298,0))),"")</f>
        <v>Hoàn thành</v>
      </c>
      <c r="AO30" s="92" t="str">
        <f>IFERROR(IF(OR($AN30="Chưa hoàn thành",$AN30="Sẵn sàng"),INDEX('WBS2'!$H$163:$H$298,MATCH($C30,'WBS2'!$F$163:$F$298,0)),""),"")</f>
        <v/>
      </c>
      <c r="AP30" t="str">
        <f>IFERROR(IF(INDEX('WBS2'!$J$163:$J$298,MATCH($C30,'WBS2'!$F$163:$F$298,0))="","",INDEX('WBS2'!$J$163:$J$298,MATCH($C30,'WBS2'!$F$163:$F$298,0))),"")</f>
        <v/>
      </c>
    </row>
    <row r="31" spans="1:42" ht="14.25" hidden="1" customHeight="1" x14ac:dyDescent="0.35">
      <c r="A31" s="13">
        <v>30</v>
      </c>
      <c r="B31" s="13" t="s">
        <v>121</v>
      </c>
      <c r="C31" s="14" t="s">
        <v>122</v>
      </c>
      <c r="D31" s="13" t="s">
        <v>679</v>
      </c>
      <c r="E31" s="18" t="s">
        <v>680</v>
      </c>
      <c r="F31" s="20" t="s">
        <v>381</v>
      </c>
      <c r="G31" s="23" t="s">
        <v>681</v>
      </c>
      <c r="H31" s="35" t="str">
        <f t="shared" si="0"/>
        <v>Mã tra cứu + MST người bán</v>
      </c>
      <c r="I31" s="17"/>
      <c r="J31" s="17"/>
      <c r="K31" s="17"/>
      <c r="L31" s="17"/>
      <c r="M31" s="37"/>
      <c r="N31" s="38" t="s">
        <v>407</v>
      </c>
      <c r="O31" s="39" t="s">
        <v>509</v>
      </c>
      <c r="P31" s="39" t="s">
        <v>509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v>2</v>
      </c>
      <c r="AD31" s="16" t="s">
        <v>682</v>
      </c>
      <c r="AE31" s="16" t="s">
        <v>683</v>
      </c>
      <c r="AF31" s="16" t="s">
        <v>684</v>
      </c>
      <c r="AG31" s="16" t="s">
        <v>681</v>
      </c>
      <c r="AH31" s="1"/>
      <c r="AI31" s="1"/>
      <c r="AJ31" t="str">
        <f>IFERROR(IF(INDEX('WBS2'!$I$2:$I$25,MATCH($C31,'WBS2'!$F$2:$F$25,0))="","",INDEX('WBS2'!$I$2:$I$25,MATCH($C31,'WBS2'!$F$2:$F$25,0))),"")</f>
        <v/>
      </c>
      <c r="AK31" t="str">
        <f>IFERROR(IF(INDEX('WBS2'!$I$27:$I$162,MATCH($C31,'WBS2'!$F$27:$F$162,0))="","",INDEX('WBS2'!$I$27:$I$162,MATCH($C31,'WBS2'!$F$27:$F$162,0))),"")</f>
        <v>Hoàn thành</v>
      </c>
      <c r="AL31" s="92" t="str">
        <f>IFERROR(IF(OR($AK31="Chưa hoàn thành",$AK31="Sẵn sàng"),INDEX('WBS2'!$H$27:$H$162,MATCH($C31,'WBS2'!$F$27:$F$162,0)),""),"")</f>
        <v/>
      </c>
      <c r="AM31" t="str">
        <f>IFERROR(IF(INDEX('WBS2'!$J$27:$J$162,MATCH($C31,'WBS2'!$F$27:$F$162,0))="","",INDEX('WBS2'!$J$27:$J$162,MATCH($C31,'WBS2'!$F$27:$F$162,0))),"")</f>
        <v/>
      </c>
      <c r="AN31" t="str">
        <f>IFERROR(IF(INDEX('WBS2'!$I$163:$I$298,MATCH($C31,'WBS2'!$F$163:$F$298,0))="","",INDEX('WBS2'!$I$163:$I$298,MATCH($C31,'WBS2'!$F$163:$F$298,0))),"")</f>
        <v>Hoàn thành</v>
      </c>
      <c r="AO31" s="92" t="str">
        <f>IFERROR(IF(OR($AN31="Chưa hoàn thành",$AN31="Sẵn sàng"),INDEX('WBS2'!$H$163:$H$298,MATCH($C31,'WBS2'!$F$163:$F$298,0)),""),"")</f>
        <v/>
      </c>
      <c r="AP31" t="str">
        <f>IFERROR(IF(INDEX('WBS2'!$J$163:$J$298,MATCH($C31,'WBS2'!$F$163:$F$298,0))="","",INDEX('WBS2'!$J$163:$J$298,MATCH($C31,'WBS2'!$F$163:$F$298,0))),"")</f>
        <v/>
      </c>
    </row>
    <row r="32" spans="1:42" ht="14.25" hidden="1" customHeight="1" x14ac:dyDescent="0.35">
      <c r="A32" s="13">
        <v>31</v>
      </c>
      <c r="B32" s="13" t="s">
        <v>123</v>
      </c>
      <c r="C32" s="14" t="s">
        <v>124</v>
      </c>
      <c r="D32" s="13" t="s">
        <v>685</v>
      </c>
      <c r="E32" s="18" t="s">
        <v>686</v>
      </c>
      <c r="F32" s="20" t="s">
        <v>381</v>
      </c>
      <c r="G32" s="23" t="s">
        <v>687</v>
      </c>
      <c r="H32" s="35" t="str">
        <f t="shared" si="0"/>
        <v>Mã tra cứu</v>
      </c>
      <c r="I32" s="17"/>
      <c r="J32" s="17"/>
      <c r="K32" s="17"/>
      <c r="L32" s="17"/>
      <c r="M32" s="37"/>
      <c r="N32" s="38" t="s">
        <v>407</v>
      </c>
      <c r="O32" s="39" t="s">
        <v>509</v>
      </c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v>1</v>
      </c>
      <c r="AD32" s="16" t="s">
        <v>510</v>
      </c>
      <c r="AE32" s="16" t="s">
        <v>688</v>
      </c>
      <c r="AF32" s="16" t="s">
        <v>689</v>
      </c>
      <c r="AG32" s="16" t="s">
        <v>687</v>
      </c>
      <c r="AH32" s="1"/>
      <c r="AI32" s="1"/>
      <c r="AJ32" t="str">
        <f>IFERROR(IF(INDEX('WBS2'!$I$2:$I$25,MATCH($C32,'WBS2'!$F$2:$F$25,0))="","",INDEX('WBS2'!$I$2:$I$25,MATCH($C32,'WBS2'!$F$2:$F$25,0))),"")</f>
        <v/>
      </c>
      <c r="AK32" t="str">
        <f>IFERROR(IF(INDEX('WBS2'!$I$27:$I$162,MATCH($C32,'WBS2'!$F$27:$F$162,0))="","",INDEX('WBS2'!$I$27:$I$162,MATCH($C32,'WBS2'!$F$27:$F$162,0))),"")</f>
        <v>Hoàn thành</v>
      </c>
      <c r="AL32" s="92" t="str">
        <f>IFERROR(IF(OR($AK32="Chưa hoàn thành",$AK32="Sẵn sàng"),INDEX('WBS2'!$H$27:$H$162,MATCH($C32,'WBS2'!$F$27:$F$162,0)),""),"")</f>
        <v/>
      </c>
      <c r="AM32" t="str">
        <f>IFERROR(IF(INDEX('WBS2'!$J$27:$J$162,MATCH($C32,'WBS2'!$F$27:$F$162,0))="","",INDEX('WBS2'!$J$27:$J$162,MATCH($C32,'WBS2'!$F$27:$F$162,0))),"")</f>
        <v/>
      </c>
      <c r="AN32" t="str">
        <f>IFERROR(IF(INDEX('WBS2'!$I$163:$I$298,MATCH($C32,'WBS2'!$F$163:$F$298,0))="","",INDEX('WBS2'!$I$163:$I$298,MATCH($C32,'WBS2'!$F$163:$F$298,0))),"")</f>
        <v>Hoàn thành</v>
      </c>
      <c r="AO32" s="92" t="str">
        <f>IFERROR(IF(OR($AN32="Chưa hoàn thành",$AN32="Sẵn sàng"),INDEX('WBS2'!$H$163:$H$298,MATCH($C32,'WBS2'!$F$163:$F$298,0)),""),"")</f>
        <v/>
      </c>
      <c r="AP32" t="str">
        <f>IFERROR(IF(INDEX('WBS2'!$J$163:$J$298,MATCH($C32,'WBS2'!$F$163:$F$298,0))="","",INDEX('WBS2'!$J$163:$J$298,MATCH($C32,'WBS2'!$F$163:$F$298,0))),"")</f>
        <v/>
      </c>
    </row>
    <row r="33" spans="1:42" ht="14.25" customHeight="1" x14ac:dyDescent="0.35">
      <c r="A33" s="13">
        <v>32</v>
      </c>
      <c r="B33" s="13" t="s">
        <v>33</v>
      </c>
      <c r="C33" s="14" t="s">
        <v>34</v>
      </c>
      <c r="D33" s="13" t="s">
        <v>690</v>
      </c>
      <c r="E33" s="18" t="s">
        <v>691</v>
      </c>
      <c r="F33" s="20" t="s">
        <v>382</v>
      </c>
      <c r="G33" s="68" t="s">
        <v>692</v>
      </c>
      <c r="H33" s="35" t="str">
        <f t="shared" si="0"/>
        <v>Mã tra cứu + MST người bán + Ngày lập + Captcha ảnh</v>
      </c>
      <c r="I33" s="20" t="s">
        <v>528</v>
      </c>
      <c r="J33" s="17"/>
      <c r="K33" s="60">
        <v>0.93100000000000005</v>
      </c>
      <c r="L33" s="20" t="s">
        <v>693</v>
      </c>
      <c r="M33" s="37"/>
      <c r="N33" s="38" t="s">
        <v>407</v>
      </c>
      <c r="O33" s="39" t="s">
        <v>509</v>
      </c>
      <c r="P33" s="39" t="s">
        <v>509</v>
      </c>
      <c r="Q33" s="39"/>
      <c r="R33" s="39"/>
      <c r="S33" s="39"/>
      <c r="T33" s="39" t="s">
        <v>509</v>
      </c>
      <c r="U33" s="39"/>
      <c r="V33" s="39"/>
      <c r="W33" s="39"/>
      <c r="X33" s="39" t="s">
        <v>509</v>
      </c>
      <c r="Y33" s="39"/>
      <c r="Z33" s="39"/>
      <c r="AA33" s="39"/>
      <c r="AB33" s="39"/>
      <c r="AC33" s="39">
        <v>4</v>
      </c>
      <c r="AD33" s="16" t="s">
        <v>694</v>
      </c>
      <c r="AE33" s="16" t="s">
        <v>695</v>
      </c>
      <c r="AF33" s="16" t="s">
        <v>696</v>
      </c>
      <c r="AG33" s="16" t="s">
        <v>692</v>
      </c>
      <c r="AH33" s="1"/>
      <c r="AI33" s="1"/>
      <c r="AJ33" t="str">
        <f>IFERROR(IF(INDEX('WBS2'!$I$2:$I$25,MATCH($C33,'WBS2'!$F$2:$F$25,0))="","",INDEX('WBS2'!$I$2:$I$25,MATCH($C33,'WBS2'!$F$2:$F$25,0))),"")</f>
        <v>Đang training</v>
      </c>
      <c r="AK33" t="str">
        <f>IFERROR(IF(INDEX('WBS2'!$I$27:$I$162,MATCH($C33,'WBS2'!$F$27:$F$162,0))="","",INDEX('WBS2'!$I$27:$I$162,MATCH($C33,'WBS2'!$F$27:$F$162,0))),"")</f>
        <v>Chưa hoàn thành</v>
      </c>
      <c r="AL33" s="92">
        <f>IFERROR(IF(OR($AK33="Chưa hoàn thành",$AK33="Sẵn sàng"),INDEX('WBS2'!$H$27:$H$162,MATCH($C33,'WBS2'!$F$27:$F$162,0)),""),"")</f>
        <v>46446</v>
      </c>
      <c r="AM33" t="str">
        <f>IFERROR(IF(INDEX('WBS2'!$J$27:$J$162,MATCH($C33,'WBS2'!$F$27:$F$162,0))="","",INDEX('WBS2'!$J$27:$J$162,MATCH($C33,'WBS2'!$F$27:$F$162,0))),"")</f>
        <v>Chưa làm được – model captcha g_180x50_vn còn sai hoa/thường. tracuu.v50.vninvoice.vn, không reCAPTCHA; cần gán lại nhãn + train</v>
      </c>
      <c r="AN33" t="str">
        <f>IFERROR(IF(INDEX('WBS2'!$I$163:$I$298,MATCH($C33,'WBS2'!$F$163:$F$298,0))="","",INDEX('WBS2'!$I$163:$I$298,MATCH($C33,'WBS2'!$F$163:$F$298,0))),"")</f>
        <v>Hoàn thành</v>
      </c>
      <c r="AO33" s="92" t="str">
        <f>IFERROR(IF(OR($AN33="Chưa hoàn thành",$AN33="Sẵn sàng"),INDEX('WBS2'!$H$163:$H$298,MATCH($C33,'WBS2'!$F$163:$F$298,0)),""),"")</f>
        <v/>
      </c>
      <c r="AP33" t="str">
        <f>IFERROR(IF(INDEX('WBS2'!$J$163:$J$298,MATCH($C33,'WBS2'!$F$163:$F$298,0))="","",INDEX('WBS2'!$J$163:$J$298,MATCH($C33,'WBS2'!$F$163:$F$298,0))),"")</f>
        <v/>
      </c>
    </row>
    <row r="34" spans="1:42" ht="14.25" hidden="1" customHeight="1" x14ac:dyDescent="0.35">
      <c r="A34" s="13">
        <v>33</v>
      </c>
      <c r="B34" s="13" t="s">
        <v>126</v>
      </c>
      <c r="C34" s="14" t="s">
        <v>127</v>
      </c>
      <c r="D34" s="13" t="s">
        <v>697</v>
      </c>
      <c r="E34" s="18" t="s">
        <v>698</v>
      </c>
      <c r="F34" s="20" t="s">
        <v>381</v>
      </c>
      <c r="G34" s="63" t="s">
        <v>699</v>
      </c>
      <c r="H34" s="35" t="str">
        <f t="shared" ref="H34:H65" si="1">IF(N34&lt;&gt;"OK","",IF(IF(O34="✓","Mã tra cứu|","")&amp;IF(P34="✓","MST người bán|","")&amp;IF(Q34="✓","MST người mua|","")&amp;IF(R34="✓","Mẫu số / Ký hiệu|","")&amp;IF(S34="✓","Số HĐ|","")&amp;IF(T34="✓","Ngày lập|","")&amp;IF(U34="✓","Tổng tiền|","")&amp;IF(V34="✓","Mã CQT|","")&amp;IF(W34="✓","Upload XML|","")&amp;IF(X34="✓","Captcha ảnh|","")&amp;IF(Y34="✓","Captcha dạng tích|","")&amp;IF(Z34="✓","Captcha khác (slider/hình)|","")&amp;IF(AA34="✓","Đăng nhập|","")&amp;IF(AB34="✓","Email/SĐT/OTP|","")="","(không có tham số)",SUBSTITUTE(LEFT(IF(O34="✓","Mã tra cứu|","")&amp;IF(P34="✓","MST người bán|","")&amp;IF(Q34="✓","MST người mua|","")&amp;IF(R34="✓","Mẫu số / Ký hiệu|","")&amp;IF(S34="✓","Số HĐ|","")&amp;IF(T34="✓","Ngày lập|","")&amp;IF(U34="✓","Tổng tiền|","")&amp;IF(V34="✓","Mã CQT|","")&amp;IF(W34="✓","Upload XML|","")&amp;IF(X34="✓","Captcha ảnh|","")&amp;IF(Y34="✓","Captcha dạng tích|","")&amp;IF(Z34="✓","Captcha khác (slider/hình)|","")&amp;IF(AA34="✓","Đăng nhập|","")&amp;IF(AB34="✓","Email/SĐT/OTP|",""),LEN(IF(O34="✓","Mã tra cứu|","")&amp;IF(P34="✓","MST người bán|","")&amp;IF(Q34="✓","MST người mua|","")&amp;IF(R34="✓","Mẫu số / Ký hiệu|","")&amp;IF(S34="✓","Số HĐ|","")&amp;IF(T34="✓","Ngày lập|","")&amp;IF(U34="✓","Tổng tiền|","")&amp;IF(V34="✓","Mã CQT|","")&amp;IF(W34="✓","Upload XML|","")&amp;IF(X34="✓","Captcha ảnh|","")&amp;IF(Y34="✓","Captcha dạng tích|","")&amp;IF(Z34="✓","Captcha khác (slider/hình)|","")&amp;IF(AA34="✓","Đăng nhập|","")&amp;IF(AB34="✓","Email/SĐT/OTP|",""))-1),"|"," + ")))</f>
        <v>Mã tra cứu + MST người bán</v>
      </c>
      <c r="I34" s="17"/>
      <c r="J34" s="17"/>
      <c r="K34" s="17"/>
      <c r="L34" s="17"/>
      <c r="M34" s="37"/>
      <c r="N34" s="38" t="s">
        <v>407</v>
      </c>
      <c r="O34" s="39" t="s">
        <v>509</v>
      </c>
      <c r="P34" s="39" t="s">
        <v>509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v>2</v>
      </c>
      <c r="AD34" s="16" t="s">
        <v>682</v>
      </c>
      <c r="AE34" s="16" t="s">
        <v>700</v>
      </c>
      <c r="AF34" s="16" t="s">
        <v>701</v>
      </c>
      <c r="AG34" s="16" t="s">
        <v>699</v>
      </c>
      <c r="AH34" s="1"/>
      <c r="AI34" s="1"/>
      <c r="AJ34" t="str">
        <f>IFERROR(IF(INDEX('WBS2'!$I$2:$I$25,MATCH($C34,'WBS2'!$F$2:$F$25,0))="","",INDEX('WBS2'!$I$2:$I$25,MATCH($C34,'WBS2'!$F$2:$F$25,0))),"")</f>
        <v/>
      </c>
      <c r="AK34" t="str">
        <f>IFERROR(IF(INDEX('WBS2'!$I$27:$I$162,MATCH($C34,'WBS2'!$F$27:$F$162,0))="","",INDEX('WBS2'!$I$27:$I$162,MATCH($C34,'WBS2'!$F$27:$F$162,0))),"")</f>
        <v>Chưa hoàn thành</v>
      </c>
      <c r="AL34" s="92">
        <f>IFERROR(IF(OR($AK34="Chưa hoàn thành",$AK34="Sẵn sàng"),INDEX('WBS2'!$H$27:$H$162,MATCH($C34,'WBS2'!$F$27:$F$162,0)),""),"")</f>
        <v>46477</v>
      </c>
      <c r="AM34" t="str">
        <f>IFERROR(IF(INDEX('WBS2'!$J$27:$J$162,MATCH($C34,'WBS2'!$F$27:$F$162,0))="","",INDEX('WBS2'!$J$27:$J$162,MATCH($C34,'WBS2'!$F$27:$F$162,0))),"")</f>
        <v>Không làm được qua link tra cứu – reCAPTCHA v3 (khảo sát 14/10), lấy qua mail. portal.vnpayinvoice.vn</v>
      </c>
      <c r="AN34" t="str">
        <f>IFERROR(IF(INDEX('WBS2'!$I$163:$I$298,MATCH($C34,'WBS2'!$F$163:$F$298,0))="","",INDEX('WBS2'!$I$163:$I$298,MATCH($C34,'WBS2'!$F$163:$F$298,0))),"")</f>
        <v>Chưa hoàn thành</v>
      </c>
      <c r="AO34" s="92">
        <f>IFERROR(IF(OR($AN34="Chưa hoàn thành",$AN34="Sẵn sàng"),INDEX('WBS2'!$H$163:$H$298,MATCH($C34,'WBS2'!$F$163:$F$298,0)),""),"")</f>
        <v>46477</v>
      </c>
      <c r="AP34" t="str">
        <f>IFERROR(IF(INDEX('WBS2'!$J$163:$J$298,MATCH($C34,'WBS2'!$F$163:$F$298,0))="","",INDEX('WBS2'!$J$163:$J$298,MATCH($C34,'WBS2'!$F$163:$F$298,0))),"")</f>
        <v>Chưa có mail/PDF nào của NCC này (kiểm DB 27/10)</v>
      </c>
    </row>
    <row r="35" spans="1:42" ht="14.25" hidden="1" customHeight="1" x14ac:dyDescent="0.35">
      <c r="A35" s="13">
        <v>34</v>
      </c>
      <c r="B35" s="13" t="s">
        <v>129</v>
      </c>
      <c r="C35" s="14" t="s">
        <v>130</v>
      </c>
      <c r="D35" s="13" t="s">
        <v>702</v>
      </c>
      <c r="E35" s="18" t="s">
        <v>703</v>
      </c>
      <c r="F35" s="20" t="s">
        <v>381</v>
      </c>
      <c r="G35" s="23" t="s">
        <v>704</v>
      </c>
      <c r="H35" s="35" t="str">
        <f t="shared" si="1"/>
        <v>Mã tra cứu</v>
      </c>
      <c r="I35" s="17"/>
      <c r="J35" s="17"/>
      <c r="K35" s="17"/>
      <c r="L35" s="17"/>
      <c r="M35" s="37"/>
      <c r="N35" s="38" t="s">
        <v>407</v>
      </c>
      <c r="O35" s="39" t="s">
        <v>509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v>1</v>
      </c>
      <c r="AD35" s="16" t="s">
        <v>510</v>
      </c>
      <c r="AE35" s="16"/>
      <c r="AF35" s="16" t="s">
        <v>705</v>
      </c>
      <c r="AG35" s="16" t="s">
        <v>704</v>
      </c>
      <c r="AH35" s="1"/>
      <c r="AI35" s="1"/>
      <c r="AJ35" t="str">
        <f>IFERROR(IF(INDEX('WBS2'!$I$2:$I$25,MATCH($C35,'WBS2'!$F$2:$F$25,0))="","",INDEX('WBS2'!$I$2:$I$25,MATCH($C35,'WBS2'!$F$2:$F$25,0))),"")</f>
        <v/>
      </c>
      <c r="AK35" t="str">
        <f>IFERROR(IF(INDEX('WBS2'!$I$27:$I$162,MATCH($C35,'WBS2'!$F$27:$F$162,0))="","",INDEX('WBS2'!$I$27:$I$162,MATCH($C35,'WBS2'!$F$27:$F$162,0))),"")</f>
        <v>Sẵn sàng</v>
      </c>
      <c r="AL35" s="92">
        <f>IFERROR(IF(OR($AK35="Chưa hoàn thành",$AK35="Sẵn sàng"),INDEX('WBS2'!$H$27:$H$162,MATCH($C35,'WBS2'!$F$27:$F$162,0)),""),"")</f>
        <v>46356</v>
      </c>
      <c r="AM35" t="str">
        <f>IFERROR(IF(INDEX('WBS2'!$J$27:$J$162,MATCH($C35,'WBS2'!$F$27:$F$162,0))="","",INDEX('WBS2'!$J$27:$J$162,MATCH($C35,'WBS2'!$F$27:$F$162,0))),"")</f>
        <v>vietinvoice – 2 cổng, không captcha</v>
      </c>
      <c r="AN35" t="str">
        <f>IFERROR(IF(INDEX('WBS2'!$I$163:$I$298,MATCH($C35,'WBS2'!$F$163:$F$298,0))="","",INDEX('WBS2'!$I$163:$I$298,MATCH($C35,'WBS2'!$F$163:$F$298,0))),"")</f>
        <v>Sẵn sàng</v>
      </c>
      <c r="AO35" s="92">
        <f>IFERROR(IF(OR($AN35="Chưa hoàn thành",$AN35="Sẵn sàng"),INDEX('WBS2'!$H$163:$H$298,MATCH($C35,'WBS2'!$F$163:$F$298,0)),""),"")</f>
        <v>46356</v>
      </c>
      <c r="AP35" t="str">
        <f>IFERROR(IF(INDEX('WBS2'!$J$163:$J$298,MATCH($C35,'WBS2'!$F$163:$F$298,0))="","",INDEX('WBS2'!$J$163:$J$298,MATCH($C35,'WBS2'!$F$163:$F$298,0))),"")</f>
        <v/>
      </c>
    </row>
    <row r="36" spans="1:42" ht="14.25" hidden="1" customHeight="1" x14ac:dyDescent="0.35">
      <c r="A36" s="13">
        <v>35</v>
      </c>
      <c r="B36" s="13" t="s">
        <v>132</v>
      </c>
      <c r="C36" s="14" t="s">
        <v>133</v>
      </c>
      <c r="D36" s="13" t="s">
        <v>706</v>
      </c>
      <c r="E36" s="18" t="s">
        <v>707</v>
      </c>
      <c r="F36" s="20" t="s">
        <v>383</v>
      </c>
      <c r="G36" s="23" t="s">
        <v>708</v>
      </c>
      <c r="H36" s="35" t="str">
        <f t="shared" si="1"/>
        <v>Mã tra cứu + Captcha dạng tích</v>
      </c>
      <c r="I36" s="17"/>
      <c r="J36" s="17"/>
      <c r="K36" s="17"/>
      <c r="L36" s="17"/>
      <c r="M36" s="37"/>
      <c r="N36" s="38" t="s">
        <v>407</v>
      </c>
      <c r="O36" s="39" t="s">
        <v>509</v>
      </c>
      <c r="P36" s="39"/>
      <c r="Q36" s="39"/>
      <c r="R36" s="39"/>
      <c r="S36" s="39"/>
      <c r="T36" s="39"/>
      <c r="U36" s="39"/>
      <c r="V36" s="39"/>
      <c r="W36" s="39"/>
      <c r="X36" s="39"/>
      <c r="Y36" s="39" t="s">
        <v>509</v>
      </c>
      <c r="Z36" s="39"/>
      <c r="AA36" s="39"/>
      <c r="AB36" s="39"/>
      <c r="AC36" s="39">
        <v>2</v>
      </c>
      <c r="AD36" s="16" t="s">
        <v>537</v>
      </c>
      <c r="AE36" s="16" t="s">
        <v>709</v>
      </c>
      <c r="AF36" s="16" t="s">
        <v>710</v>
      </c>
      <c r="AG36" s="16" t="s">
        <v>708</v>
      </c>
      <c r="AH36" s="1"/>
      <c r="AI36" s="1"/>
      <c r="AJ36" t="str">
        <f>IFERROR(IF(INDEX('WBS2'!$I$2:$I$25,MATCH($C36,'WBS2'!$F$2:$F$25,0))="","",INDEX('WBS2'!$I$2:$I$25,MATCH($C36,'WBS2'!$F$2:$F$25,0))),"")</f>
        <v/>
      </c>
      <c r="AK36" t="str">
        <f>IFERROR(IF(INDEX('WBS2'!$I$27:$I$162,MATCH($C36,'WBS2'!$F$27:$F$162,0))="","",INDEX('WBS2'!$I$27:$I$162,MATCH($C36,'WBS2'!$F$27:$F$162,0))),"")</f>
        <v>Chưa hoàn thành</v>
      </c>
      <c r="AL36" s="92">
        <f>IFERROR(IF(OR($AK36="Chưa hoàn thành",$AK36="Sẵn sàng"),INDEX('WBS2'!$H$27:$H$162,MATCH($C36,'WBS2'!$F$27:$F$162,0)),""),"")</f>
        <v>46477</v>
      </c>
      <c r="AM36" t="str">
        <f>IFERROR(IF(INDEX('WBS2'!$J$27:$J$162,MATCH($C36,'WBS2'!$F$27:$F$162,0))="","",INDEX('WBS2'!$J$27:$J$162,MATCH($C36,'WBS2'!$F$27:$F$162,0))),"")</f>
        <v>Không làm được qua link tra cứu – bị chặn bởi reCAPTCHA v2 (server kiểm), lấy qua mail. hoadontvan.com</v>
      </c>
      <c r="AN36" t="str">
        <f>IFERROR(IF(INDEX('WBS2'!$I$163:$I$298,MATCH($C36,'WBS2'!$F$163:$F$298,0))="","",INDEX('WBS2'!$I$163:$I$298,MATCH($C36,'WBS2'!$F$163:$F$298,0))),"")</f>
        <v>Chưa hoàn thành</v>
      </c>
      <c r="AO36" s="92">
        <f>IFERROR(IF(OR($AN36="Chưa hoàn thành",$AN36="Sẵn sàng"),INDEX('WBS2'!$H$163:$H$298,MATCH($C36,'WBS2'!$F$163:$F$298,0)),""),"")</f>
        <v>46477</v>
      </c>
      <c r="AP36" t="str">
        <f>IFERROR(IF(INDEX('WBS2'!$J$163:$J$298,MATCH($C36,'WBS2'!$F$163:$F$298,0))="","",INDEX('WBS2'!$J$163:$J$298,MATCH($C36,'WBS2'!$F$163:$F$298,0))),"")</f>
        <v>Chưa có mail/PDF nào của NCC này (kiểm DB 27/10)</v>
      </c>
    </row>
    <row r="37" spans="1:42" ht="14.25" customHeight="1" x14ac:dyDescent="0.35">
      <c r="A37" s="13">
        <v>36</v>
      </c>
      <c r="B37" s="13" t="s">
        <v>35</v>
      </c>
      <c r="C37" s="14" t="s">
        <v>36</v>
      </c>
      <c r="D37" s="13" t="s">
        <v>711</v>
      </c>
      <c r="E37" s="18" t="s">
        <v>712</v>
      </c>
      <c r="F37" s="20" t="s">
        <v>382</v>
      </c>
      <c r="G37" s="23" t="s">
        <v>713</v>
      </c>
      <c r="H37" s="35" t="str">
        <f t="shared" si="1"/>
        <v>Mã tra cứu + Captcha ảnh</v>
      </c>
      <c r="I37" s="20" t="s">
        <v>528</v>
      </c>
      <c r="J37" s="65" t="s">
        <v>714</v>
      </c>
      <c r="K37" s="60">
        <v>2.3400000000000001E-2</v>
      </c>
      <c r="L37" s="20" t="s">
        <v>715</v>
      </c>
      <c r="M37" s="37"/>
      <c r="N37" s="38" t="s">
        <v>407</v>
      </c>
      <c r="O37" s="39" t="s">
        <v>509</v>
      </c>
      <c r="P37" s="39"/>
      <c r="Q37" s="39"/>
      <c r="R37" s="39"/>
      <c r="S37" s="39"/>
      <c r="T37" s="39"/>
      <c r="U37" s="39"/>
      <c r="V37" s="39"/>
      <c r="W37" s="39"/>
      <c r="X37" s="39" t="s">
        <v>509</v>
      </c>
      <c r="Y37" s="39"/>
      <c r="Z37" s="39"/>
      <c r="AA37" s="39"/>
      <c r="AB37" s="39"/>
      <c r="AC37" s="39">
        <v>2</v>
      </c>
      <c r="AD37" s="16" t="s">
        <v>716</v>
      </c>
      <c r="AE37" s="16" t="s">
        <v>717</v>
      </c>
      <c r="AF37" s="16" t="s">
        <v>718</v>
      </c>
      <c r="AG37" s="16" t="s">
        <v>713</v>
      </c>
      <c r="AH37" s="1"/>
      <c r="AI37" s="1"/>
      <c r="AJ37" t="str">
        <f>IFERROR(IF(INDEX('WBS2'!$I$2:$I$25,MATCH($C37,'WBS2'!$F$2:$F$25,0))="","",INDEX('WBS2'!$I$2:$I$25,MATCH($C37,'WBS2'!$F$2:$F$25,0))),"")</f>
        <v>Đang training</v>
      </c>
      <c r="AK37" t="str">
        <f>IFERROR(IF(INDEX('WBS2'!$I$27:$I$162,MATCH($C37,'WBS2'!$F$27:$F$162,0))="","",INDEX('WBS2'!$I$27:$I$162,MATCH($C37,'WBS2'!$F$27:$F$162,0))),"")</f>
        <v>Hoàn thành</v>
      </c>
      <c r="AL37" s="92" t="str">
        <f>IFERROR(IF(OR($AK37="Chưa hoàn thành",$AK37="Sẵn sàng"),INDEX('WBS2'!$H$27:$H$162,MATCH($C37,'WBS2'!$F$27:$F$162,0)),""),"")</f>
        <v/>
      </c>
      <c r="AM37" t="str">
        <f>IFERROR(IF(INDEX('WBS2'!$J$27:$J$162,MATCH($C37,'WBS2'!$F$27:$F$162,0))="","",INDEX('WBS2'!$J$27:$J$162,MATCH($C37,'WBS2'!$F$27:$F$162,0))),"")</f>
        <v/>
      </c>
      <c r="AN37" t="str">
        <f>IFERROR(IF(INDEX('WBS2'!$I$163:$I$298,MATCH($C37,'WBS2'!$F$163:$F$298,0))="","",INDEX('WBS2'!$I$163:$I$298,MATCH($C37,'WBS2'!$F$163:$F$298,0))),"")</f>
        <v>Hoàn thành</v>
      </c>
      <c r="AO37" s="92" t="str">
        <f>IFERROR(IF(OR($AN37="Chưa hoàn thành",$AN37="Sẵn sàng"),INDEX('WBS2'!$H$163:$H$298,MATCH($C37,'WBS2'!$F$163:$F$298,0)),""),"")</f>
        <v/>
      </c>
      <c r="AP37" t="str">
        <f>IFERROR(IF(INDEX('WBS2'!$J$163:$J$298,MATCH($C37,'WBS2'!$F$163:$F$298,0))="","",INDEX('WBS2'!$J$163:$J$298,MATCH($C37,'WBS2'!$F$163:$F$298,0))),"")</f>
        <v/>
      </c>
    </row>
    <row r="38" spans="1:42" ht="14.25" hidden="1" customHeight="1" x14ac:dyDescent="0.35">
      <c r="A38" s="13">
        <v>37</v>
      </c>
      <c r="B38" s="13" t="s">
        <v>135</v>
      </c>
      <c r="C38" s="14" t="s">
        <v>136</v>
      </c>
      <c r="D38" s="13" t="s">
        <v>719</v>
      </c>
      <c r="E38" s="18" t="s">
        <v>720</v>
      </c>
      <c r="F38" s="20" t="s">
        <v>381</v>
      </c>
      <c r="G38" s="23" t="s">
        <v>721</v>
      </c>
      <c r="H38" s="35" t="str">
        <f t="shared" si="1"/>
        <v>Mã tra cứu + Captcha dạng tích</v>
      </c>
      <c r="I38" s="17"/>
      <c r="J38" s="17"/>
      <c r="K38" s="17"/>
      <c r="L38" s="17"/>
      <c r="M38" s="37"/>
      <c r="N38" s="38" t="s">
        <v>407</v>
      </c>
      <c r="O38" s="39" t="s">
        <v>509</v>
      </c>
      <c r="P38" s="39"/>
      <c r="Q38" s="39"/>
      <c r="R38" s="39"/>
      <c r="S38" s="39"/>
      <c r="T38" s="39"/>
      <c r="U38" s="39"/>
      <c r="V38" s="39"/>
      <c r="W38" s="39"/>
      <c r="X38" s="39"/>
      <c r="Y38" s="39" t="s">
        <v>509</v>
      </c>
      <c r="Z38" s="39"/>
      <c r="AA38" s="39"/>
      <c r="AB38" s="39"/>
      <c r="AC38" s="39">
        <v>2</v>
      </c>
      <c r="AD38" s="16" t="s">
        <v>722</v>
      </c>
      <c r="AE38" s="16" t="s">
        <v>723</v>
      </c>
      <c r="AF38" s="16" t="s">
        <v>724</v>
      </c>
      <c r="AG38" s="16" t="s">
        <v>721</v>
      </c>
      <c r="AH38" s="1"/>
      <c r="AI38" s="1"/>
      <c r="AJ38" t="str">
        <f>IFERROR(IF(INDEX('WBS2'!$I$2:$I$25,MATCH($C38,'WBS2'!$F$2:$F$25,0))="","",INDEX('WBS2'!$I$2:$I$25,MATCH($C38,'WBS2'!$F$2:$F$25,0))),"")</f>
        <v/>
      </c>
      <c r="AK38" t="str">
        <f>IFERROR(IF(INDEX('WBS2'!$I$27:$I$162,MATCH($C38,'WBS2'!$F$27:$F$162,0))="","",INDEX('WBS2'!$I$27:$I$162,MATCH($C38,'WBS2'!$F$27:$F$162,0))),"")</f>
        <v>Chưa hoàn thành</v>
      </c>
      <c r="AL38" s="92">
        <f>IFERROR(IF(OR($AK38="Chưa hoàn thành",$AK38="Sẵn sàng"),INDEX('WBS2'!$H$27:$H$162,MATCH($C38,'WBS2'!$F$27:$F$162,0)),""),"")</f>
        <v>46477</v>
      </c>
      <c r="AM38" t="str">
        <f>IFERROR(IF(INDEX('WBS2'!$J$27:$J$162,MATCH($C38,'WBS2'!$F$27:$F$162,0))="","",INDEX('WBS2'!$J$27:$J$162,MATCH($C38,'WBS2'!$F$27:$F$162,0))),"")</f>
        <v>bị chặn bởi Cloudflare Turnstile, lấy qua mail. tracuu.xuathoadon.vn</v>
      </c>
      <c r="AN38" t="str">
        <f>IFERROR(IF(INDEX('WBS2'!$I$163:$I$298,MATCH($C38,'WBS2'!$F$163:$F$298,0))="","",INDEX('WBS2'!$I$163:$I$298,MATCH($C38,'WBS2'!$F$163:$F$298,0))),"")</f>
        <v>Hoàn thành</v>
      </c>
      <c r="AO38" s="92" t="str">
        <f>IFERROR(IF(OR($AN38="Chưa hoàn thành",$AN38="Sẵn sàng"),INDEX('WBS2'!$H$163:$H$298,MATCH($C38,'WBS2'!$F$163:$F$298,0)),""),"")</f>
        <v/>
      </c>
      <c r="AP38" t="str">
        <f>IFERROR(IF(INDEX('WBS2'!$J$163:$J$298,MATCH($C38,'WBS2'!$F$163:$F$298,0))="","",INDEX('WBS2'!$J$163:$J$298,MATCH($C38,'WBS2'!$F$163:$F$298,0))),"")</f>
        <v/>
      </c>
    </row>
    <row r="39" spans="1:42" ht="14.25" hidden="1" customHeight="1" x14ac:dyDescent="0.35">
      <c r="A39" s="13">
        <v>38</v>
      </c>
      <c r="B39" s="13" t="s">
        <v>138</v>
      </c>
      <c r="C39" s="14" t="s">
        <v>139</v>
      </c>
      <c r="D39" s="13" t="s">
        <v>725</v>
      </c>
      <c r="E39" s="77" t="s">
        <v>726</v>
      </c>
      <c r="F39" s="20" t="s">
        <v>388</v>
      </c>
      <c r="G39" s="20"/>
      <c r="H39" s="35" t="str">
        <f t="shared" si="1"/>
        <v/>
      </c>
      <c r="I39" s="17"/>
      <c r="J39" s="17"/>
      <c r="K39" s="17"/>
      <c r="L39" s="17"/>
      <c r="M39" s="37"/>
      <c r="N39" s="38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1"/>
      <c r="AI39" s="1"/>
      <c r="AJ39" t="str">
        <f>IFERROR(IF(INDEX('WBS2'!$I$2:$I$25,MATCH($C39,'WBS2'!$F$2:$F$25,0))="","",INDEX('WBS2'!$I$2:$I$25,MATCH($C39,'WBS2'!$F$2:$F$25,0))),"")</f>
        <v/>
      </c>
      <c r="AK39" t="str">
        <f>IFERROR(IF(INDEX('WBS2'!$I$27:$I$162,MATCH($C39,'WBS2'!$F$27:$F$162,0))="","",INDEX('WBS2'!$I$27:$I$162,MATCH($C39,'WBS2'!$F$27:$F$162,0))),"")</f>
        <v>Chưa hoàn thành</v>
      </c>
      <c r="AL39" s="92">
        <f>IFERROR(IF(OR($AK39="Chưa hoàn thành",$AK39="Sẵn sàng"),INDEX('WBS2'!$H$27:$H$162,MATCH($C39,'WBS2'!$F$27:$F$162,0)),""),"")</f>
        <v>46477</v>
      </c>
      <c r="AM39" t="str">
        <f>IFERROR(IF(INDEX('WBS2'!$J$27:$J$162,MATCH($C39,'WBS2'!$F$27:$F$162,0))="","",INDEX('WBS2'!$J$27:$J$162,MATCH($C39,'WBS2'!$F$27:$F$162,0))),"")</f>
        <v>Không làm được qua link tra cứu – site đã đổi chủ</v>
      </c>
      <c r="AN39" t="str">
        <f>IFERROR(IF(INDEX('WBS2'!$I$163:$I$298,MATCH($C39,'WBS2'!$F$163:$F$298,0))="","",INDEX('WBS2'!$I$163:$I$298,MATCH($C39,'WBS2'!$F$163:$F$298,0))),"")</f>
        <v>Chưa hoàn thành</v>
      </c>
      <c r="AO39" s="92">
        <f>IFERROR(IF(OR($AN39="Chưa hoàn thành",$AN39="Sẵn sàng"),INDEX('WBS2'!$H$163:$H$298,MATCH($C39,'WBS2'!$F$163:$F$298,0)),""),"")</f>
        <v>46477</v>
      </c>
      <c r="AP39" t="str">
        <f>IFERROR(IF(INDEX('WBS2'!$J$163:$J$298,MATCH($C39,'WBS2'!$F$163:$F$298,0))="","",INDEX('WBS2'!$J$163:$J$298,MATCH($C39,'WBS2'!$F$163:$F$298,0))),"")</f>
        <v>Chưa có mail/PDF nào của NCC này (kiểm DB 27/10)</v>
      </c>
    </row>
    <row r="40" spans="1:42" ht="14.25" hidden="1" customHeight="1" x14ac:dyDescent="0.35">
      <c r="A40" s="13">
        <v>39</v>
      </c>
      <c r="B40" s="13" t="s">
        <v>141</v>
      </c>
      <c r="C40" s="14" t="s">
        <v>142</v>
      </c>
      <c r="D40" s="13" t="s">
        <v>727</v>
      </c>
      <c r="E40" s="18" t="s">
        <v>728</v>
      </c>
      <c r="F40" s="20" t="s">
        <v>381</v>
      </c>
      <c r="G40" s="20" t="s">
        <v>729</v>
      </c>
      <c r="H40" s="35" t="str">
        <f t="shared" si="1"/>
        <v>Mã tra cứu</v>
      </c>
      <c r="I40" s="17"/>
      <c r="J40" s="17"/>
      <c r="K40" s="17"/>
      <c r="L40" s="17"/>
      <c r="M40" s="37"/>
      <c r="N40" s="38" t="s">
        <v>407</v>
      </c>
      <c r="O40" s="39" t="s">
        <v>509</v>
      </c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v>1</v>
      </c>
      <c r="AD40" s="16" t="s">
        <v>510</v>
      </c>
      <c r="AE40" s="16" t="s">
        <v>730</v>
      </c>
      <c r="AF40" s="16" t="s">
        <v>731</v>
      </c>
      <c r="AG40" s="16" t="s">
        <v>729</v>
      </c>
      <c r="AH40" s="1"/>
      <c r="AI40" s="1"/>
      <c r="AJ40" t="str">
        <f>IFERROR(IF(INDEX('WBS2'!$I$2:$I$25,MATCH($C40,'WBS2'!$F$2:$F$25,0))="","",INDEX('WBS2'!$I$2:$I$25,MATCH($C40,'WBS2'!$F$2:$F$25,0))),"")</f>
        <v/>
      </c>
      <c r="AK40" t="str">
        <f>IFERROR(IF(INDEX('WBS2'!$I$27:$I$162,MATCH($C40,'WBS2'!$F$27:$F$162,0))="","",INDEX('WBS2'!$I$27:$I$162,MATCH($C40,'WBS2'!$F$27:$F$162,0))),"")</f>
        <v>Sẵn sàng</v>
      </c>
      <c r="AL40" s="92">
        <f>IFERROR(IF(OR($AK40="Chưa hoàn thành",$AK40="Sẵn sàng"),INDEX('WBS2'!$H$27:$H$162,MATCH($C40,'WBS2'!$F$27:$F$162,0)),""),"")</f>
        <v>46356</v>
      </c>
      <c r="AM40" t="str">
        <f>IFERROR(IF(INDEX('WBS2'!$J$27:$J$162,MATCH($C40,'WBS2'!$F$27:$F$162,0))="","",INDEX('WBS2'!$J$27:$J$162,MATCH($C40,'WBS2'!$F$27:$F$162,0))),"")</f>
        <v>tialuaviet – phần mềm Vĩnh Hy, không captcha</v>
      </c>
      <c r="AN40" t="str">
        <f>IFERROR(IF(INDEX('WBS2'!$I$163:$I$298,MATCH($C40,'WBS2'!$F$163:$F$298,0))="","",INDEX('WBS2'!$I$163:$I$298,MATCH($C40,'WBS2'!$F$163:$F$298,0))),"")</f>
        <v>Sẵn sàng</v>
      </c>
      <c r="AO40" s="92">
        <f>IFERROR(IF(OR($AN40="Chưa hoàn thành",$AN40="Sẵn sàng"),INDEX('WBS2'!$H$163:$H$298,MATCH($C40,'WBS2'!$F$163:$F$298,0)),""),"")</f>
        <v>46356</v>
      </c>
      <c r="AP40" t="str">
        <f>IFERROR(IF(INDEX('WBS2'!$J$163:$J$298,MATCH($C40,'WBS2'!$F$163:$F$298,0))="","",INDEX('WBS2'!$J$163:$J$298,MATCH($C40,'WBS2'!$F$163:$F$298,0))),"")</f>
        <v/>
      </c>
    </row>
    <row r="41" spans="1:42" ht="14.25" hidden="1" customHeight="1" x14ac:dyDescent="0.35">
      <c r="A41" s="13">
        <v>40</v>
      </c>
      <c r="B41" s="13" t="s">
        <v>144</v>
      </c>
      <c r="C41" s="14" t="s">
        <v>145</v>
      </c>
      <c r="D41" s="13" t="s">
        <v>732</v>
      </c>
      <c r="E41" s="18" t="s">
        <v>733</v>
      </c>
      <c r="F41" s="20" t="s">
        <v>381</v>
      </c>
      <c r="G41" s="23" t="s">
        <v>734</v>
      </c>
      <c r="H41" s="35" t="str">
        <f t="shared" si="1"/>
        <v>Mã tra cứu + Captcha ảnh</v>
      </c>
      <c r="I41" s="17"/>
      <c r="J41" s="17"/>
      <c r="K41" s="17"/>
      <c r="L41" s="17"/>
      <c r="M41" s="37"/>
      <c r="N41" s="38" t="s">
        <v>407</v>
      </c>
      <c r="O41" s="39" t="s">
        <v>509</v>
      </c>
      <c r="P41" s="39"/>
      <c r="Q41" s="39"/>
      <c r="R41" s="39"/>
      <c r="S41" s="39"/>
      <c r="T41" s="39"/>
      <c r="U41" s="39"/>
      <c r="V41" s="39"/>
      <c r="W41" s="39"/>
      <c r="X41" s="39" t="s">
        <v>509</v>
      </c>
      <c r="Y41" s="39"/>
      <c r="Z41" s="39"/>
      <c r="AA41" s="39"/>
      <c r="AB41" s="39"/>
      <c r="AC41" s="39">
        <v>2</v>
      </c>
      <c r="AD41" s="16" t="s">
        <v>735</v>
      </c>
      <c r="AE41" s="16" t="s">
        <v>736</v>
      </c>
      <c r="AF41" s="16" t="s">
        <v>737</v>
      </c>
      <c r="AG41" s="16" t="s">
        <v>738</v>
      </c>
      <c r="AH41" s="1"/>
      <c r="AI41" s="1"/>
      <c r="AJ41" t="str">
        <f>IFERROR(IF(INDEX('WBS2'!$I$2:$I$25,MATCH($C41,'WBS2'!$F$2:$F$25,0))="","",INDEX('WBS2'!$I$2:$I$25,MATCH($C41,'WBS2'!$F$2:$F$25,0))),"")</f>
        <v/>
      </c>
      <c r="AK41" t="str">
        <f>IFERROR(IF(INDEX('WBS2'!$I$27:$I$162,MATCH($C41,'WBS2'!$F$27:$F$162,0))="","",INDEX('WBS2'!$I$27:$I$162,MATCH($C41,'WBS2'!$F$27:$F$162,0))),"")</f>
        <v>Hoàn thành</v>
      </c>
      <c r="AL41" s="92" t="str">
        <f>IFERROR(IF(OR($AK41="Chưa hoàn thành",$AK41="Sẵn sàng"),INDEX('WBS2'!$H$27:$H$162,MATCH($C41,'WBS2'!$F$27:$F$162,0)),""),"")</f>
        <v/>
      </c>
      <c r="AM41" t="str">
        <f>IFERROR(IF(INDEX('WBS2'!$J$27:$J$162,MATCH($C41,'WBS2'!$F$27:$F$162,0))="","",INDEX('WBS2'!$J$27:$J$162,MATCH($C41,'WBS2'!$F$27:$F$162,0))),"")</f>
        <v/>
      </c>
      <c r="AN41" t="str">
        <f>IFERROR(IF(INDEX('WBS2'!$I$163:$I$298,MATCH($C41,'WBS2'!$F$163:$F$298,0))="","",INDEX('WBS2'!$I$163:$I$298,MATCH($C41,'WBS2'!$F$163:$F$298,0))),"")</f>
        <v>Hoàn thành</v>
      </c>
      <c r="AO41" s="92" t="str">
        <f>IFERROR(IF(OR($AN41="Chưa hoàn thành",$AN41="Sẵn sàng"),INDEX('WBS2'!$H$163:$H$298,MATCH($C41,'WBS2'!$F$163:$F$298,0)),""),"")</f>
        <v/>
      </c>
      <c r="AP41" t="str">
        <f>IFERROR(IF(INDEX('WBS2'!$J$163:$J$298,MATCH($C41,'WBS2'!$F$163:$F$298,0))="","",INDEX('WBS2'!$J$163:$J$298,MATCH($C41,'WBS2'!$F$163:$F$298,0))),"")</f>
        <v/>
      </c>
    </row>
    <row r="42" spans="1:42" ht="14.25" hidden="1" customHeight="1" x14ac:dyDescent="0.35">
      <c r="A42" s="13">
        <v>41</v>
      </c>
      <c r="B42" s="13" t="s">
        <v>146</v>
      </c>
      <c r="C42" s="14" t="s">
        <v>147</v>
      </c>
      <c r="D42" s="13" t="s">
        <v>739</v>
      </c>
      <c r="E42" s="18" t="s">
        <v>740</v>
      </c>
      <c r="F42" s="20" t="s">
        <v>383</v>
      </c>
      <c r="G42" s="63" t="s">
        <v>741</v>
      </c>
      <c r="H42" s="35" t="str">
        <f t="shared" si="1"/>
        <v>Mã tra cứu + MST người bán + Captcha dạng tích</v>
      </c>
      <c r="I42" s="17"/>
      <c r="J42" s="17"/>
      <c r="K42" s="17"/>
      <c r="L42" s="17"/>
      <c r="M42" s="37"/>
      <c r="N42" s="38" t="s">
        <v>407</v>
      </c>
      <c r="O42" s="39" t="s">
        <v>509</v>
      </c>
      <c r="P42" s="39" t="s">
        <v>509</v>
      </c>
      <c r="Q42" s="39"/>
      <c r="R42" s="39"/>
      <c r="S42" s="39"/>
      <c r="T42" s="39"/>
      <c r="U42" s="39"/>
      <c r="V42" s="39"/>
      <c r="W42" s="39"/>
      <c r="X42" s="39"/>
      <c r="Y42" s="39" t="s">
        <v>509</v>
      </c>
      <c r="Z42" s="39"/>
      <c r="AA42" s="39"/>
      <c r="AB42" s="39"/>
      <c r="AC42" s="39">
        <v>3</v>
      </c>
      <c r="AD42" s="16" t="s">
        <v>537</v>
      </c>
      <c r="AE42" s="16"/>
      <c r="AF42" s="16" t="s">
        <v>742</v>
      </c>
      <c r="AG42" s="16" t="s">
        <v>741</v>
      </c>
      <c r="AH42" s="1"/>
      <c r="AI42" s="1"/>
      <c r="AJ42" t="str">
        <f>IFERROR(IF(INDEX('WBS2'!$I$2:$I$25,MATCH($C42,'WBS2'!$F$2:$F$25,0))="","",INDEX('WBS2'!$I$2:$I$25,MATCH($C42,'WBS2'!$F$2:$F$25,0))),"")</f>
        <v/>
      </c>
      <c r="AK42" t="str">
        <f>IFERROR(IF(INDEX('WBS2'!$I$27:$I$162,MATCH($C42,'WBS2'!$F$27:$F$162,0))="","",INDEX('WBS2'!$I$27:$I$162,MATCH($C42,'WBS2'!$F$27:$F$162,0))),"")</f>
        <v>Chưa hoàn thành</v>
      </c>
      <c r="AL42" s="92">
        <f>IFERROR(IF(OR($AK42="Chưa hoàn thành",$AK42="Sẵn sàng"),INDEX('WBS2'!$H$27:$H$162,MATCH($C42,'WBS2'!$F$27:$F$162,0)),""),"")</f>
        <v>46477</v>
      </c>
      <c r="AM42" t="str">
        <f>IFERROR(IF(INDEX('WBS2'!$J$27:$J$162,MATCH($C42,'WBS2'!$F$27:$F$162,0))="","",INDEX('WBS2'!$J$27:$J$162,MATCH($C42,'WBS2'!$F$27:$F$162,0))),"")</f>
        <v>Không làm được qua link tra cứu – bị chặn bởi reCAPTCHA v2 (server kiểm), lấy qua mail. acconline.vn</v>
      </c>
      <c r="AN42" t="str">
        <f>IFERROR(IF(INDEX('WBS2'!$I$163:$I$298,MATCH($C42,'WBS2'!$F$163:$F$298,0))="","",INDEX('WBS2'!$I$163:$I$298,MATCH($C42,'WBS2'!$F$163:$F$298,0))),"")</f>
        <v>Chưa hoàn thành</v>
      </c>
      <c r="AO42" s="92">
        <f>IFERROR(IF(OR($AN42="Chưa hoàn thành",$AN42="Sẵn sàng"),INDEX('WBS2'!$H$163:$H$298,MATCH($C42,'WBS2'!$F$163:$F$298,0)),""),"")</f>
        <v>46477</v>
      </c>
      <c r="AP42" t="str">
        <f>IFERROR(IF(INDEX('WBS2'!$J$163:$J$298,MATCH($C42,'WBS2'!$F$163:$F$298,0))="","",INDEX('WBS2'!$J$163:$J$298,MATCH($C42,'WBS2'!$F$163:$F$298,0))),"")</f>
        <v>Chưa có mail/PDF nào của NCC này (kiểm DB 27/10)</v>
      </c>
    </row>
    <row r="43" spans="1:42" ht="14.25" hidden="1" customHeight="1" x14ac:dyDescent="0.35">
      <c r="A43" s="13">
        <v>42</v>
      </c>
      <c r="B43" s="13" t="s">
        <v>149</v>
      </c>
      <c r="C43" s="14" t="s">
        <v>150</v>
      </c>
      <c r="D43" s="13" t="s">
        <v>743</v>
      </c>
      <c r="E43" s="18" t="s">
        <v>744</v>
      </c>
      <c r="F43" s="20" t="s">
        <v>383</v>
      </c>
      <c r="G43" s="23" t="s">
        <v>745</v>
      </c>
      <c r="H43" s="35" t="str">
        <f t="shared" si="1"/>
        <v>Mã tra cứu + Captcha dạng tích</v>
      </c>
      <c r="I43" s="17"/>
      <c r="J43" s="17"/>
      <c r="K43" s="17"/>
      <c r="L43" s="17"/>
      <c r="M43" s="37"/>
      <c r="N43" s="38" t="s">
        <v>407</v>
      </c>
      <c r="O43" s="39" t="s">
        <v>509</v>
      </c>
      <c r="P43" s="39"/>
      <c r="Q43" s="39"/>
      <c r="R43" s="39"/>
      <c r="S43" s="39"/>
      <c r="T43" s="39"/>
      <c r="U43" s="39"/>
      <c r="V43" s="39"/>
      <c r="W43" s="39"/>
      <c r="X43" s="39"/>
      <c r="Y43" s="39" t="s">
        <v>509</v>
      </c>
      <c r="Z43" s="39"/>
      <c r="AA43" s="39"/>
      <c r="AB43" s="39"/>
      <c r="AC43" s="39">
        <v>2</v>
      </c>
      <c r="AD43" s="16" t="s">
        <v>537</v>
      </c>
      <c r="AE43" s="16" t="s">
        <v>746</v>
      </c>
      <c r="AF43" s="16" t="s">
        <v>747</v>
      </c>
      <c r="AG43" s="16" t="s">
        <v>745</v>
      </c>
      <c r="AH43" s="1"/>
      <c r="AI43" s="1"/>
      <c r="AJ43" t="str">
        <f>IFERROR(IF(INDEX('WBS2'!$I$2:$I$25,MATCH($C43,'WBS2'!$F$2:$F$25,0))="","",INDEX('WBS2'!$I$2:$I$25,MATCH($C43,'WBS2'!$F$2:$F$25,0))),"")</f>
        <v/>
      </c>
      <c r="AK43" t="str">
        <f>IFERROR(IF(INDEX('WBS2'!$I$27:$I$162,MATCH($C43,'WBS2'!$F$27:$F$162,0))="","",INDEX('WBS2'!$I$27:$I$162,MATCH($C43,'WBS2'!$F$27:$F$162,0))),"")</f>
        <v>Chưa hoàn thành</v>
      </c>
      <c r="AL43" s="92">
        <f>IFERROR(IF(OR($AK43="Chưa hoàn thành",$AK43="Sẵn sàng"),INDEX('WBS2'!$H$27:$H$162,MATCH($C43,'WBS2'!$F$27:$F$162,0)),""),"")</f>
        <v>46477</v>
      </c>
      <c r="AM43" t="str">
        <f>IFERROR(IF(INDEX('WBS2'!$J$27:$J$162,MATCH($C43,'WBS2'!$F$27:$F$162,0))="","",INDEX('WBS2'!$J$27:$J$162,MATCH($C43,'WBS2'!$F$27:$F$162,0))),"")</f>
        <v>bị chặn bởi reCAPTCHA, lấy qua mail. laphoadon.htinvoice.vn: 'Xác thực không thành công. Recaptcha'</v>
      </c>
      <c r="AN43" t="str">
        <f>IFERROR(IF(INDEX('WBS2'!$I$163:$I$298,MATCH($C43,'WBS2'!$F$163:$F$298,0))="","",INDEX('WBS2'!$I$163:$I$298,MATCH($C43,'WBS2'!$F$163:$F$298,0))),"")</f>
        <v>Hoàn thành</v>
      </c>
      <c r="AO43" s="92" t="str">
        <f>IFERROR(IF(OR($AN43="Chưa hoàn thành",$AN43="Sẵn sàng"),INDEX('WBS2'!$H$163:$H$298,MATCH($C43,'WBS2'!$F$163:$F$298,0)),""),"")</f>
        <v/>
      </c>
      <c r="AP43" t="str">
        <f>IFERROR(IF(INDEX('WBS2'!$J$163:$J$298,MATCH($C43,'WBS2'!$F$163:$F$298,0))="","",INDEX('WBS2'!$J$163:$J$298,MATCH($C43,'WBS2'!$F$163:$F$298,0))),"")</f>
        <v/>
      </c>
    </row>
    <row r="44" spans="1:42" ht="14.25" hidden="1" customHeight="1" x14ac:dyDescent="0.35">
      <c r="A44" s="13">
        <v>43</v>
      </c>
      <c r="B44" s="13" t="s">
        <v>152</v>
      </c>
      <c r="C44" s="14" t="s">
        <v>153</v>
      </c>
      <c r="D44" s="13" t="s">
        <v>748</v>
      </c>
      <c r="E44" s="18" t="s">
        <v>749</v>
      </c>
      <c r="F44" s="20" t="s">
        <v>558</v>
      </c>
      <c r="G44" s="63" t="s">
        <v>750</v>
      </c>
      <c r="H44" s="35" t="str">
        <f t="shared" si="1"/>
        <v>Mã tra cứu</v>
      </c>
      <c r="I44" s="17"/>
      <c r="J44" s="17"/>
      <c r="K44" s="17"/>
      <c r="L44" s="17"/>
      <c r="M44" s="37"/>
      <c r="N44" s="38" t="s">
        <v>407</v>
      </c>
      <c r="O44" s="39" t="s">
        <v>509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>
        <v>1</v>
      </c>
      <c r="AD44" s="16" t="s">
        <v>510</v>
      </c>
      <c r="AE44" s="16"/>
      <c r="AF44" s="16" t="s">
        <v>751</v>
      </c>
      <c r="AG44" s="16" t="s">
        <v>750</v>
      </c>
      <c r="AH44" s="1"/>
      <c r="AI44" s="1"/>
      <c r="AJ44" t="str">
        <f>IFERROR(IF(INDEX('WBS2'!$I$2:$I$25,MATCH($C44,'WBS2'!$F$2:$F$25,0))="","",INDEX('WBS2'!$I$2:$I$25,MATCH($C44,'WBS2'!$F$2:$F$25,0))),"")</f>
        <v/>
      </c>
      <c r="AK44" t="str">
        <f>IFERROR(IF(INDEX('WBS2'!$I$27:$I$162,MATCH($C44,'WBS2'!$F$27:$F$162,0))="","",INDEX('WBS2'!$I$27:$I$162,MATCH($C44,'WBS2'!$F$27:$F$162,0))),"")</f>
        <v>Chưa hoàn thành</v>
      </c>
      <c r="AL44" s="92">
        <f>IFERROR(IF(OR($AK44="Chưa hoàn thành",$AK44="Sẵn sàng"),INDEX('WBS2'!$H$27:$H$162,MATCH($C44,'WBS2'!$F$27:$F$162,0)),""),"")</f>
        <v>46446</v>
      </c>
      <c r="AM44" t="str">
        <f>IFERROR(IF(INDEX('WBS2'!$J$27:$J$162,MATCH($C44,'WBS2'!$F$27:$F$162,0))="","",INDEX('WBS2'!$J$27:$J$162,MATCH($C44,'WBS2'!$F$27:$F$162,0))),"")</f>
        <v>Chưa làm – chưa có HĐ thật. tracuu.cloudinvoice.vn: 1 ô mã tra cứu, không captcha</v>
      </c>
      <c r="AN44" t="str">
        <f>IFERROR(IF(INDEX('WBS2'!$I$163:$I$298,MATCH($C44,'WBS2'!$F$163:$F$298,0))="","",INDEX('WBS2'!$I$163:$I$298,MATCH($C44,'WBS2'!$F$163:$F$298,0))),"")</f>
        <v>Chưa hoàn thành</v>
      </c>
      <c r="AO44" s="92">
        <f>IFERROR(IF(OR($AN44="Chưa hoàn thành",$AN44="Sẵn sàng"),INDEX('WBS2'!$H$163:$H$298,MATCH($C44,'WBS2'!$F$163:$F$298,0)),""),"")</f>
        <v>46446</v>
      </c>
      <c r="AP44" t="str">
        <f>IFERROR(IF(INDEX('WBS2'!$J$163:$J$298,MATCH($C44,'WBS2'!$F$163:$F$298,0))="","",INDEX('WBS2'!$J$163:$J$298,MATCH($C44,'WBS2'!$F$163:$F$298,0))),"")</f>
        <v>Chưa có mail/PDF nào của NCC này (kiểm DB 27/10)</v>
      </c>
    </row>
    <row r="45" spans="1:42" ht="14.25" customHeight="1" x14ac:dyDescent="0.35">
      <c r="A45" s="13">
        <v>44</v>
      </c>
      <c r="B45" s="13" t="s">
        <v>37</v>
      </c>
      <c r="C45" s="14" t="s">
        <v>38</v>
      </c>
      <c r="D45" s="13" t="s">
        <v>752</v>
      </c>
      <c r="E45" s="18" t="s">
        <v>753</v>
      </c>
      <c r="F45" s="20" t="s">
        <v>382</v>
      </c>
      <c r="G45" s="78" t="s">
        <v>754</v>
      </c>
      <c r="H45" s="35" t="str">
        <f t="shared" si="1"/>
        <v>Mã tra cứu + Captcha ảnh</v>
      </c>
      <c r="I45" s="20" t="s">
        <v>528</v>
      </c>
      <c r="J45" s="17"/>
      <c r="K45" s="67">
        <v>0</v>
      </c>
      <c r="L45" s="20" t="s">
        <v>755</v>
      </c>
      <c r="M45" s="37"/>
      <c r="N45" s="38" t="s">
        <v>407</v>
      </c>
      <c r="O45" s="39" t="s">
        <v>509</v>
      </c>
      <c r="P45" s="39"/>
      <c r="Q45" s="39"/>
      <c r="R45" s="39"/>
      <c r="S45" s="39"/>
      <c r="T45" s="39"/>
      <c r="U45" s="39"/>
      <c r="V45" s="39"/>
      <c r="W45" s="39"/>
      <c r="X45" s="39" t="s">
        <v>509</v>
      </c>
      <c r="Y45" s="39"/>
      <c r="Z45" s="39"/>
      <c r="AA45" s="39"/>
      <c r="AB45" s="39"/>
      <c r="AC45" s="39">
        <v>2</v>
      </c>
      <c r="AD45" s="16" t="s">
        <v>756</v>
      </c>
      <c r="AE45" s="16" t="s">
        <v>757</v>
      </c>
      <c r="AF45" s="16" t="s">
        <v>758</v>
      </c>
      <c r="AG45" s="16" t="s">
        <v>754</v>
      </c>
      <c r="AH45" s="1"/>
      <c r="AI45" s="1"/>
      <c r="AJ45" t="str">
        <f>IFERROR(IF(INDEX('WBS2'!$I$2:$I$25,MATCH($C45,'WBS2'!$F$2:$F$25,0))="","",INDEX('WBS2'!$I$2:$I$25,MATCH($C45,'WBS2'!$F$2:$F$25,0))),"")</f>
        <v>Đang training</v>
      </c>
      <c r="AK45" t="str">
        <f>IFERROR(IF(INDEX('WBS2'!$I$27:$I$162,MATCH($C45,'WBS2'!$F$27:$F$162,0))="","",INDEX('WBS2'!$I$27:$I$162,MATCH($C45,'WBS2'!$F$27:$F$162,0))),"")</f>
        <v>Hoàn thành</v>
      </c>
      <c r="AL45" s="92" t="str">
        <f>IFERROR(IF(OR($AK45="Chưa hoàn thành",$AK45="Sẵn sàng"),INDEX('WBS2'!$H$27:$H$162,MATCH($C45,'WBS2'!$F$27:$F$162,0)),""),"")</f>
        <v/>
      </c>
      <c r="AM45" t="str">
        <f>IFERROR(IF(INDEX('WBS2'!$J$27:$J$162,MATCH($C45,'WBS2'!$F$27:$F$162,0))="","",INDEX('WBS2'!$J$27:$J$162,MATCH($C45,'WBS2'!$F$27:$F$162,0))),"")</f>
        <v/>
      </c>
      <c r="AN45" t="str">
        <f>IFERROR(IF(INDEX('WBS2'!$I$163:$I$298,MATCH($C45,'WBS2'!$F$163:$F$298,0))="","",INDEX('WBS2'!$I$163:$I$298,MATCH($C45,'WBS2'!$F$163:$F$298,0))),"")</f>
        <v>Hoàn thành</v>
      </c>
      <c r="AO45" s="92" t="str">
        <f>IFERROR(IF(OR($AN45="Chưa hoàn thành",$AN45="Sẵn sàng"),INDEX('WBS2'!$H$163:$H$298,MATCH($C45,'WBS2'!$F$163:$F$298,0)),""),"")</f>
        <v/>
      </c>
      <c r="AP45" t="str">
        <f>IFERROR(IF(INDEX('WBS2'!$J$163:$J$298,MATCH($C45,'WBS2'!$F$163:$F$298,0))="","",INDEX('WBS2'!$J$163:$J$298,MATCH($C45,'WBS2'!$F$163:$F$298,0))),"")</f>
        <v/>
      </c>
    </row>
    <row r="46" spans="1:42" ht="14.25" customHeight="1" x14ac:dyDescent="0.35">
      <c r="A46" s="13">
        <v>45</v>
      </c>
      <c r="B46" s="13" t="s">
        <v>39</v>
      </c>
      <c r="C46" s="14" t="s">
        <v>40</v>
      </c>
      <c r="D46" s="13" t="s">
        <v>759</v>
      </c>
      <c r="E46" s="77" t="s">
        <v>760</v>
      </c>
      <c r="F46" s="20" t="s">
        <v>382</v>
      </c>
      <c r="G46" s="63" t="s">
        <v>761</v>
      </c>
      <c r="H46" s="35" t="str">
        <f t="shared" si="1"/>
        <v>Mã tra cứu + MST người bán + Ngày lập + Captcha ảnh</v>
      </c>
      <c r="I46" s="20" t="s">
        <v>528</v>
      </c>
      <c r="J46" s="17"/>
      <c r="K46" s="17"/>
      <c r="L46" s="20" t="s">
        <v>762</v>
      </c>
      <c r="M46" s="79" t="s">
        <v>763</v>
      </c>
      <c r="N46" s="38" t="s">
        <v>407</v>
      </c>
      <c r="O46" s="39" t="s">
        <v>509</v>
      </c>
      <c r="P46" s="39" t="s">
        <v>509</v>
      </c>
      <c r="Q46" s="39"/>
      <c r="R46" s="39"/>
      <c r="S46" s="39"/>
      <c r="T46" s="39" t="s">
        <v>509</v>
      </c>
      <c r="U46" s="39"/>
      <c r="V46" s="39"/>
      <c r="W46" s="39"/>
      <c r="X46" s="39" t="s">
        <v>509</v>
      </c>
      <c r="Y46" s="39"/>
      <c r="Z46" s="39"/>
      <c r="AA46" s="39"/>
      <c r="AB46" s="39"/>
      <c r="AC46" s="39">
        <v>4</v>
      </c>
      <c r="AD46" s="16" t="s">
        <v>764</v>
      </c>
      <c r="AE46" s="16" t="s">
        <v>765</v>
      </c>
      <c r="AF46" s="16" t="s">
        <v>766</v>
      </c>
      <c r="AG46" s="16" t="s">
        <v>692</v>
      </c>
      <c r="AH46" s="1"/>
      <c r="AI46" s="1"/>
      <c r="AJ46" t="str">
        <f>IFERROR(IF(INDEX('WBS2'!$I$2:$I$25,MATCH($C46,'WBS2'!$F$2:$F$25,0))="","",INDEX('WBS2'!$I$2:$I$25,MATCH($C46,'WBS2'!$F$2:$F$25,0))),"")</f>
        <v>Đang training</v>
      </c>
      <c r="AK46" t="str">
        <f>IFERROR(IF(INDEX('WBS2'!$I$27:$I$162,MATCH($C46,'WBS2'!$F$27:$F$162,0))="","",INDEX('WBS2'!$I$27:$I$162,MATCH($C46,'WBS2'!$F$27:$F$162,0))),"")</f>
        <v>Hoàn thành</v>
      </c>
      <c r="AL46" s="92" t="str">
        <f>IFERROR(IF(OR($AK46="Chưa hoàn thành",$AK46="Sẵn sàng"),INDEX('WBS2'!$H$27:$H$162,MATCH($C46,'WBS2'!$F$27:$F$162,0)),""),"")</f>
        <v/>
      </c>
      <c r="AM46" t="str">
        <f>IFERROR(IF(INDEX('WBS2'!$J$27:$J$162,MATCH($C46,'WBS2'!$F$27:$F$162,0))="","",INDEX('WBS2'!$J$27:$J$162,MATCH($C46,'WBS2'!$F$27:$F$162,0))),"")</f>
        <v/>
      </c>
      <c r="AN46" t="str">
        <f>IFERROR(IF(INDEX('WBS2'!$I$163:$I$298,MATCH($C46,'WBS2'!$F$163:$F$298,0))="","",INDEX('WBS2'!$I$163:$I$298,MATCH($C46,'WBS2'!$F$163:$F$298,0))),"")</f>
        <v>Hoàn thành</v>
      </c>
      <c r="AO46" s="92" t="str">
        <f>IFERROR(IF(OR($AN46="Chưa hoàn thành",$AN46="Sẵn sàng"),INDEX('WBS2'!$H$163:$H$298,MATCH($C46,'WBS2'!$F$163:$F$298,0)),""),"")</f>
        <v/>
      </c>
      <c r="AP46" t="str">
        <f>IFERROR(IF(INDEX('WBS2'!$J$163:$J$298,MATCH($C46,'WBS2'!$F$163:$F$298,0))="","",INDEX('WBS2'!$J$163:$J$298,MATCH($C46,'WBS2'!$F$163:$F$298,0))),"")</f>
        <v/>
      </c>
    </row>
    <row r="47" spans="1:42" ht="14.25" customHeight="1" x14ac:dyDescent="0.35">
      <c r="A47" s="13">
        <v>46</v>
      </c>
      <c r="B47" s="13" t="s">
        <v>41</v>
      </c>
      <c r="C47" s="14" t="s">
        <v>42</v>
      </c>
      <c r="D47" s="13" t="s">
        <v>767</v>
      </c>
      <c r="E47" s="18" t="s">
        <v>768</v>
      </c>
      <c r="F47" s="20" t="s">
        <v>382</v>
      </c>
      <c r="G47" s="78" t="s">
        <v>769</v>
      </c>
      <c r="H47" s="35" t="str">
        <f t="shared" si="1"/>
        <v>Mã tra cứu + Captcha ảnh</v>
      </c>
      <c r="I47" s="20" t="s">
        <v>528</v>
      </c>
      <c r="J47" s="23" t="s">
        <v>770</v>
      </c>
      <c r="K47" s="60">
        <v>0.94469999999999998</v>
      </c>
      <c r="L47" s="20" t="s">
        <v>771</v>
      </c>
      <c r="M47" s="37"/>
      <c r="N47" s="38" t="s">
        <v>407</v>
      </c>
      <c r="O47" s="39" t="s">
        <v>509</v>
      </c>
      <c r="P47" s="39"/>
      <c r="Q47" s="39"/>
      <c r="R47" s="39"/>
      <c r="S47" s="39"/>
      <c r="T47" s="39"/>
      <c r="U47" s="39"/>
      <c r="V47" s="39"/>
      <c r="W47" s="39"/>
      <c r="X47" s="39" t="s">
        <v>509</v>
      </c>
      <c r="Y47" s="39"/>
      <c r="Z47" s="39"/>
      <c r="AA47" s="39"/>
      <c r="AB47" s="39"/>
      <c r="AC47" s="39">
        <v>2</v>
      </c>
      <c r="AD47" s="16" t="s">
        <v>772</v>
      </c>
      <c r="AE47" s="16" t="s">
        <v>773</v>
      </c>
      <c r="AF47" s="16" t="s">
        <v>774</v>
      </c>
      <c r="AG47" s="16" t="s">
        <v>769</v>
      </c>
      <c r="AH47" s="1"/>
      <c r="AI47" s="1"/>
      <c r="AJ47" t="str">
        <f>IFERROR(IF(INDEX('WBS2'!$I$2:$I$25,MATCH($C47,'WBS2'!$F$2:$F$25,0))="","",INDEX('WBS2'!$I$2:$I$25,MATCH($C47,'WBS2'!$F$2:$F$25,0))),"")</f>
        <v>Hoàn thành</v>
      </c>
      <c r="AK47" t="str">
        <f>IFERROR(IF(INDEX('WBS2'!$I$27:$I$162,MATCH($C47,'WBS2'!$F$27:$F$162,0))="","",INDEX('WBS2'!$I$27:$I$162,MATCH($C47,'WBS2'!$F$27:$F$162,0))),"")</f>
        <v>Sẵn sàng</v>
      </c>
      <c r="AL47" s="92">
        <f>IFERROR(IF(OR($AK47="Chưa hoàn thành",$AK47="Sẵn sàng"),INDEX('WBS2'!$H$27:$H$162,MATCH($C47,'WBS2'!$F$27:$F$162,0)),""),"")</f>
        <v>46356</v>
      </c>
      <c r="AM47" t="str">
        <f>IFERROR(IF(INDEX('WBS2'!$J$27:$J$162,MATCH($C47,'WBS2'!$F$27:$F$162,0))="","",INDEX('WBS2'!$J$27:$J$162,MATCH($C47,'WBS2'!$F$27:$F$162,0))),"")</f>
        <v>myinvoicevn – xcyber bill2app, captcha g_300x75; 27/10 cổng tracuu.hoadondientuvn.info không truy cập được</v>
      </c>
      <c r="AN47" t="str">
        <f>IFERROR(IF(INDEX('WBS2'!$I$163:$I$298,MATCH($C47,'WBS2'!$F$163:$F$298,0))="","",INDEX('WBS2'!$I$163:$I$298,MATCH($C47,'WBS2'!$F$163:$F$298,0))),"")</f>
        <v>Sẵn sàng</v>
      </c>
      <c r="AO47" s="92">
        <f>IFERROR(IF(OR($AN47="Chưa hoàn thành",$AN47="Sẵn sàng"),INDEX('WBS2'!$H$163:$H$298,MATCH($C47,'WBS2'!$F$163:$F$298,0)),""),"")</f>
        <v>46356</v>
      </c>
      <c r="AP47" t="str">
        <f>IFERROR(IF(INDEX('WBS2'!$J$163:$J$298,MATCH($C47,'WBS2'!$F$163:$F$298,0))="","",INDEX('WBS2'!$J$163:$J$298,MATCH($C47,'WBS2'!$F$163:$F$298,0))),"")</f>
        <v/>
      </c>
    </row>
    <row r="48" spans="1:42" ht="14.25" hidden="1" customHeight="1" x14ac:dyDescent="0.35">
      <c r="A48" s="13">
        <v>47</v>
      </c>
      <c r="B48" s="13" t="s">
        <v>156</v>
      </c>
      <c r="C48" s="14" t="s">
        <v>157</v>
      </c>
      <c r="D48" s="13" t="s">
        <v>775</v>
      </c>
      <c r="E48" s="18" t="s">
        <v>776</v>
      </c>
      <c r="F48" s="20" t="s">
        <v>383</v>
      </c>
      <c r="G48" s="63" t="s">
        <v>777</v>
      </c>
      <c r="H48" s="35" t="str">
        <f t="shared" si="1"/>
        <v/>
      </c>
      <c r="I48" s="17"/>
      <c r="J48" s="17"/>
      <c r="K48" s="17"/>
      <c r="L48" s="17"/>
      <c r="M48" s="37"/>
      <c r="N48" s="38" t="s">
        <v>411</v>
      </c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 t="s">
        <v>509</v>
      </c>
      <c r="Z48" s="39"/>
      <c r="AA48" s="39"/>
      <c r="AB48" s="39"/>
      <c r="AC48" s="39"/>
      <c r="AD48" s="16" t="s">
        <v>778</v>
      </c>
      <c r="AE48" s="16"/>
      <c r="AF48" s="16" t="s">
        <v>779</v>
      </c>
      <c r="AG48" s="16" t="s">
        <v>777</v>
      </c>
      <c r="AH48" s="1"/>
      <c r="AI48" s="1"/>
      <c r="AJ48" t="str">
        <f>IFERROR(IF(INDEX('WBS2'!$I$2:$I$25,MATCH($C48,'WBS2'!$F$2:$F$25,0))="","",INDEX('WBS2'!$I$2:$I$25,MATCH($C48,'WBS2'!$F$2:$F$25,0))),"")</f>
        <v/>
      </c>
      <c r="AK48" t="str">
        <f>IFERROR(IF(INDEX('WBS2'!$I$27:$I$162,MATCH($C48,'WBS2'!$F$27:$F$162,0))="","",INDEX('WBS2'!$I$27:$I$162,MATCH($C48,'WBS2'!$F$27:$F$162,0))),"")</f>
        <v>Chưa hoàn thành</v>
      </c>
      <c r="AL48" s="92">
        <f>IFERROR(IF(OR($AK48="Chưa hoàn thành",$AK48="Sẵn sàng"),INDEX('WBS2'!$H$27:$H$162,MATCH($C48,'WBS2'!$F$27:$F$162,0)),""),"")</f>
        <v>46477</v>
      </c>
      <c r="AM48" t="str">
        <f>IFERROR(IF(INDEX('WBS2'!$J$27:$J$162,MATCH($C48,'WBS2'!$F$27:$F$162,0))="","",INDEX('WBS2'!$J$27:$J$162,MATCH($C48,'WBS2'!$F$27:$F$162,0))),"")</f>
        <v>Không làm được qua link tra cứu – bị chặn bởi reCAPTCHA v2 (server kiểm), lấy qua mail. safecert.com.vn</v>
      </c>
      <c r="AN48" t="str">
        <f>IFERROR(IF(INDEX('WBS2'!$I$163:$I$298,MATCH($C48,'WBS2'!$F$163:$F$298,0))="","",INDEX('WBS2'!$I$163:$I$298,MATCH($C48,'WBS2'!$F$163:$F$298,0))),"")</f>
        <v>Chưa hoàn thành</v>
      </c>
      <c r="AO48" s="92">
        <f>IFERROR(IF(OR($AN48="Chưa hoàn thành",$AN48="Sẵn sàng"),INDEX('WBS2'!$H$163:$H$298,MATCH($C48,'WBS2'!$F$163:$F$298,0)),""),"")</f>
        <v>46477</v>
      </c>
      <c r="AP48" t="str">
        <f>IFERROR(IF(INDEX('WBS2'!$J$163:$J$298,MATCH($C48,'WBS2'!$F$163:$F$298,0))="","",INDEX('WBS2'!$J$163:$J$298,MATCH($C48,'WBS2'!$F$163:$F$298,0))),"")</f>
        <v>Chưa có mail/PDF nào của NCC này (kiểm DB 27/10)</v>
      </c>
    </row>
    <row r="49" spans="1:42" ht="14.25" hidden="1" customHeight="1" x14ac:dyDescent="0.35">
      <c r="A49" s="13">
        <v>48</v>
      </c>
      <c r="B49" s="13" t="s">
        <v>159</v>
      </c>
      <c r="C49" s="14" t="s">
        <v>160</v>
      </c>
      <c r="D49" s="13" t="s">
        <v>780</v>
      </c>
      <c r="E49" s="18" t="s">
        <v>781</v>
      </c>
      <c r="F49" s="20" t="s">
        <v>389</v>
      </c>
      <c r="G49" s="63" t="s">
        <v>782</v>
      </c>
      <c r="H49" s="35" t="str">
        <f t="shared" si="1"/>
        <v>Upload XML</v>
      </c>
      <c r="I49" s="17"/>
      <c r="J49" s="17"/>
      <c r="K49" s="17"/>
      <c r="L49" s="17"/>
      <c r="M49" s="37"/>
      <c r="N49" s="38" t="s">
        <v>407</v>
      </c>
      <c r="O49" s="39"/>
      <c r="P49" s="39"/>
      <c r="Q49" s="39"/>
      <c r="R49" s="39"/>
      <c r="S49" s="39"/>
      <c r="T49" s="39"/>
      <c r="U49" s="39"/>
      <c r="V49" s="39"/>
      <c r="W49" s="39" t="s">
        <v>509</v>
      </c>
      <c r="X49" s="39"/>
      <c r="Y49" s="39"/>
      <c r="Z49" s="39"/>
      <c r="AA49" s="39"/>
      <c r="AB49" s="39"/>
      <c r="AC49" s="39">
        <v>1</v>
      </c>
      <c r="AD49" s="16" t="s">
        <v>783</v>
      </c>
      <c r="AE49" s="16"/>
      <c r="AF49" s="16" t="s">
        <v>784</v>
      </c>
      <c r="AG49" s="16" t="s">
        <v>782</v>
      </c>
      <c r="AH49" s="1"/>
      <c r="AI49" s="1"/>
      <c r="AJ49" t="str">
        <f>IFERROR(IF(INDEX('WBS2'!$I$2:$I$25,MATCH($C49,'WBS2'!$F$2:$F$25,0))="","",INDEX('WBS2'!$I$2:$I$25,MATCH($C49,'WBS2'!$F$2:$F$25,0))),"")</f>
        <v/>
      </c>
      <c r="AK49" t="str">
        <f>IFERROR(IF(INDEX('WBS2'!$I$27:$I$162,MATCH($C49,'WBS2'!$F$27:$F$162,0))="","",INDEX('WBS2'!$I$27:$I$162,MATCH($C49,'WBS2'!$F$27:$F$162,0))),"")</f>
        <v>Chưa hoàn thành</v>
      </c>
      <c r="AL49" s="92">
        <f>IFERROR(IF(OR($AK49="Chưa hoàn thành",$AK49="Sẵn sàng"),INDEX('WBS2'!$H$27:$H$162,MATCH($C49,'WBS2'!$F$27:$F$162,0)),""),"")</f>
        <v>46477</v>
      </c>
      <c r="AM49" t="str">
        <f>IFERROR(IF(INDEX('WBS2'!$J$27:$J$162,MATCH($C49,'WBS2'!$F$27:$F$162,0))="","",INDEX('WBS2'!$J$27:$J$162,MATCH($C49,'WBS2'!$F$27:$F$162,0))),"")</f>
        <v>Không làm được qua link tra cứu – chỉ là công cụ đọc XML. dailychukyso.com.vn/read-xml.php</v>
      </c>
      <c r="AN49" t="str">
        <f>IFERROR(IF(INDEX('WBS2'!$I$163:$I$298,MATCH($C49,'WBS2'!$F$163:$F$298,0))="","",INDEX('WBS2'!$I$163:$I$298,MATCH($C49,'WBS2'!$F$163:$F$298,0))),"")</f>
        <v>Chưa hoàn thành</v>
      </c>
      <c r="AO49" s="92">
        <f>IFERROR(IF(OR($AN49="Chưa hoàn thành",$AN49="Sẵn sàng"),INDEX('WBS2'!$H$163:$H$298,MATCH($C49,'WBS2'!$F$163:$F$298,0)),""),"")</f>
        <v>46477</v>
      </c>
      <c r="AP49" t="str">
        <f>IFERROR(IF(INDEX('WBS2'!$J$163:$J$298,MATCH($C49,'WBS2'!$F$163:$F$298,0))="","",INDEX('WBS2'!$J$163:$J$298,MATCH($C49,'WBS2'!$F$163:$F$298,0))),"")</f>
        <v>Chưa có mail/PDF nào của NCC này (kiểm DB 27/10)</v>
      </c>
    </row>
    <row r="50" spans="1:42" ht="14.25" customHeight="1" x14ac:dyDescent="0.35">
      <c r="A50" s="13">
        <v>49</v>
      </c>
      <c r="B50" s="13" t="s">
        <v>43</v>
      </c>
      <c r="C50" s="14" t="s">
        <v>44</v>
      </c>
      <c r="D50" s="13" t="s">
        <v>785</v>
      </c>
      <c r="E50" s="18" t="s">
        <v>786</v>
      </c>
      <c r="F50" s="20" t="s">
        <v>382</v>
      </c>
      <c r="G50" s="68" t="s">
        <v>787</v>
      </c>
      <c r="H50" s="35" t="str">
        <f t="shared" si="1"/>
        <v>Mã tra cứu + Captcha ảnh</v>
      </c>
      <c r="I50" s="20" t="s">
        <v>528</v>
      </c>
      <c r="J50" s="17"/>
      <c r="K50" s="67">
        <v>0.97699999999999998</v>
      </c>
      <c r="L50" s="20" t="s">
        <v>545</v>
      </c>
      <c r="M50" s="37"/>
      <c r="N50" s="38" t="s">
        <v>407</v>
      </c>
      <c r="O50" s="39" t="s">
        <v>509</v>
      </c>
      <c r="P50" s="39"/>
      <c r="Q50" s="39"/>
      <c r="R50" s="39"/>
      <c r="S50" s="39"/>
      <c r="T50" s="39"/>
      <c r="U50" s="39"/>
      <c r="V50" s="39"/>
      <c r="W50" s="39"/>
      <c r="X50" s="39" t="s">
        <v>509</v>
      </c>
      <c r="Y50" s="39"/>
      <c r="Z50" s="39"/>
      <c r="AA50" s="39"/>
      <c r="AB50" s="39"/>
      <c r="AC50" s="39">
        <v>2</v>
      </c>
      <c r="AD50" s="16" t="s">
        <v>788</v>
      </c>
      <c r="AE50" s="16" t="s">
        <v>789</v>
      </c>
      <c r="AF50" s="16" t="s">
        <v>790</v>
      </c>
      <c r="AG50" s="16" t="s">
        <v>787</v>
      </c>
      <c r="AH50" s="1"/>
      <c r="AI50" s="1"/>
      <c r="AJ50" t="str">
        <f>IFERROR(IF(INDEX('WBS2'!$I$2:$I$25,MATCH($C50,'WBS2'!$F$2:$F$25,0))="","",INDEX('WBS2'!$I$2:$I$25,MATCH($C50,'WBS2'!$F$2:$F$25,0))),"")</f>
        <v>Hoàn thành</v>
      </c>
      <c r="AK50" t="str">
        <f>IFERROR(IF(INDEX('WBS2'!$I$27:$I$162,MATCH($C50,'WBS2'!$F$27:$F$162,0))="","",INDEX('WBS2'!$I$27:$I$162,MATCH($C50,'WBS2'!$F$27:$F$162,0))),"")</f>
        <v>Sẵn sàng</v>
      </c>
      <c r="AL50" s="92">
        <f>IFERROR(IF(OR($AK50="Chưa hoàn thành",$AK50="Sẵn sàng"),INDEX('WBS2'!$H$27:$H$162,MATCH($C50,'WBS2'!$F$27:$F$162,0)),""),"")</f>
        <v>46356</v>
      </c>
      <c r="AM50" t="str">
        <f>IFERROR(IF(INDEX('WBS2'!$J$27:$J$162,MATCH($C50,'WBS2'!$F$27:$F$162,0))="","",INDEX('WBS2'!$J$27:$J$162,MATCH($C50,'WBS2'!$F$27:$F$162,0))),"")</f>
        <v>lienson – nền xcyber, captcha g_300x75 (server nhận)</v>
      </c>
      <c r="AN50" t="str">
        <f>IFERROR(IF(INDEX('WBS2'!$I$163:$I$298,MATCH($C50,'WBS2'!$F$163:$F$298,0))="","",INDEX('WBS2'!$I$163:$I$298,MATCH($C50,'WBS2'!$F$163:$F$298,0))),"")</f>
        <v>Sẵn sàng</v>
      </c>
      <c r="AO50" s="92">
        <f>IFERROR(IF(OR($AN50="Chưa hoàn thành",$AN50="Sẵn sàng"),INDEX('WBS2'!$H$163:$H$298,MATCH($C50,'WBS2'!$F$163:$F$298,0)),""),"")</f>
        <v>46356</v>
      </c>
      <c r="AP50" t="str">
        <f>IFERROR(IF(INDEX('WBS2'!$J$163:$J$298,MATCH($C50,'WBS2'!$F$163:$F$298,0))="","",INDEX('WBS2'!$J$163:$J$298,MATCH($C50,'WBS2'!$F$163:$F$298,0))),"")</f>
        <v/>
      </c>
    </row>
    <row r="51" spans="1:42" ht="14.25" hidden="1" customHeight="1" x14ac:dyDescent="0.35">
      <c r="A51" s="13">
        <v>50</v>
      </c>
      <c r="B51" s="13" t="s">
        <v>163</v>
      </c>
      <c r="C51" s="14" t="s">
        <v>164</v>
      </c>
      <c r="D51" s="13" t="s">
        <v>791</v>
      </c>
      <c r="E51" s="18" t="s">
        <v>792</v>
      </c>
      <c r="F51" s="20" t="s">
        <v>381</v>
      </c>
      <c r="G51" s="20" t="s">
        <v>793</v>
      </c>
      <c r="H51" s="35" t="str">
        <f t="shared" si="1"/>
        <v>Mã tra cứu</v>
      </c>
      <c r="I51" s="17"/>
      <c r="J51" s="17"/>
      <c r="K51" s="17"/>
      <c r="L51" s="17"/>
      <c r="M51" s="37"/>
      <c r="N51" s="38" t="s">
        <v>407</v>
      </c>
      <c r="O51" s="39" t="s">
        <v>509</v>
      </c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>
        <v>1</v>
      </c>
      <c r="AD51" s="16" t="s">
        <v>510</v>
      </c>
      <c r="AE51" s="16"/>
      <c r="AF51" s="16" t="s">
        <v>794</v>
      </c>
      <c r="AG51" s="16" t="s">
        <v>793</v>
      </c>
      <c r="AH51" s="1"/>
      <c r="AI51" s="1"/>
      <c r="AJ51" t="str">
        <f>IFERROR(IF(INDEX('WBS2'!$I$2:$I$25,MATCH($C51,'WBS2'!$F$2:$F$25,0))="","",INDEX('WBS2'!$I$2:$I$25,MATCH($C51,'WBS2'!$F$2:$F$25,0))),"")</f>
        <v/>
      </c>
      <c r="AK51" t="str">
        <f>IFERROR(IF(INDEX('WBS2'!$I$27:$I$162,MATCH($C51,'WBS2'!$F$27:$F$162,0))="","",INDEX('WBS2'!$I$27:$I$162,MATCH($C51,'WBS2'!$F$27:$F$162,0))),"")</f>
        <v>Hoàn thành</v>
      </c>
      <c r="AL51" s="92" t="str">
        <f>IFERROR(IF(OR($AK51="Chưa hoàn thành",$AK51="Sẵn sàng"),INDEX('WBS2'!$H$27:$H$162,MATCH($C51,'WBS2'!$F$27:$F$162,0)),""),"")</f>
        <v/>
      </c>
      <c r="AM51" t="str">
        <f>IFERROR(IF(INDEX('WBS2'!$J$27:$J$162,MATCH($C51,'WBS2'!$F$27:$F$162,0))="","",INDEX('WBS2'!$J$27:$J$162,MATCH($C51,'WBS2'!$F$27:$F$162,0))),"")</f>
        <v/>
      </c>
      <c r="AN51" t="str">
        <f>IFERROR(IF(INDEX('WBS2'!$I$163:$I$298,MATCH($C51,'WBS2'!$F$163:$F$298,0))="","",INDEX('WBS2'!$I$163:$I$298,MATCH($C51,'WBS2'!$F$163:$F$298,0))),"")</f>
        <v>Hoàn thành</v>
      </c>
      <c r="AO51" s="92" t="str">
        <f>IFERROR(IF(OR($AN51="Chưa hoàn thành",$AN51="Sẵn sàng"),INDEX('WBS2'!$H$163:$H$298,MATCH($C51,'WBS2'!$F$163:$F$298,0)),""),"")</f>
        <v/>
      </c>
      <c r="AP51" t="str">
        <f>IFERROR(IF(INDEX('WBS2'!$J$163:$J$298,MATCH($C51,'WBS2'!$F$163:$F$298,0))="","",INDEX('WBS2'!$J$163:$J$298,MATCH($C51,'WBS2'!$F$163:$F$298,0))),"")</f>
        <v/>
      </c>
    </row>
    <row r="52" spans="1:42" ht="14.25" hidden="1" customHeight="1" x14ac:dyDescent="0.35">
      <c r="A52" s="13">
        <v>51</v>
      </c>
      <c r="B52" s="13" t="s">
        <v>165</v>
      </c>
      <c r="C52" s="14" t="s">
        <v>166</v>
      </c>
      <c r="D52" s="13" t="s">
        <v>795</v>
      </c>
      <c r="E52" s="18" t="s">
        <v>796</v>
      </c>
      <c r="F52" s="20" t="s">
        <v>381</v>
      </c>
      <c r="G52" s="23" t="s">
        <v>797</v>
      </c>
      <c r="H52" s="35" t="str">
        <f t="shared" si="1"/>
        <v>Mã tra cứu + MST người bán</v>
      </c>
      <c r="I52" s="17"/>
      <c r="J52" s="17"/>
      <c r="K52" s="17"/>
      <c r="L52" s="17"/>
      <c r="M52" s="37"/>
      <c r="N52" s="38" t="s">
        <v>407</v>
      </c>
      <c r="O52" s="39" t="s">
        <v>509</v>
      </c>
      <c r="P52" s="39" t="s">
        <v>509</v>
      </c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>
        <v>2</v>
      </c>
      <c r="AD52" s="16" t="s">
        <v>510</v>
      </c>
      <c r="AE52" s="16" t="s">
        <v>798</v>
      </c>
      <c r="AF52" s="16" t="s">
        <v>799</v>
      </c>
      <c r="AG52" s="16" t="s">
        <v>797</v>
      </c>
      <c r="AH52" s="1"/>
      <c r="AI52" s="1"/>
      <c r="AJ52" t="str">
        <f>IFERROR(IF(INDEX('WBS2'!$I$2:$I$25,MATCH($C52,'WBS2'!$F$2:$F$25,0))="","",INDEX('WBS2'!$I$2:$I$25,MATCH($C52,'WBS2'!$F$2:$F$25,0))),"")</f>
        <v/>
      </c>
      <c r="AK52" t="str">
        <f>IFERROR(IF(INDEX('WBS2'!$I$27:$I$162,MATCH($C52,'WBS2'!$F$27:$F$162,0))="","",INDEX('WBS2'!$I$27:$I$162,MATCH($C52,'WBS2'!$F$27:$F$162,0))),"")</f>
        <v>Sẵn sàng</v>
      </c>
      <c r="AL52" s="92">
        <f>IFERROR(IF(OR($AK52="Chưa hoàn thành",$AK52="Sẵn sàng"),INDEX('WBS2'!$H$27:$H$162,MATCH($C52,'WBS2'!$F$27:$F$162,0)),""),"")</f>
        <v>46356</v>
      </c>
      <c r="AM52" t="str">
        <f>IFERROR(IF(INDEX('WBS2'!$J$27:$J$162,MATCH($C52,'WBS2'!$F$27:$F$162,0))="","",INDEX('WBS2'!$J$27:$J$162,MATCH($C52,'WBS2'!$F$27:$F$162,0))),"")</f>
        <v>ptp – MST bán + số bảo mật</v>
      </c>
      <c r="AN52" t="str">
        <f>IFERROR(IF(INDEX('WBS2'!$I$163:$I$298,MATCH($C52,'WBS2'!$F$163:$F$298,0))="","",INDEX('WBS2'!$I$163:$I$298,MATCH($C52,'WBS2'!$F$163:$F$298,0))),"")</f>
        <v>Sẵn sàng</v>
      </c>
      <c r="AO52" s="92">
        <f>IFERROR(IF(OR($AN52="Chưa hoàn thành",$AN52="Sẵn sàng"),INDEX('WBS2'!$H$163:$H$298,MATCH($C52,'WBS2'!$F$163:$F$298,0)),""),"")</f>
        <v>46356</v>
      </c>
      <c r="AP52" t="str">
        <f>IFERROR(IF(INDEX('WBS2'!$J$163:$J$298,MATCH($C52,'WBS2'!$F$163:$F$298,0))="","",INDEX('WBS2'!$J$163:$J$298,MATCH($C52,'WBS2'!$F$163:$F$298,0))),"")</f>
        <v/>
      </c>
    </row>
    <row r="53" spans="1:42" ht="14.25" hidden="1" customHeight="1" x14ac:dyDescent="0.35">
      <c r="A53" s="13">
        <v>52</v>
      </c>
      <c r="B53" s="13" t="s">
        <v>168</v>
      </c>
      <c r="C53" s="14" t="s">
        <v>169</v>
      </c>
      <c r="D53" s="13" t="s">
        <v>800</v>
      </c>
      <c r="E53" s="18" t="s">
        <v>801</v>
      </c>
      <c r="F53" s="20" t="s">
        <v>381</v>
      </c>
      <c r="G53" s="20" t="s">
        <v>802</v>
      </c>
      <c r="H53" s="35" t="str">
        <f t="shared" si="1"/>
        <v>Mã tra cứu</v>
      </c>
      <c r="I53" s="17"/>
      <c r="J53" s="17"/>
      <c r="K53" s="17"/>
      <c r="L53" s="17"/>
      <c r="M53" s="37"/>
      <c r="N53" s="38" t="s">
        <v>407</v>
      </c>
      <c r="O53" s="39" t="s">
        <v>509</v>
      </c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>
        <v>1</v>
      </c>
      <c r="AD53" s="16" t="s">
        <v>510</v>
      </c>
      <c r="AE53" s="16" t="s">
        <v>803</v>
      </c>
      <c r="AF53" s="16" t="s">
        <v>804</v>
      </c>
      <c r="AG53" s="16" t="s">
        <v>802</v>
      </c>
      <c r="AH53" s="1"/>
      <c r="AI53" s="1"/>
      <c r="AJ53" t="str">
        <f>IFERROR(IF(INDEX('WBS2'!$I$2:$I$25,MATCH($C53,'WBS2'!$F$2:$F$25,0))="","",INDEX('WBS2'!$I$2:$I$25,MATCH($C53,'WBS2'!$F$2:$F$25,0))),"")</f>
        <v/>
      </c>
      <c r="AK53" t="str">
        <f>IFERROR(IF(INDEX('WBS2'!$I$27:$I$162,MATCH($C53,'WBS2'!$F$27:$F$162,0))="","",INDEX('WBS2'!$I$27:$I$162,MATCH($C53,'WBS2'!$F$27:$F$162,0))),"")</f>
        <v>Sẵn sàng</v>
      </c>
      <c r="AL53" s="92">
        <f>IFERROR(IF(OR($AK53="Chưa hoàn thành",$AK53="Sẵn sàng"),INDEX('WBS2'!$H$27:$H$162,MATCH($C53,'WBS2'!$F$27:$F$162,0)),""),"")</f>
        <v>46356</v>
      </c>
      <c r="AM53" t="str">
        <f>IFERROR(IF(INDEX('WBS2'!$J$27:$J$162,MATCH($C53,'WBS2'!$F$27:$F$162,0))="","",INDEX('WBS2'!$J$27:$J$162,MATCH($C53,'WBS2'!$F$27:$F$162,0))),"")</f>
        <v>tuanchau – phần mềm Vĩnh Hy, không captcha</v>
      </c>
      <c r="AN53" t="str">
        <f>IFERROR(IF(INDEX('WBS2'!$I$163:$I$298,MATCH($C53,'WBS2'!$F$163:$F$298,0))="","",INDEX('WBS2'!$I$163:$I$298,MATCH($C53,'WBS2'!$F$163:$F$298,0))),"")</f>
        <v>Sẵn sàng</v>
      </c>
      <c r="AO53" s="92">
        <f>IFERROR(IF(OR($AN53="Chưa hoàn thành",$AN53="Sẵn sàng"),INDEX('WBS2'!$H$163:$H$298,MATCH($C53,'WBS2'!$F$163:$F$298,0)),""),"")</f>
        <v>46356</v>
      </c>
      <c r="AP53" t="str">
        <f>IFERROR(IF(INDEX('WBS2'!$J$163:$J$298,MATCH($C53,'WBS2'!$F$163:$F$298,0))="","",INDEX('WBS2'!$J$163:$J$298,MATCH($C53,'WBS2'!$F$163:$F$298,0))),"")</f>
        <v/>
      </c>
    </row>
    <row r="54" spans="1:42" ht="14.25" hidden="1" customHeight="1" x14ac:dyDescent="0.35">
      <c r="A54" s="13">
        <v>53</v>
      </c>
      <c r="B54" s="13" t="s">
        <v>171</v>
      </c>
      <c r="C54" s="14" t="s">
        <v>172</v>
      </c>
      <c r="D54" s="13" t="s">
        <v>805</v>
      </c>
      <c r="E54" s="18" t="s">
        <v>806</v>
      </c>
      <c r="F54" s="20" t="s">
        <v>381</v>
      </c>
      <c r="G54" s="20" t="s">
        <v>807</v>
      </c>
      <c r="H54" s="35" t="str">
        <f t="shared" si="1"/>
        <v>Mã tra cứu</v>
      </c>
      <c r="I54" s="17"/>
      <c r="J54" s="17"/>
      <c r="K54" s="17"/>
      <c r="L54" s="17"/>
      <c r="M54" s="37"/>
      <c r="N54" s="38" t="s">
        <v>407</v>
      </c>
      <c r="O54" s="39" t="s">
        <v>509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>
        <v>1</v>
      </c>
      <c r="AD54" s="16" t="s">
        <v>510</v>
      </c>
      <c r="AE54" s="16" t="s">
        <v>808</v>
      </c>
      <c r="AF54" s="16" t="s">
        <v>809</v>
      </c>
      <c r="AG54" s="16" t="s">
        <v>807</v>
      </c>
      <c r="AH54" s="1"/>
      <c r="AI54" s="1"/>
      <c r="AJ54" t="str">
        <f>IFERROR(IF(INDEX('WBS2'!$I$2:$I$25,MATCH($C54,'WBS2'!$F$2:$F$25,0))="","",INDEX('WBS2'!$I$2:$I$25,MATCH($C54,'WBS2'!$F$2:$F$25,0))),"")</f>
        <v/>
      </c>
      <c r="AK54" t="str">
        <f>IFERROR(IF(INDEX('WBS2'!$I$27:$I$162,MATCH($C54,'WBS2'!$F$27:$F$162,0))="","",INDEX('WBS2'!$I$27:$I$162,MATCH($C54,'WBS2'!$F$27:$F$162,0))),"")</f>
        <v>Sẵn sàng</v>
      </c>
      <c r="AL54" s="92">
        <f>IFERROR(IF(OR($AK54="Chưa hoàn thành",$AK54="Sẵn sàng"),INDEX('WBS2'!$H$27:$H$162,MATCH($C54,'WBS2'!$F$27:$F$162,0)),""),"")</f>
        <v>46356</v>
      </c>
      <c r="AM54" t="str">
        <f>IFERROR(IF(INDEX('WBS2'!$J$27:$J$162,MATCH($C54,'WBS2'!$F$27:$F$162,0))="","",INDEX('WBS2'!$J$27:$J$162,MATCH($C54,'WBS2'!$F$27:$F$162,0))),"")</f>
        <v>minhthu – phần mềm Vĩnh Hy, không captcha</v>
      </c>
      <c r="AN54" t="str">
        <f>IFERROR(IF(INDEX('WBS2'!$I$163:$I$298,MATCH($C54,'WBS2'!$F$163:$F$298,0))="","",INDEX('WBS2'!$I$163:$I$298,MATCH($C54,'WBS2'!$F$163:$F$298,0))),"")</f>
        <v>Sẵn sàng</v>
      </c>
      <c r="AO54" s="92">
        <f>IFERROR(IF(OR($AN54="Chưa hoàn thành",$AN54="Sẵn sàng"),INDEX('WBS2'!$H$163:$H$298,MATCH($C54,'WBS2'!$F$163:$F$298,0)),""),"")</f>
        <v>46356</v>
      </c>
      <c r="AP54" t="str">
        <f>IFERROR(IF(INDEX('WBS2'!$J$163:$J$298,MATCH($C54,'WBS2'!$F$163:$F$298,0))="","",INDEX('WBS2'!$J$163:$J$298,MATCH($C54,'WBS2'!$F$163:$F$298,0))),"")</f>
        <v/>
      </c>
    </row>
    <row r="55" spans="1:42" ht="14.25" hidden="1" customHeight="1" x14ac:dyDescent="0.35">
      <c r="A55" s="13">
        <v>54</v>
      </c>
      <c r="B55" s="13" t="s">
        <v>174</v>
      </c>
      <c r="C55" s="14" t="s">
        <v>175</v>
      </c>
      <c r="D55" s="13" t="s">
        <v>810</v>
      </c>
      <c r="E55" s="18" t="s">
        <v>811</v>
      </c>
      <c r="F55" s="20" t="s">
        <v>381</v>
      </c>
      <c r="G55" s="23" t="s">
        <v>812</v>
      </c>
      <c r="H55" s="35" t="str">
        <f t="shared" si="1"/>
        <v>Mã tra cứu + MST người bán</v>
      </c>
      <c r="I55" s="17"/>
      <c r="J55" s="17"/>
      <c r="K55" s="17"/>
      <c r="L55" s="17"/>
      <c r="M55" s="37"/>
      <c r="N55" s="38" t="s">
        <v>407</v>
      </c>
      <c r="O55" s="39" t="s">
        <v>509</v>
      </c>
      <c r="P55" s="39" t="s">
        <v>509</v>
      </c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>
        <v>2</v>
      </c>
      <c r="AD55" s="16" t="s">
        <v>510</v>
      </c>
      <c r="AE55" s="16"/>
      <c r="AF55" s="16" t="s">
        <v>813</v>
      </c>
      <c r="AG55" s="16" t="s">
        <v>812</v>
      </c>
      <c r="AH55" s="1"/>
      <c r="AI55" s="1"/>
      <c r="AJ55" t="str">
        <f>IFERROR(IF(INDEX('WBS2'!$I$2:$I$25,MATCH($C55,'WBS2'!$F$2:$F$25,0))="","",INDEX('WBS2'!$I$2:$I$25,MATCH($C55,'WBS2'!$F$2:$F$25,0))),"")</f>
        <v/>
      </c>
      <c r="AK55" t="str">
        <f>IFERROR(IF(INDEX('WBS2'!$I$27:$I$162,MATCH($C55,'WBS2'!$F$27:$F$162,0))="","",INDEX('WBS2'!$I$27:$I$162,MATCH($C55,'WBS2'!$F$27:$F$162,0))),"")</f>
        <v>Sẵn sàng</v>
      </c>
      <c r="AL55" s="92">
        <f>IFERROR(IF(OR($AK55="Chưa hoàn thành",$AK55="Sẵn sàng"),INDEX('WBS2'!$H$27:$H$162,MATCH($C55,'WBS2'!$F$27:$F$162,0)),""),"")</f>
        <v>46356</v>
      </c>
      <c r="AM55" t="str">
        <f>IFERROR(IF(INDEX('WBS2'!$J$27:$J$162,MATCH($C55,'WBS2'!$F$27:$F$162,0))="","",INDEX('WBS2'!$J$27:$J$162,MATCH($C55,'WBS2'!$F$27:$F$162,0))),"")</f>
        <v>acman – form WebForms</v>
      </c>
      <c r="AN55" t="str">
        <f>IFERROR(IF(INDEX('WBS2'!$I$163:$I$298,MATCH($C55,'WBS2'!$F$163:$F$298,0))="","",INDEX('WBS2'!$I$163:$I$298,MATCH($C55,'WBS2'!$F$163:$F$298,0))),"")</f>
        <v>Sẵn sàng</v>
      </c>
      <c r="AO55" s="92">
        <f>IFERROR(IF(OR($AN55="Chưa hoàn thành",$AN55="Sẵn sàng"),INDEX('WBS2'!$H$163:$H$298,MATCH($C55,'WBS2'!$F$163:$F$298,0)),""),"")</f>
        <v>46356</v>
      </c>
      <c r="AP55" t="str">
        <f>IFERROR(IF(INDEX('WBS2'!$J$163:$J$298,MATCH($C55,'WBS2'!$F$163:$F$298,0))="","",INDEX('WBS2'!$J$163:$J$298,MATCH($C55,'WBS2'!$F$163:$F$298,0))),"")</f>
        <v/>
      </c>
    </row>
    <row r="56" spans="1:42" ht="14.25" hidden="1" customHeight="1" x14ac:dyDescent="0.35">
      <c r="A56" s="13">
        <v>55</v>
      </c>
      <c r="B56" s="13" t="s">
        <v>177</v>
      </c>
      <c r="C56" s="14" t="s">
        <v>178</v>
      </c>
      <c r="D56" s="13" t="s">
        <v>814</v>
      </c>
      <c r="E56" s="77" t="s">
        <v>815</v>
      </c>
      <c r="F56" s="20" t="s">
        <v>381</v>
      </c>
      <c r="G56" s="63" t="s">
        <v>816</v>
      </c>
      <c r="H56" s="35" t="str">
        <f t="shared" si="1"/>
        <v>Mã tra cứu</v>
      </c>
      <c r="I56" s="17"/>
      <c r="J56" s="17"/>
      <c r="K56" s="17"/>
      <c r="L56" s="17"/>
      <c r="M56" s="37"/>
      <c r="N56" s="38" t="s">
        <v>407</v>
      </c>
      <c r="O56" s="39" t="s">
        <v>509</v>
      </c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>
        <v>1</v>
      </c>
      <c r="AD56" s="16" t="s">
        <v>817</v>
      </c>
      <c r="AE56" s="16" t="s">
        <v>818</v>
      </c>
      <c r="AF56" s="16" t="s">
        <v>819</v>
      </c>
      <c r="AG56" s="16" t="s">
        <v>820</v>
      </c>
      <c r="AH56" s="1"/>
      <c r="AI56" s="1"/>
      <c r="AJ56" t="str">
        <f>IFERROR(IF(INDEX('WBS2'!$I$2:$I$25,MATCH($C56,'WBS2'!$F$2:$F$25,0))="","",INDEX('WBS2'!$I$2:$I$25,MATCH($C56,'WBS2'!$F$2:$F$25,0))),"")</f>
        <v/>
      </c>
      <c r="AK56" t="str">
        <f>IFERROR(IF(INDEX('WBS2'!$I$27:$I$162,MATCH($C56,'WBS2'!$F$27:$F$162,0))="","",INDEX('WBS2'!$I$27:$I$162,MATCH($C56,'WBS2'!$F$27:$F$162,0))),"")</f>
        <v>Sẵn sàng</v>
      </c>
      <c r="AL56" s="92">
        <f>IFERROR(IF(OR($AK56="Chưa hoàn thành",$AK56="Sẵn sàng"),INDEX('WBS2'!$H$27:$H$162,MATCH($C56,'WBS2'!$F$27:$F$162,0)),""),"")</f>
        <v>46356</v>
      </c>
      <c r="AM56" t="str">
        <f>IFERROR(IF(INDEX('WBS2'!$J$27:$J$162,MATCH($C56,'WBS2'!$F$27:$F$162,0))="","",INDEX('WBS2'!$J$27:$J$162,MATCH($C56,'WBS2'!$F$27:$F$162,0))),"")</f>
        <v>evat – hoadonsovn.evat.vn, không captcha</v>
      </c>
      <c r="AN56" t="str">
        <f>IFERROR(IF(INDEX('WBS2'!$I$163:$I$298,MATCH($C56,'WBS2'!$F$163:$F$298,0))="","",INDEX('WBS2'!$I$163:$I$298,MATCH($C56,'WBS2'!$F$163:$F$298,0))),"")</f>
        <v>Sẵn sàng</v>
      </c>
      <c r="AO56" s="92">
        <f>IFERROR(IF(OR($AN56="Chưa hoàn thành",$AN56="Sẵn sàng"),INDEX('WBS2'!$H$163:$H$298,MATCH($C56,'WBS2'!$F$163:$F$298,0)),""),"")</f>
        <v>46356</v>
      </c>
      <c r="AP56" t="str">
        <f>IFERROR(IF(INDEX('WBS2'!$J$163:$J$298,MATCH($C56,'WBS2'!$F$163:$F$298,0))="","",INDEX('WBS2'!$J$163:$J$298,MATCH($C56,'WBS2'!$F$163:$F$298,0))),"")</f>
        <v/>
      </c>
    </row>
    <row r="57" spans="1:42" ht="14.25" hidden="1" customHeight="1" x14ac:dyDescent="0.35">
      <c r="A57" s="13">
        <v>56</v>
      </c>
      <c r="B57" s="13" t="s">
        <v>180</v>
      </c>
      <c r="C57" s="14" t="s">
        <v>181</v>
      </c>
      <c r="D57" s="13" t="s">
        <v>821</v>
      </c>
      <c r="E57" s="18" t="s">
        <v>822</v>
      </c>
      <c r="F57" s="20" t="s">
        <v>381</v>
      </c>
      <c r="G57" s="23" t="s">
        <v>823</v>
      </c>
      <c r="H57" s="35" t="str">
        <f t="shared" si="1"/>
        <v>Mã tra cứu</v>
      </c>
      <c r="I57" s="17"/>
      <c r="J57" s="17"/>
      <c r="K57" s="17"/>
      <c r="L57" s="17"/>
      <c r="M57" s="37"/>
      <c r="N57" s="38" t="s">
        <v>407</v>
      </c>
      <c r="O57" s="39" t="s">
        <v>509</v>
      </c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>
        <v>1</v>
      </c>
      <c r="AD57" s="16" t="s">
        <v>510</v>
      </c>
      <c r="AE57" s="16" t="s">
        <v>824</v>
      </c>
      <c r="AF57" s="16" t="s">
        <v>825</v>
      </c>
      <c r="AG57" s="16" t="s">
        <v>823</v>
      </c>
      <c r="AH57" s="1"/>
      <c r="AI57" s="1"/>
      <c r="AJ57" t="str">
        <f>IFERROR(IF(INDEX('WBS2'!$I$2:$I$25,MATCH($C57,'WBS2'!$F$2:$F$25,0))="","",INDEX('WBS2'!$I$2:$I$25,MATCH($C57,'WBS2'!$F$2:$F$25,0))),"")</f>
        <v/>
      </c>
      <c r="AK57" t="str">
        <f>IFERROR(IF(INDEX('WBS2'!$I$27:$I$162,MATCH($C57,'WBS2'!$F$27:$F$162,0))="","",INDEX('WBS2'!$I$27:$I$162,MATCH($C57,'WBS2'!$F$27:$F$162,0))),"")</f>
        <v>Chưa hoàn thành</v>
      </c>
      <c r="AL57" s="92">
        <f>IFERROR(IF(OR($AK57="Chưa hoàn thành",$AK57="Sẵn sàng"),INDEX('WBS2'!$H$27:$H$162,MATCH($C57,'WBS2'!$F$27:$F$162,0)),""),"")</f>
        <v>46477</v>
      </c>
      <c r="AM57" t="str">
        <f>IFERROR(IF(INDEX('WBS2'!$J$27:$J$162,MATCH($C57,'WBS2'!$F$27:$F$162,0))="","",INDEX('WBS2'!$J$27:$J$162,MATCH($C57,'WBS2'!$F$27:$F$162,0))),"")</f>
        <v>Không làm được qua link tra cứu – cổng không có tra cứu HĐ. voice.hoadondientu.net.vn: chỉ ô tìm kiếm tin tức</v>
      </c>
      <c r="AN57" t="str">
        <f>IFERROR(IF(INDEX('WBS2'!$I$163:$I$298,MATCH($C57,'WBS2'!$F$163:$F$298,0))="","",INDEX('WBS2'!$I$163:$I$298,MATCH($C57,'WBS2'!$F$163:$F$298,0))),"")</f>
        <v>Chưa hoàn thành</v>
      </c>
      <c r="AO57" s="92">
        <f>IFERROR(IF(OR($AN57="Chưa hoàn thành",$AN57="Sẵn sàng"),INDEX('WBS2'!$H$163:$H$298,MATCH($C57,'WBS2'!$F$163:$F$298,0)),""),"")</f>
        <v>46477</v>
      </c>
      <c r="AP57" t="str">
        <f>IFERROR(IF(INDEX('WBS2'!$J$163:$J$298,MATCH($C57,'WBS2'!$F$163:$F$298,0))="","",INDEX('WBS2'!$J$163:$J$298,MATCH($C57,'WBS2'!$F$163:$F$298,0))),"")</f>
        <v>Chưa có mail/PDF nào của NCC này (kiểm DB 27/10)</v>
      </c>
    </row>
    <row r="58" spans="1:42" ht="14.25" hidden="1" customHeight="1" x14ac:dyDescent="0.35">
      <c r="A58" s="13">
        <v>57</v>
      </c>
      <c r="B58" s="13" t="s">
        <v>183</v>
      </c>
      <c r="C58" s="14" t="s">
        <v>184</v>
      </c>
      <c r="D58" s="13" t="s">
        <v>826</v>
      </c>
      <c r="E58" s="80" t="s">
        <v>827</v>
      </c>
      <c r="F58" s="20" t="s">
        <v>385</v>
      </c>
      <c r="G58" s="66" t="s">
        <v>828</v>
      </c>
      <c r="H58" s="35" t="str">
        <f t="shared" si="1"/>
        <v>Mã tra cứu</v>
      </c>
      <c r="I58" s="17"/>
      <c r="J58" s="17"/>
      <c r="K58" s="17"/>
      <c r="L58" s="17"/>
      <c r="M58" s="37"/>
      <c r="N58" s="38" t="s">
        <v>407</v>
      </c>
      <c r="O58" s="39" t="s">
        <v>509</v>
      </c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>
        <v>1</v>
      </c>
      <c r="AD58" s="16" t="s">
        <v>817</v>
      </c>
      <c r="AE58" s="16" t="s">
        <v>818</v>
      </c>
      <c r="AF58" s="16" t="s">
        <v>829</v>
      </c>
      <c r="AG58" s="16" t="s">
        <v>828</v>
      </c>
      <c r="AH58" s="1"/>
      <c r="AI58" s="1"/>
      <c r="AJ58" t="str">
        <f>IFERROR(IF(INDEX('WBS2'!$I$2:$I$25,MATCH($C58,'WBS2'!$F$2:$F$25,0))="","",INDEX('WBS2'!$I$2:$I$25,MATCH($C58,'WBS2'!$F$2:$F$25,0))),"")</f>
        <v/>
      </c>
      <c r="AK58" t="str">
        <f>IFERROR(IF(INDEX('WBS2'!$I$27:$I$162,MATCH($C58,'WBS2'!$F$27:$F$162,0))="","",INDEX('WBS2'!$I$27:$I$162,MATCH($C58,'WBS2'!$F$27:$F$162,0))),"")</f>
        <v>Sẵn sàng</v>
      </c>
      <c r="AL58" s="92">
        <f>IFERROR(IF(OR($AK58="Chưa hoàn thành",$AK58="Sẵn sàng"),INDEX('WBS2'!$H$27:$H$162,MATCH($C58,'WBS2'!$F$27:$F$162,0)),""),"")</f>
        <v>46356</v>
      </c>
      <c r="AM58" t="str">
        <f>IFERROR(IF(INDEX('WBS2'!$J$27:$J$162,MATCH($C58,'WBS2'!$F$27:$F$162,0))="","",INDEX('WBS2'!$J$27:$J$162,MATCH($C58,'WBS2'!$F$27:$F$162,0))),"")</f>
        <v>evat – tvl.evat.vn, không captcha (không cần đăng nhập)</v>
      </c>
      <c r="AN58" t="str">
        <f>IFERROR(IF(INDEX('WBS2'!$I$163:$I$298,MATCH($C58,'WBS2'!$F$163:$F$298,0))="","",INDEX('WBS2'!$I$163:$I$298,MATCH($C58,'WBS2'!$F$163:$F$298,0))),"")</f>
        <v>Sẵn sàng</v>
      </c>
      <c r="AO58" s="92">
        <f>IFERROR(IF(OR($AN58="Chưa hoàn thành",$AN58="Sẵn sàng"),INDEX('WBS2'!$H$163:$H$298,MATCH($C58,'WBS2'!$F$163:$F$298,0)),""),"")</f>
        <v>46356</v>
      </c>
      <c r="AP58" t="str">
        <f>IFERROR(IF(INDEX('WBS2'!$J$163:$J$298,MATCH($C58,'WBS2'!$F$163:$F$298,0))="","",INDEX('WBS2'!$J$163:$J$298,MATCH($C58,'WBS2'!$F$163:$F$298,0))),"")</f>
        <v/>
      </c>
    </row>
    <row r="59" spans="1:42" ht="14.25" hidden="1" customHeight="1" x14ac:dyDescent="0.35">
      <c r="A59" s="13">
        <v>58</v>
      </c>
      <c r="B59" s="13" t="s">
        <v>186</v>
      </c>
      <c r="C59" s="14" t="s">
        <v>187</v>
      </c>
      <c r="D59" s="13" t="s">
        <v>830</v>
      </c>
      <c r="E59" s="18" t="s">
        <v>831</v>
      </c>
      <c r="F59" s="20" t="s">
        <v>390</v>
      </c>
      <c r="G59" s="20"/>
      <c r="H59" s="35" t="str">
        <f t="shared" si="1"/>
        <v/>
      </c>
      <c r="I59" s="17"/>
      <c r="J59" s="17"/>
      <c r="K59" s="17"/>
      <c r="L59" s="17"/>
      <c r="M59" s="37"/>
      <c r="N59" s="38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1"/>
      <c r="AI59" s="1"/>
      <c r="AJ59" t="str">
        <f>IFERROR(IF(INDEX('WBS2'!$I$2:$I$25,MATCH($C59,'WBS2'!$F$2:$F$25,0))="","",INDEX('WBS2'!$I$2:$I$25,MATCH($C59,'WBS2'!$F$2:$F$25,0))),"")</f>
        <v/>
      </c>
      <c r="AK59" t="str">
        <f>IFERROR(IF(INDEX('WBS2'!$I$27:$I$162,MATCH($C59,'WBS2'!$F$27:$F$162,0))="","",INDEX('WBS2'!$I$27:$I$162,MATCH($C59,'WBS2'!$F$27:$F$162,0))),"")</f>
        <v>Chưa hoàn thành</v>
      </c>
      <c r="AL59" s="92">
        <f>IFERROR(IF(OR($AK59="Chưa hoàn thành",$AK59="Sẵn sàng"),INDEX('WBS2'!$H$27:$H$162,MATCH($C59,'WBS2'!$F$27:$F$162,0)),""),"")</f>
        <v>46477</v>
      </c>
      <c r="AM59" t="str">
        <f>IFERROR(IF(INDEX('WBS2'!$J$27:$J$162,MATCH($C59,'WBS2'!$F$27:$F$162,0))="","",INDEX('WBS2'!$J$27:$J$162,MATCH($C59,'WBS2'!$F$27:$F$162,0))),"")</f>
        <v>Chưa có thông tin</v>
      </c>
      <c r="AN59" t="str">
        <f>IFERROR(IF(INDEX('WBS2'!$I$163:$I$298,MATCH($C59,'WBS2'!$F$163:$F$298,0))="","",INDEX('WBS2'!$I$163:$I$298,MATCH($C59,'WBS2'!$F$163:$F$298,0))),"")</f>
        <v>Chưa hoàn thành</v>
      </c>
      <c r="AO59" s="92">
        <f>IFERROR(IF(OR($AN59="Chưa hoàn thành",$AN59="Sẵn sàng"),INDEX('WBS2'!$H$163:$H$298,MATCH($C59,'WBS2'!$F$163:$F$298,0)),""),"")</f>
        <v>46477</v>
      </c>
      <c r="AP59" t="str">
        <f>IFERROR(IF(INDEX('WBS2'!$J$163:$J$298,MATCH($C59,'WBS2'!$F$163:$F$298,0))="","",INDEX('WBS2'!$J$163:$J$298,MATCH($C59,'WBS2'!$F$163:$F$298,0))),"")</f>
        <v>Chưa có thông tin</v>
      </c>
    </row>
    <row r="60" spans="1:42" ht="14.25" hidden="1" customHeight="1" x14ac:dyDescent="0.35">
      <c r="A60" s="13">
        <v>59</v>
      </c>
      <c r="B60" s="13" t="s">
        <v>189</v>
      </c>
      <c r="C60" s="14" t="s">
        <v>190</v>
      </c>
      <c r="D60" s="13" t="s">
        <v>832</v>
      </c>
      <c r="E60" s="18" t="s">
        <v>833</v>
      </c>
      <c r="F60" s="20" t="s">
        <v>391</v>
      </c>
      <c r="G60" s="63" t="s">
        <v>834</v>
      </c>
      <c r="H60" s="35" t="str">
        <f t="shared" si="1"/>
        <v>Mã tra cứu + MST người bán</v>
      </c>
      <c r="I60" s="17"/>
      <c r="J60" s="17"/>
      <c r="K60" s="17"/>
      <c r="L60" s="17"/>
      <c r="M60" s="37"/>
      <c r="N60" s="38" t="s">
        <v>407</v>
      </c>
      <c r="O60" s="39" t="s">
        <v>509</v>
      </c>
      <c r="P60" s="39" t="s">
        <v>509</v>
      </c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>
        <v>2</v>
      </c>
      <c r="AD60" s="16" t="s">
        <v>835</v>
      </c>
      <c r="AE60" s="16" t="s">
        <v>836</v>
      </c>
      <c r="AF60" s="16" t="s">
        <v>837</v>
      </c>
      <c r="AG60" s="16" t="s">
        <v>834</v>
      </c>
      <c r="AH60" s="1"/>
      <c r="AI60" s="1"/>
      <c r="AJ60" t="str">
        <f>IFERROR(IF(INDEX('WBS2'!$I$2:$I$25,MATCH($C60,'WBS2'!$F$2:$F$25,0))="","",INDEX('WBS2'!$I$2:$I$25,MATCH($C60,'WBS2'!$F$2:$F$25,0))),"")</f>
        <v/>
      </c>
      <c r="AK60" t="str">
        <f>IFERROR(IF(INDEX('WBS2'!$I$27:$I$162,MATCH($C60,'WBS2'!$F$27:$F$162,0))="","",INDEX('WBS2'!$I$27:$I$162,MATCH($C60,'WBS2'!$F$27:$F$162,0))),"")</f>
        <v>Chưa hoàn thành</v>
      </c>
      <c r="AL60" s="92">
        <f>IFERROR(IF(OR($AK60="Chưa hoàn thành",$AK60="Sẵn sàng"),INDEX('WBS2'!$H$27:$H$162,MATCH($C60,'WBS2'!$F$27:$F$162,0)),""),"")</f>
        <v>46477</v>
      </c>
      <c r="AM60" t="str">
        <f>IFERROR(IF(INDEX('WBS2'!$J$27:$J$162,MATCH($C60,'WBS2'!$F$27:$F$162,0))="","",INDEX('WBS2'!$J$27:$J$162,MATCH($C60,'WBS2'!$F$27:$F$162,0))),"")</f>
        <v>Chưa có thông tin</v>
      </c>
      <c r="AN60" t="str">
        <f>IFERROR(IF(INDEX('WBS2'!$I$163:$I$298,MATCH($C60,'WBS2'!$F$163:$F$298,0))="","",INDEX('WBS2'!$I$163:$I$298,MATCH($C60,'WBS2'!$F$163:$F$298,0))),"")</f>
        <v>Chưa hoàn thành</v>
      </c>
      <c r="AO60" s="92">
        <f>IFERROR(IF(OR($AN60="Chưa hoàn thành",$AN60="Sẵn sàng"),INDEX('WBS2'!$H$163:$H$298,MATCH($C60,'WBS2'!$F$163:$F$298,0)),""),"")</f>
        <v>46477</v>
      </c>
      <c r="AP60" t="str">
        <f>IFERROR(IF(INDEX('WBS2'!$J$163:$J$298,MATCH($C60,'WBS2'!$F$163:$F$298,0))="","",INDEX('WBS2'!$J$163:$J$298,MATCH($C60,'WBS2'!$F$163:$F$298,0))),"")</f>
        <v>Chưa có thông tin</v>
      </c>
    </row>
    <row r="61" spans="1:42" ht="14.25" hidden="1" customHeight="1" x14ac:dyDescent="0.35">
      <c r="A61" s="13">
        <v>60</v>
      </c>
      <c r="B61" s="13" t="s">
        <v>191</v>
      </c>
      <c r="C61" s="14" t="s">
        <v>192</v>
      </c>
      <c r="D61" s="13" t="s">
        <v>838</v>
      </c>
      <c r="E61" s="18" t="s">
        <v>839</v>
      </c>
      <c r="F61" s="20" t="s">
        <v>381</v>
      </c>
      <c r="G61" s="63" t="s">
        <v>734</v>
      </c>
      <c r="H61" s="35" t="str">
        <f t="shared" si="1"/>
        <v>Mã tra cứu + Captcha ảnh</v>
      </c>
      <c r="I61" s="17"/>
      <c r="J61" s="17"/>
      <c r="K61" s="17"/>
      <c r="L61" s="17"/>
      <c r="M61" s="37"/>
      <c r="N61" s="38" t="s">
        <v>407</v>
      </c>
      <c r="O61" s="39" t="s">
        <v>509</v>
      </c>
      <c r="P61" s="39"/>
      <c r="Q61" s="39"/>
      <c r="R61" s="39"/>
      <c r="S61" s="39"/>
      <c r="T61" s="39"/>
      <c r="U61" s="39"/>
      <c r="V61" s="39"/>
      <c r="W61" s="39"/>
      <c r="X61" s="39" t="s">
        <v>509</v>
      </c>
      <c r="Y61" s="39"/>
      <c r="Z61" s="39"/>
      <c r="AA61" s="39"/>
      <c r="AB61" s="39"/>
      <c r="AC61" s="39">
        <v>2</v>
      </c>
      <c r="AD61" s="16" t="s">
        <v>840</v>
      </c>
      <c r="AE61" s="16" t="s">
        <v>841</v>
      </c>
      <c r="AF61" s="16" t="s">
        <v>842</v>
      </c>
      <c r="AG61" s="16" t="s">
        <v>734</v>
      </c>
      <c r="AH61" s="1"/>
      <c r="AI61" s="1"/>
      <c r="AJ61" t="str">
        <f>IFERROR(IF(INDEX('WBS2'!$I$2:$I$25,MATCH($C61,'WBS2'!$F$2:$F$25,0))="","",INDEX('WBS2'!$I$2:$I$25,MATCH($C61,'WBS2'!$F$2:$F$25,0))),"")</f>
        <v/>
      </c>
      <c r="AK61" t="str">
        <f>IFERROR(IF(INDEX('WBS2'!$I$27:$I$162,MATCH($C61,'WBS2'!$F$27:$F$162,0))="","",INDEX('WBS2'!$I$27:$I$162,MATCH($C61,'WBS2'!$F$27:$F$162,0))),"")</f>
        <v>Chưa hoàn thành</v>
      </c>
      <c r="AL61" s="92">
        <f>IFERROR(IF(OR($AK61="Chưa hoàn thành",$AK61="Sẵn sàng"),INDEX('WBS2'!$H$27:$H$162,MATCH($C61,'WBS2'!$F$27:$F$162,0)),""),"")</f>
        <v>46446</v>
      </c>
      <c r="AM61" t="str">
        <f>IFERROR(IF(INDEX('WBS2'!$J$27:$J$162,MATCH($C61,'WBS2'!$F$27:$F$162,0))="","",INDEX('WBS2'!$J$27:$J$162,MATCH($C61,'WBS2'!$F$27:$F$162,0))),"")</f>
        <v>Chưa làm. Link trỏ về cổng FAST (invoice.fast.com.vn); có HĐ thật thì thử gán adapter fast (set-provider)</v>
      </c>
      <c r="AN61" t="str">
        <f>IFERROR(IF(INDEX('WBS2'!$I$163:$I$298,MATCH($C61,'WBS2'!$F$163:$F$298,0))="","",INDEX('WBS2'!$I$163:$I$298,MATCH($C61,'WBS2'!$F$163:$F$298,0))),"")</f>
        <v>Chưa hoàn thành</v>
      </c>
      <c r="AO61" s="92">
        <f>IFERROR(IF(OR($AN61="Chưa hoàn thành",$AN61="Sẵn sàng"),INDEX('WBS2'!$H$163:$H$298,MATCH($C61,'WBS2'!$F$163:$F$298,0)),""),"")</f>
        <v>46446</v>
      </c>
      <c r="AP61" t="str">
        <f>IFERROR(IF(INDEX('WBS2'!$J$163:$J$298,MATCH($C61,'WBS2'!$F$163:$F$298,0))="","",INDEX('WBS2'!$J$163:$J$298,MATCH($C61,'WBS2'!$F$163:$F$298,0))),"")</f>
        <v>Chưa có thông tin</v>
      </c>
    </row>
    <row r="62" spans="1:42" ht="14.25" hidden="1" customHeight="1" x14ac:dyDescent="0.35">
      <c r="A62" s="13">
        <v>61</v>
      </c>
      <c r="B62" s="13" t="s">
        <v>194</v>
      </c>
      <c r="C62" s="14" t="s">
        <v>195</v>
      </c>
      <c r="D62" s="13" t="s">
        <v>843</v>
      </c>
      <c r="E62" s="18" t="s">
        <v>844</v>
      </c>
      <c r="F62" s="20" t="s">
        <v>381</v>
      </c>
      <c r="G62" s="20" t="s">
        <v>845</v>
      </c>
      <c r="H62" s="35" t="str">
        <f t="shared" si="1"/>
        <v>Mã tra cứu + MST người bán</v>
      </c>
      <c r="I62" s="17"/>
      <c r="J62" s="17"/>
      <c r="K62" s="17"/>
      <c r="L62" s="17"/>
      <c r="M62" s="37"/>
      <c r="N62" s="38" t="s">
        <v>407</v>
      </c>
      <c r="O62" s="39" t="s">
        <v>509</v>
      </c>
      <c r="P62" s="39" t="s">
        <v>509</v>
      </c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>
        <v>2</v>
      </c>
      <c r="AD62" s="16" t="s">
        <v>846</v>
      </c>
      <c r="AE62" s="16"/>
      <c r="AF62" s="16" t="s">
        <v>847</v>
      </c>
      <c r="AG62" s="16" t="s">
        <v>845</v>
      </c>
      <c r="AH62" s="1"/>
      <c r="AI62" s="1"/>
      <c r="AJ62" t="str">
        <f>IFERROR(IF(INDEX('WBS2'!$I$2:$I$25,MATCH($C62,'WBS2'!$F$2:$F$25,0))="","",INDEX('WBS2'!$I$2:$I$25,MATCH($C62,'WBS2'!$F$2:$F$25,0))),"")</f>
        <v/>
      </c>
      <c r="AK62" t="str">
        <f>IFERROR(IF(INDEX('WBS2'!$I$27:$I$162,MATCH($C62,'WBS2'!$F$27:$F$162,0))="","",INDEX('WBS2'!$I$27:$I$162,MATCH($C62,'WBS2'!$F$27:$F$162,0))),"")</f>
        <v>Chưa hoàn thành</v>
      </c>
      <c r="AL62" s="92">
        <f>IFERROR(IF(OR($AK62="Chưa hoàn thành",$AK62="Sẵn sàng"),INDEX('WBS2'!$H$27:$H$162,MATCH($C62,'WBS2'!$F$27:$F$162,0)),""),"")</f>
        <v>46477</v>
      </c>
      <c r="AM62" t="str">
        <f>IFERROR(IF(INDEX('WBS2'!$J$27:$J$162,MATCH($C62,'WBS2'!$F$27:$F$162,0))="","",INDEX('WBS2'!$J$27:$J$162,MATCH($C62,'WBS2'!$F$27:$F$162,0))),"")</f>
        <v>Không làm được qua link tra cứu – reCAPTCHA v3 (khảo sát 14/10), lấy qua mail. tracuu.e-hoadon.cloud</v>
      </c>
      <c r="AN62" t="str">
        <f>IFERROR(IF(INDEX('WBS2'!$I$163:$I$298,MATCH($C62,'WBS2'!$F$163:$F$298,0))="","",INDEX('WBS2'!$I$163:$I$298,MATCH($C62,'WBS2'!$F$163:$F$298,0))),"")</f>
        <v>Chưa hoàn thành</v>
      </c>
      <c r="AO62" s="92">
        <f>IFERROR(IF(OR($AN62="Chưa hoàn thành",$AN62="Sẵn sàng"),INDEX('WBS2'!$H$163:$H$298,MATCH($C62,'WBS2'!$F$163:$F$298,0)),""),"")</f>
        <v>46477</v>
      </c>
      <c r="AP62" t="str">
        <f>IFERROR(IF(INDEX('WBS2'!$J$163:$J$298,MATCH($C62,'WBS2'!$F$163:$F$298,0))="","",INDEX('WBS2'!$J$163:$J$298,MATCH($C62,'WBS2'!$F$163:$F$298,0))),"")</f>
        <v>Chưa có thông tin</v>
      </c>
    </row>
    <row r="63" spans="1:42" ht="14.25" hidden="1" customHeight="1" x14ac:dyDescent="0.35">
      <c r="A63" s="13">
        <v>62</v>
      </c>
      <c r="B63" s="13" t="s">
        <v>197</v>
      </c>
      <c r="C63" s="14" t="s">
        <v>198</v>
      </c>
      <c r="D63" s="13" t="s">
        <v>848</v>
      </c>
      <c r="E63" s="18" t="s">
        <v>849</v>
      </c>
      <c r="F63" s="20" t="s">
        <v>386</v>
      </c>
      <c r="G63" s="66" t="s">
        <v>850</v>
      </c>
      <c r="H63" s="35" t="str">
        <f t="shared" si="1"/>
        <v>Mã tra cứu</v>
      </c>
      <c r="I63" s="17"/>
      <c r="J63" s="17"/>
      <c r="K63" s="17"/>
      <c r="L63" s="17"/>
      <c r="M63" s="37"/>
      <c r="N63" s="38" t="s">
        <v>407</v>
      </c>
      <c r="O63" s="39" t="s">
        <v>509</v>
      </c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>
        <v>1</v>
      </c>
      <c r="AD63" s="16" t="s">
        <v>817</v>
      </c>
      <c r="AE63" s="16" t="s">
        <v>818</v>
      </c>
      <c r="AF63" s="16" t="s">
        <v>851</v>
      </c>
      <c r="AG63" s="16" t="s">
        <v>850</v>
      </c>
      <c r="AH63" s="1"/>
      <c r="AI63" s="1"/>
      <c r="AJ63" t="str">
        <f>IFERROR(IF(INDEX('WBS2'!$I$2:$I$25,MATCH($C63,'WBS2'!$F$2:$F$25,0))="","",INDEX('WBS2'!$I$2:$I$25,MATCH($C63,'WBS2'!$F$2:$F$25,0))),"")</f>
        <v/>
      </c>
      <c r="AK63" t="str">
        <f>IFERROR(IF(INDEX('WBS2'!$I$27:$I$162,MATCH($C63,'WBS2'!$F$27:$F$162,0))="","",INDEX('WBS2'!$I$27:$I$162,MATCH($C63,'WBS2'!$F$27:$F$162,0))),"")</f>
        <v>Sẵn sàng</v>
      </c>
      <c r="AL63" s="92">
        <f>IFERROR(IF(OR($AK63="Chưa hoàn thành",$AK63="Sẵn sàng"),INDEX('WBS2'!$H$27:$H$162,MATCH($C63,'WBS2'!$F$27:$F$162,0)),""),"")</f>
        <v>46356</v>
      </c>
      <c r="AM63" t="str">
        <f>IFERROR(IF(INDEX('WBS2'!$J$27:$J$162,MATCH($C63,'WBS2'!$F$27:$F$162,0))="","",INDEX('WBS2'!$J$27:$J$162,MATCH($C63,'WBS2'!$F$27:$F$162,0))),"")</f>
        <v>evat – vlc.evat.vn, không captcha</v>
      </c>
      <c r="AN63" t="str">
        <f>IFERROR(IF(INDEX('WBS2'!$I$163:$I$298,MATCH($C63,'WBS2'!$F$163:$F$298,0))="","",INDEX('WBS2'!$I$163:$I$298,MATCH($C63,'WBS2'!$F$163:$F$298,0))),"")</f>
        <v>Sẵn sàng</v>
      </c>
      <c r="AO63" s="92">
        <f>IFERROR(IF(OR($AN63="Chưa hoàn thành",$AN63="Sẵn sàng"),INDEX('WBS2'!$H$163:$H$298,MATCH($C63,'WBS2'!$F$163:$F$298,0)),""),"")</f>
        <v>46356</v>
      </c>
      <c r="AP63" t="str">
        <f>IFERROR(IF(INDEX('WBS2'!$J$163:$J$298,MATCH($C63,'WBS2'!$F$163:$F$298,0))="","",INDEX('WBS2'!$J$163:$J$298,MATCH($C63,'WBS2'!$F$163:$F$298,0))),"")</f>
        <v/>
      </c>
    </row>
    <row r="64" spans="1:42" ht="14.25" hidden="1" customHeight="1" x14ac:dyDescent="0.35">
      <c r="A64" s="13">
        <v>63</v>
      </c>
      <c r="B64" s="13" t="s">
        <v>200</v>
      </c>
      <c r="C64" s="14" t="s">
        <v>201</v>
      </c>
      <c r="D64" s="13" t="s">
        <v>852</v>
      </c>
      <c r="E64" s="18" t="s">
        <v>853</v>
      </c>
      <c r="F64" s="20" t="s">
        <v>577</v>
      </c>
      <c r="G64" s="20"/>
      <c r="H64" s="35" t="str">
        <f t="shared" si="1"/>
        <v/>
      </c>
      <c r="I64" s="17"/>
      <c r="J64" s="17"/>
      <c r="K64" s="17"/>
      <c r="L64" s="17"/>
      <c r="M64" s="37"/>
      <c r="N64" s="38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1"/>
      <c r="AI64" s="1"/>
      <c r="AJ64" t="str">
        <f>IFERROR(IF(INDEX('WBS2'!$I$2:$I$25,MATCH($C64,'WBS2'!$F$2:$F$25,0))="","",INDEX('WBS2'!$I$2:$I$25,MATCH($C64,'WBS2'!$F$2:$F$25,0))),"")</f>
        <v/>
      </c>
      <c r="AK64" t="str">
        <f>IFERROR(IF(INDEX('WBS2'!$I$27:$I$162,MATCH($C64,'WBS2'!$F$27:$F$162,0))="","",INDEX('WBS2'!$I$27:$I$162,MATCH($C64,'WBS2'!$F$27:$F$162,0))),"")</f>
        <v>Chưa hoàn thành</v>
      </c>
      <c r="AL64" s="92">
        <f>IFERROR(IF(OR($AK64="Chưa hoàn thành",$AK64="Sẵn sàng"),INDEX('WBS2'!$H$27:$H$162,MATCH($C64,'WBS2'!$F$27:$F$162,0)),""),"")</f>
        <v>46477</v>
      </c>
      <c r="AM64" t="str">
        <f>IFERROR(IF(INDEX('WBS2'!$J$27:$J$162,MATCH($C64,'WBS2'!$F$27:$F$162,0))="","",INDEX('WBS2'!$J$27:$J$162,MATCH($C64,'WBS2'!$F$27:$F$162,0))),"")</f>
        <v>Chưa làm – danh sách chưa có link tra cứu, chưa có HĐ thật</v>
      </c>
      <c r="AN64" t="str">
        <f>IFERROR(IF(INDEX('WBS2'!$I$163:$I$298,MATCH($C64,'WBS2'!$F$163:$F$298,0))="","",INDEX('WBS2'!$I$163:$I$298,MATCH($C64,'WBS2'!$F$163:$F$298,0))),"")</f>
        <v>Chưa hoàn thành</v>
      </c>
      <c r="AO64" s="92">
        <f>IFERROR(IF(OR($AN64="Chưa hoàn thành",$AN64="Sẵn sàng"),INDEX('WBS2'!$H$163:$H$298,MATCH($C64,'WBS2'!$F$163:$F$298,0)),""),"")</f>
        <v>46477</v>
      </c>
      <c r="AP64" t="str">
        <f>IFERROR(IF(INDEX('WBS2'!$J$163:$J$298,MATCH($C64,'WBS2'!$F$163:$F$298,0))="","",INDEX('WBS2'!$J$163:$J$298,MATCH($C64,'WBS2'!$F$163:$F$298,0))),"")</f>
        <v>Chưa có thông tin</v>
      </c>
    </row>
    <row r="65" spans="1:42" ht="14.25" hidden="1" customHeight="1" x14ac:dyDescent="0.35">
      <c r="A65" s="13">
        <v>64</v>
      </c>
      <c r="B65" s="13" t="s">
        <v>202</v>
      </c>
      <c r="C65" s="14" t="s">
        <v>203</v>
      </c>
      <c r="D65" s="13" t="s">
        <v>854</v>
      </c>
      <c r="E65" s="18" t="s">
        <v>855</v>
      </c>
      <c r="F65" s="20" t="s">
        <v>381</v>
      </c>
      <c r="G65" s="66" t="s">
        <v>856</v>
      </c>
      <c r="H65" s="35" t="str">
        <f t="shared" si="1"/>
        <v>Mã tra cứu + MST người bán</v>
      </c>
      <c r="I65" s="17"/>
      <c r="J65" s="17"/>
      <c r="K65" s="17"/>
      <c r="L65" s="17"/>
      <c r="M65" s="37"/>
      <c r="N65" s="38" t="s">
        <v>407</v>
      </c>
      <c r="O65" s="39" t="s">
        <v>509</v>
      </c>
      <c r="P65" s="39" t="s">
        <v>509</v>
      </c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>
        <v>2</v>
      </c>
      <c r="AD65" s="16" t="s">
        <v>510</v>
      </c>
      <c r="AE65" s="16"/>
      <c r="AF65" s="16" t="s">
        <v>857</v>
      </c>
      <c r="AG65" s="16" t="s">
        <v>856</v>
      </c>
      <c r="AH65" s="1"/>
      <c r="AI65" s="1"/>
      <c r="AJ65" t="str">
        <f>IFERROR(IF(INDEX('WBS2'!$I$2:$I$25,MATCH($C65,'WBS2'!$F$2:$F$25,0))="","",INDEX('WBS2'!$I$2:$I$25,MATCH($C65,'WBS2'!$F$2:$F$25,0))),"")</f>
        <v/>
      </c>
      <c r="AK65" t="str">
        <f>IFERROR(IF(INDEX('WBS2'!$I$27:$I$162,MATCH($C65,'WBS2'!$F$27:$F$162,0))="","",INDEX('WBS2'!$I$27:$I$162,MATCH($C65,'WBS2'!$F$27:$F$162,0))),"")</f>
        <v>Sẵn sàng</v>
      </c>
      <c r="AL65" s="92">
        <f>IFERROR(IF(OR($AK65="Chưa hoàn thành",$AK65="Sẵn sàng"),INDEX('WBS2'!$H$27:$H$162,MATCH($C65,'WBS2'!$F$27:$F$162,0)),""),"")</f>
        <v>46356</v>
      </c>
      <c r="AM65" t="str">
        <f>IFERROR(IF(INDEX('WBS2'!$J$27:$J$162,MATCH($C65,'WBS2'!$F$27:$F$162,0))="","",INDEX('WBS2'!$J$27:$J$162,MATCH($C65,'WBS2'!$F$27:$F$162,0))),"")</f>
        <v>avse</v>
      </c>
      <c r="AN65" t="str">
        <f>IFERROR(IF(INDEX('WBS2'!$I$163:$I$298,MATCH($C65,'WBS2'!$F$163:$F$298,0))="","",INDEX('WBS2'!$I$163:$I$298,MATCH($C65,'WBS2'!$F$163:$F$298,0))),"")</f>
        <v>Sẵn sàng</v>
      </c>
      <c r="AO65" s="92">
        <f>IFERROR(IF(OR($AN65="Chưa hoàn thành",$AN65="Sẵn sàng"),INDEX('WBS2'!$H$163:$H$298,MATCH($C65,'WBS2'!$F$163:$F$298,0)),""),"")</f>
        <v>46356</v>
      </c>
      <c r="AP65" t="str">
        <f>IFERROR(IF(INDEX('WBS2'!$J$163:$J$298,MATCH($C65,'WBS2'!$F$163:$F$298,0))="","",INDEX('WBS2'!$J$163:$J$298,MATCH($C65,'WBS2'!$F$163:$F$298,0))),"")</f>
        <v/>
      </c>
    </row>
    <row r="66" spans="1:42" ht="14.25" hidden="1" customHeight="1" x14ac:dyDescent="0.35">
      <c r="A66" s="13">
        <v>65</v>
      </c>
      <c r="B66" s="13" t="s">
        <v>205</v>
      </c>
      <c r="C66" s="14" t="s">
        <v>206</v>
      </c>
      <c r="D66" s="13" t="s">
        <v>858</v>
      </c>
      <c r="E66" s="18" t="s">
        <v>859</v>
      </c>
      <c r="F66" s="20"/>
      <c r="G66" s="63" t="s">
        <v>860</v>
      </c>
      <c r="H66" s="35" t="str">
        <f t="shared" ref="H66:H97" si="2">IF(N66&lt;&gt;"OK","",IF(IF(O66="✓","Mã tra cứu|","")&amp;IF(P66="✓","MST người bán|","")&amp;IF(Q66="✓","MST người mua|","")&amp;IF(R66="✓","Mẫu số / Ký hiệu|","")&amp;IF(S66="✓","Số HĐ|","")&amp;IF(T66="✓","Ngày lập|","")&amp;IF(U66="✓","Tổng tiền|","")&amp;IF(V66="✓","Mã CQT|","")&amp;IF(W66="✓","Upload XML|","")&amp;IF(X66="✓","Captcha ảnh|","")&amp;IF(Y66="✓","Captcha dạng tích|","")&amp;IF(Z66="✓","Captcha khác (slider/hình)|","")&amp;IF(AA66="✓","Đăng nhập|","")&amp;IF(AB66="✓","Email/SĐT/OTP|","")="","(không có tham số)",SUBSTITUTE(LEFT(IF(O66="✓","Mã tra cứu|","")&amp;IF(P66="✓","MST người bán|","")&amp;IF(Q66="✓","MST người mua|","")&amp;IF(R66="✓","Mẫu số / Ký hiệu|","")&amp;IF(S66="✓","Số HĐ|","")&amp;IF(T66="✓","Ngày lập|","")&amp;IF(U66="✓","Tổng tiền|","")&amp;IF(V66="✓","Mã CQT|","")&amp;IF(W66="✓","Upload XML|","")&amp;IF(X66="✓","Captcha ảnh|","")&amp;IF(Y66="✓","Captcha dạng tích|","")&amp;IF(Z66="✓","Captcha khác (slider/hình)|","")&amp;IF(AA66="✓","Đăng nhập|","")&amp;IF(AB66="✓","Email/SĐT/OTP|",""),LEN(IF(O66="✓","Mã tra cứu|","")&amp;IF(P66="✓","MST người bán|","")&amp;IF(Q66="✓","MST người mua|","")&amp;IF(R66="✓","Mẫu số / Ký hiệu|","")&amp;IF(S66="✓","Số HĐ|","")&amp;IF(T66="✓","Ngày lập|","")&amp;IF(U66="✓","Tổng tiền|","")&amp;IF(V66="✓","Mã CQT|","")&amp;IF(W66="✓","Upload XML|","")&amp;IF(X66="✓","Captcha ảnh|","")&amp;IF(Y66="✓","Captcha dạng tích|","")&amp;IF(Z66="✓","Captcha khác (slider/hình)|","")&amp;IF(AA66="✓","Đăng nhập|","")&amp;IF(AB66="✓","Email/SĐT/OTP|",""))-1),"|"," + ")))</f>
        <v/>
      </c>
      <c r="I66" s="17"/>
      <c r="J66" s="17"/>
      <c r="K66" s="17"/>
      <c r="L66" s="17"/>
      <c r="M66" s="37"/>
      <c r="N66" s="38" t="s">
        <v>579</v>
      </c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16"/>
      <c r="AE66" s="16"/>
      <c r="AF66" s="16" t="s">
        <v>861</v>
      </c>
      <c r="AG66" s="16" t="s">
        <v>860</v>
      </c>
      <c r="AH66" s="1"/>
      <c r="AI66" s="1"/>
      <c r="AJ66" t="str">
        <f>IFERROR(IF(INDEX('WBS2'!$I$2:$I$25,MATCH($C66,'WBS2'!$F$2:$F$25,0))="","",INDEX('WBS2'!$I$2:$I$25,MATCH($C66,'WBS2'!$F$2:$F$25,0))),"")</f>
        <v/>
      </c>
      <c r="AK66" t="str">
        <f>IFERROR(IF(INDEX('WBS2'!$I$27:$I$162,MATCH($C66,'WBS2'!$F$27:$F$162,0))="","",INDEX('WBS2'!$I$27:$I$162,MATCH($C66,'WBS2'!$F$27:$F$162,0))),"")</f>
        <v>Chưa hoàn thành</v>
      </c>
      <c r="AL66" s="92">
        <f>IFERROR(IF(OR($AK66="Chưa hoàn thành",$AK66="Sẵn sàng"),INDEX('WBS2'!$H$27:$H$162,MATCH($C66,'WBS2'!$F$27:$F$162,0)),""),"")</f>
        <v>46477</v>
      </c>
      <c r="AM66" t="str">
        <f>IFERROR(IF(INDEX('WBS2'!$J$27:$J$162,MATCH($C66,'WBS2'!$F$27:$F$162,0))="","",INDEX('WBS2'!$J$27:$J$162,MATCH($C66,'WBS2'!$F$27:$F$162,0))),"")</f>
        <v>Không làm được qua link tra cứu – cổng lỗi. tracuuhoadon.benthanhvoice.vn</v>
      </c>
      <c r="AN66" t="str">
        <f>IFERROR(IF(INDEX('WBS2'!$I$163:$I$298,MATCH($C66,'WBS2'!$F$163:$F$298,0))="","",INDEX('WBS2'!$I$163:$I$298,MATCH($C66,'WBS2'!$F$163:$F$298,0))),"")</f>
        <v>Chưa hoàn thành</v>
      </c>
      <c r="AO66" s="92">
        <f>IFERROR(IF(OR($AN66="Chưa hoàn thành",$AN66="Sẵn sàng"),INDEX('WBS2'!$H$163:$H$298,MATCH($C66,'WBS2'!$F$163:$F$298,0)),""),"")</f>
        <v>46477</v>
      </c>
      <c r="AP66" t="str">
        <f>IFERROR(IF(INDEX('WBS2'!$J$163:$J$298,MATCH($C66,'WBS2'!$F$163:$F$298,0))="","",INDEX('WBS2'!$J$163:$J$298,MATCH($C66,'WBS2'!$F$163:$F$298,0))),"")</f>
        <v>Chưa có thông tin</v>
      </c>
    </row>
    <row r="67" spans="1:42" ht="14.25" hidden="1" customHeight="1" x14ac:dyDescent="0.35">
      <c r="A67" s="13">
        <v>66</v>
      </c>
      <c r="B67" s="13" t="s">
        <v>208</v>
      </c>
      <c r="C67" s="14" t="s">
        <v>209</v>
      </c>
      <c r="D67" s="13" t="s">
        <v>862</v>
      </c>
      <c r="E67" s="18" t="s">
        <v>863</v>
      </c>
      <c r="F67" s="20" t="s">
        <v>381</v>
      </c>
      <c r="G67" s="66" t="s">
        <v>864</v>
      </c>
      <c r="H67" s="35" t="str">
        <f t="shared" si="2"/>
        <v>Mã tra cứu</v>
      </c>
      <c r="I67" s="17"/>
      <c r="J67" s="17"/>
      <c r="K67" s="17"/>
      <c r="L67" s="17"/>
      <c r="M67" s="37"/>
      <c r="N67" s="38" t="s">
        <v>407</v>
      </c>
      <c r="O67" s="39" t="s">
        <v>509</v>
      </c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>
        <v>1</v>
      </c>
      <c r="AD67" s="16" t="s">
        <v>510</v>
      </c>
      <c r="AE67" s="16"/>
      <c r="AF67" s="16" t="s">
        <v>865</v>
      </c>
      <c r="AG67" s="16" t="s">
        <v>864</v>
      </c>
      <c r="AH67" s="1"/>
      <c r="AI67" s="1"/>
      <c r="AJ67" t="str">
        <f>IFERROR(IF(INDEX('WBS2'!$I$2:$I$25,MATCH($C67,'WBS2'!$F$2:$F$25,0))="","",INDEX('WBS2'!$I$2:$I$25,MATCH($C67,'WBS2'!$F$2:$F$25,0))),"")</f>
        <v/>
      </c>
      <c r="AK67" t="str">
        <f>IFERROR(IF(INDEX('WBS2'!$I$27:$I$162,MATCH($C67,'WBS2'!$F$27:$F$162,0))="","",INDEX('WBS2'!$I$27:$I$162,MATCH($C67,'WBS2'!$F$27:$F$162,0))),"")</f>
        <v>Sẵn sàng</v>
      </c>
      <c r="AL67" s="92">
        <f>IFERROR(IF(OR($AK67="Chưa hoàn thành",$AK67="Sẵn sàng"),INDEX('WBS2'!$H$27:$H$162,MATCH($C67,'WBS2'!$F$27:$F$162,0)),""),"")</f>
        <v>46387</v>
      </c>
      <c r="AM67" t="str">
        <f>IFERROR(IF(INDEX('WBS2'!$J$27:$J$162,MATCH($C67,'WBS2'!$F$27:$F$162,0))="","",INDEX('WBS2'!$J$27:$J$162,MATCH($C67,'WBS2'!$F$27:$F$162,0))),"")</f>
        <v>koffi – mã trong mail</v>
      </c>
      <c r="AN67" t="str">
        <f>IFERROR(IF(INDEX('WBS2'!$I$163:$I$298,MATCH($C67,'WBS2'!$F$163:$F$298,0))="","",INDEX('WBS2'!$I$163:$I$298,MATCH($C67,'WBS2'!$F$163:$F$298,0))),"")</f>
        <v>Sẵn sàng</v>
      </c>
      <c r="AO67" s="92">
        <f>IFERROR(IF(OR($AN67="Chưa hoàn thành",$AN67="Sẵn sàng"),INDEX('WBS2'!$H$163:$H$298,MATCH($C67,'WBS2'!$F$163:$F$298,0)),""),"")</f>
        <v>46387</v>
      </c>
      <c r="AP67" t="str">
        <f>IFERROR(IF(INDEX('WBS2'!$J$163:$J$298,MATCH($C67,'WBS2'!$F$163:$F$298,0))="","",INDEX('WBS2'!$J$163:$J$298,MATCH($C67,'WBS2'!$F$163:$F$298,0))),"")</f>
        <v/>
      </c>
    </row>
    <row r="68" spans="1:42" ht="14.25" hidden="1" customHeight="1" x14ac:dyDescent="0.35">
      <c r="A68" s="13">
        <v>67</v>
      </c>
      <c r="B68" s="13" t="s">
        <v>211</v>
      </c>
      <c r="C68" s="14" t="s">
        <v>212</v>
      </c>
      <c r="D68" s="13" t="s">
        <v>866</v>
      </c>
      <c r="E68" s="18" t="s">
        <v>867</v>
      </c>
      <c r="F68" s="20" t="s">
        <v>381</v>
      </c>
      <c r="G68" s="23" t="s">
        <v>868</v>
      </c>
      <c r="H68" s="35" t="str">
        <f t="shared" si="2"/>
        <v>Mã tra cứu + Ngày lập</v>
      </c>
      <c r="I68" s="17"/>
      <c r="J68" s="17"/>
      <c r="K68" s="17"/>
      <c r="L68" s="17"/>
      <c r="M68" s="37"/>
      <c r="N68" s="38" t="s">
        <v>407</v>
      </c>
      <c r="O68" s="39" t="s">
        <v>509</v>
      </c>
      <c r="P68" s="39"/>
      <c r="Q68" s="39"/>
      <c r="R68" s="39"/>
      <c r="S68" s="39"/>
      <c r="T68" s="39" t="s">
        <v>509</v>
      </c>
      <c r="U68" s="39"/>
      <c r="V68" s="39"/>
      <c r="W68" s="39"/>
      <c r="X68" s="39"/>
      <c r="Y68" s="39"/>
      <c r="Z68" s="39"/>
      <c r="AA68" s="39"/>
      <c r="AB68" s="39"/>
      <c r="AC68" s="39">
        <v>2</v>
      </c>
      <c r="AD68" s="16" t="s">
        <v>510</v>
      </c>
      <c r="AE68" s="16"/>
      <c r="AF68" s="16" t="s">
        <v>869</v>
      </c>
      <c r="AG68" s="16" t="s">
        <v>868</v>
      </c>
      <c r="AH68" s="1"/>
      <c r="AI68" s="1"/>
      <c r="AJ68" t="str">
        <f>IFERROR(IF(INDEX('WBS2'!$I$2:$I$25,MATCH($C68,'WBS2'!$F$2:$F$25,0))="","",INDEX('WBS2'!$I$2:$I$25,MATCH($C68,'WBS2'!$F$2:$F$25,0))),"")</f>
        <v/>
      </c>
      <c r="AK68" t="str">
        <f>IFERROR(IF(INDEX('WBS2'!$I$27:$I$162,MATCH($C68,'WBS2'!$F$27:$F$162,0))="","",INDEX('WBS2'!$I$27:$I$162,MATCH($C68,'WBS2'!$F$27:$F$162,0))),"")</f>
        <v>Sẵn sàng</v>
      </c>
      <c r="AL68" s="92">
        <f>IFERROR(IF(OR($AK68="Chưa hoàn thành",$AK68="Sẵn sàng"),INDEX('WBS2'!$H$27:$H$162,MATCH($C68,'WBS2'!$F$27:$F$162,0)),""),"")</f>
        <v>46387</v>
      </c>
      <c r="AM68" t="str">
        <f>IFERROR(IF(INDEX('WBS2'!$J$27:$J$162,MATCH($C68,'WBS2'!$F$27:$F$162,0))="","",INDEX('WBS2'!$J$27:$J$162,MATCH($C68,'WBS2'!$F$27:$F$162,0))),"")</f>
        <v>vietinfo – mã + ngày lập</v>
      </c>
      <c r="AN68" t="str">
        <f>IFERROR(IF(INDEX('WBS2'!$I$163:$I$298,MATCH($C68,'WBS2'!$F$163:$F$298,0))="","",INDEX('WBS2'!$I$163:$I$298,MATCH($C68,'WBS2'!$F$163:$F$298,0))),"")</f>
        <v>Sẵn sàng</v>
      </c>
      <c r="AO68" s="92">
        <f>IFERROR(IF(OR($AN68="Chưa hoàn thành",$AN68="Sẵn sàng"),INDEX('WBS2'!$H$163:$H$298,MATCH($C68,'WBS2'!$F$163:$F$298,0)),""),"")</f>
        <v>46387</v>
      </c>
      <c r="AP68" t="str">
        <f>IFERROR(IF(INDEX('WBS2'!$J$163:$J$298,MATCH($C68,'WBS2'!$F$163:$F$298,0))="","",INDEX('WBS2'!$J$163:$J$298,MATCH($C68,'WBS2'!$F$163:$F$298,0))),"")</f>
        <v/>
      </c>
    </row>
    <row r="69" spans="1:42" ht="14.25" customHeight="1" x14ac:dyDescent="0.35">
      <c r="A69" s="13">
        <v>68</v>
      </c>
      <c r="B69" s="13" t="s">
        <v>45</v>
      </c>
      <c r="C69" s="14" t="s">
        <v>46</v>
      </c>
      <c r="D69" s="13" t="s">
        <v>870</v>
      </c>
      <c r="E69" s="18" t="s">
        <v>871</v>
      </c>
      <c r="F69" s="20" t="s">
        <v>382</v>
      </c>
      <c r="G69" s="78" t="s">
        <v>872</v>
      </c>
      <c r="H69" s="35" t="str">
        <f t="shared" si="2"/>
        <v>Mã tra cứu + MST người bán + Captcha ảnh</v>
      </c>
      <c r="I69" s="20" t="s">
        <v>528</v>
      </c>
      <c r="J69" s="17"/>
      <c r="K69" s="67">
        <v>0</v>
      </c>
      <c r="L69" s="20" t="s">
        <v>873</v>
      </c>
      <c r="M69" s="37"/>
      <c r="N69" s="38" t="s">
        <v>407</v>
      </c>
      <c r="O69" s="39" t="s">
        <v>509</v>
      </c>
      <c r="P69" s="39" t="s">
        <v>509</v>
      </c>
      <c r="Q69" s="39"/>
      <c r="R69" s="39"/>
      <c r="S69" s="39"/>
      <c r="T69" s="39"/>
      <c r="U69" s="39"/>
      <c r="V69" s="39"/>
      <c r="W69" s="39"/>
      <c r="X69" s="39" t="s">
        <v>509</v>
      </c>
      <c r="Y69" s="39"/>
      <c r="Z69" s="39"/>
      <c r="AA69" s="39"/>
      <c r="AB69" s="39"/>
      <c r="AC69" s="39">
        <v>3</v>
      </c>
      <c r="AD69" s="16" t="s">
        <v>874</v>
      </c>
      <c r="AE69" s="16"/>
      <c r="AF69" s="16" t="s">
        <v>875</v>
      </c>
      <c r="AG69" s="16" t="s">
        <v>872</v>
      </c>
      <c r="AH69" s="1"/>
      <c r="AI69" s="1"/>
      <c r="AJ69" t="str">
        <f>IFERROR(IF(INDEX('WBS2'!$I$2:$I$25,MATCH($C69,'WBS2'!$F$2:$F$25,0))="","",INDEX('WBS2'!$I$2:$I$25,MATCH($C69,'WBS2'!$F$2:$F$25,0))),"")</f>
        <v>Đang training</v>
      </c>
      <c r="AK69" t="str">
        <f>IFERROR(IF(INDEX('WBS2'!$I$27:$I$162,MATCH($C69,'WBS2'!$F$27:$F$162,0))="","",INDEX('WBS2'!$I$27:$I$162,MATCH($C69,'WBS2'!$F$27:$F$162,0))),"")</f>
        <v>Chưa hoàn thành</v>
      </c>
      <c r="AL69" s="92">
        <f>IFERROR(IF(OR($AK69="Chưa hoàn thành",$AK69="Sẵn sàng"),INDEX('WBS2'!$H$27:$H$162,MATCH($C69,'WBS2'!$F$27:$F$162,0)),""),"")</f>
        <v>46446</v>
      </c>
      <c r="AM69" t="str">
        <f>IFERROR(IF(INDEX('WBS2'!$J$27:$J$162,MATCH($C69,'WBS2'!$F$27:$F$162,0))="","",INDEX('WBS2'!$J$27:$J$162,MATCH($C69,'WBS2'!$F$27:$F$162,0))),"")</f>
        <v>Chưa làm được – model captcha g_70x23 chưa dùng được. bitware.vn/tracuuhoadon</v>
      </c>
      <c r="AN69" t="str">
        <f>IFERROR(IF(INDEX('WBS2'!$I$163:$I$298,MATCH($C69,'WBS2'!$F$163:$F$298,0))="","",INDEX('WBS2'!$I$163:$I$298,MATCH($C69,'WBS2'!$F$163:$F$298,0))),"")</f>
        <v>Chưa hoàn thành</v>
      </c>
      <c r="AO69" s="92">
        <f>IFERROR(IF(OR($AN69="Chưa hoàn thành",$AN69="Sẵn sàng"),INDEX('WBS2'!$H$163:$H$298,MATCH($C69,'WBS2'!$F$163:$F$298,0)),""),"")</f>
        <v>46446</v>
      </c>
      <c r="AP69" t="str">
        <f>IFERROR(IF(INDEX('WBS2'!$J$163:$J$298,MATCH($C69,'WBS2'!$F$163:$F$298,0))="","",INDEX('WBS2'!$J$163:$J$298,MATCH($C69,'WBS2'!$F$163:$F$298,0))),"")</f>
        <v>Chưa có thông tin</v>
      </c>
    </row>
    <row r="70" spans="1:42" ht="14.25" hidden="1" customHeight="1" x14ac:dyDescent="0.35">
      <c r="A70" s="13">
        <v>69</v>
      </c>
      <c r="B70" s="13" t="s">
        <v>215</v>
      </c>
      <c r="C70" s="14" t="s">
        <v>216</v>
      </c>
      <c r="D70" s="13" t="s">
        <v>876</v>
      </c>
      <c r="E70" s="18" t="s">
        <v>877</v>
      </c>
      <c r="F70" s="20" t="s">
        <v>577</v>
      </c>
      <c r="G70" s="20"/>
      <c r="H70" s="35" t="str">
        <f t="shared" si="2"/>
        <v/>
      </c>
      <c r="I70" s="17"/>
      <c r="J70" s="17"/>
      <c r="K70" s="17"/>
      <c r="L70" s="17"/>
      <c r="M70" s="37"/>
      <c r="N70" s="38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1"/>
      <c r="AI70" s="1"/>
      <c r="AJ70" t="str">
        <f>IFERROR(IF(INDEX('WBS2'!$I$2:$I$25,MATCH($C70,'WBS2'!$F$2:$F$25,0))="","",INDEX('WBS2'!$I$2:$I$25,MATCH($C70,'WBS2'!$F$2:$F$25,0))),"")</f>
        <v/>
      </c>
      <c r="AK70" t="str">
        <f>IFERROR(IF(INDEX('WBS2'!$I$27:$I$162,MATCH($C70,'WBS2'!$F$27:$F$162,0))="","",INDEX('WBS2'!$I$27:$I$162,MATCH($C70,'WBS2'!$F$27:$F$162,0))),"")</f>
        <v>Hoàn thành</v>
      </c>
      <c r="AL70" s="92" t="str">
        <f>IFERROR(IF(OR($AK70="Chưa hoàn thành",$AK70="Sẵn sàng"),INDEX('WBS2'!$H$27:$H$162,MATCH($C70,'WBS2'!$F$27:$F$162,0)),""),"")</f>
        <v/>
      </c>
      <c r="AM70" t="str">
        <f>IFERROR(IF(INDEX('WBS2'!$J$27:$J$162,MATCH($C70,'WBS2'!$F$27:$F$162,0))="","",INDEX('WBS2'!$J$27:$J$162,MATCH($C70,'WBS2'!$F$27:$F$162,0))),"")</f>
        <v/>
      </c>
      <c r="AN70" t="str">
        <f>IFERROR(IF(INDEX('WBS2'!$I$163:$I$298,MATCH($C70,'WBS2'!$F$163:$F$298,0))="","",INDEX('WBS2'!$I$163:$I$298,MATCH($C70,'WBS2'!$F$163:$F$298,0))),"")</f>
        <v>Hoàn thành</v>
      </c>
      <c r="AO70" s="92" t="str">
        <f>IFERROR(IF(OR($AN70="Chưa hoàn thành",$AN70="Sẵn sàng"),INDEX('WBS2'!$H$163:$H$298,MATCH($C70,'WBS2'!$F$163:$F$298,0)),""),"")</f>
        <v/>
      </c>
      <c r="AP70" t="str">
        <f>IFERROR(IF(INDEX('WBS2'!$J$163:$J$298,MATCH($C70,'WBS2'!$F$163:$F$298,0))="","",INDEX('WBS2'!$J$163:$J$298,MATCH($C70,'WBS2'!$F$163:$F$298,0))),"")</f>
        <v/>
      </c>
    </row>
    <row r="71" spans="1:42" ht="14.25" hidden="1" customHeight="1" x14ac:dyDescent="0.35">
      <c r="A71" s="13">
        <v>70</v>
      </c>
      <c r="B71" s="13" t="s">
        <v>217</v>
      </c>
      <c r="C71" s="14" t="s">
        <v>218</v>
      </c>
      <c r="D71" s="13" t="s">
        <v>878</v>
      </c>
      <c r="E71" s="18" t="s">
        <v>879</v>
      </c>
      <c r="F71" s="20" t="s">
        <v>381</v>
      </c>
      <c r="G71" s="23" t="s">
        <v>880</v>
      </c>
      <c r="H71" s="35" t="str">
        <f t="shared" si="2"/>
        <v>Mã tra cứu</v>
      </c>
      <c r="I71" s="17"/>
      <c r="J71" s="17"/>
      <c r="K71" s="17"/>
      <c r="L71" s="17"/>
      <c r="M71" s="37"/>
      <c r="N71" s="38" t="s">
        <v>407</v>
      </c>
      <c r="O71" s="39" t="s">
        <v>509</v>
      </c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>
        <v>1</v>
      </c>
      <c r="AD71" s="16" t="s">
        <v>881</v>
      </c>
      <c r="AE71" s="16" t="s">
        <v>882</v>
      </c>
      <c r="AF71" s="16" t="s">
        <v>883</v>
      </c>
      <c r="AG71" s="16" t="s">
        <v>880</v>
      </c>
      <c r="AH71" s="1"/>
      <c r="AI71" s="1"/>
      <c r="AJ71" t="str">
        <f>IFERROR(IF(INDEX('WBS2'!$I$2:$I$25,MATCH($C71,'WBS2'!$F$2:$F$25,0))="","",INDEX('WBS2'!$I$2:$I$25,MATCH($C71,'WBS2'!$F$2:$F$25,0))),"")</f>
        <v/>
      </c>
      <c r="AK71" t="str">
        <f>IFERROR(IF(INDEX('WBS2'!$I$27:$I$162,MATCH($C71,'WBS2'!$F$27:$F$162,0))="","",INDEX('WBS2'!$I$27:$I$162,MATCH($C71,'WBS2'!$F$27:$F$162,0))),"")</f>
        <v>Sẵn sàng</v>
      </c>
      <c r="AL71" s="92">
        <f>IFERROR(IF(OR($AK71="Chưa hoàn thành",$AK71="Sẵn sàng"),INDEX('WBS2'!$H$27:$H$162,MATCH($C71,'WBS2'!$F$27:$F$162,0)),""),"")</f>
        <v>46387</v>
      </c>
      <c r="AM71" t="str">
        <f>IFERROR(IF(INDEX('WBS2'!$J$27:$J$162,MATCH($C71,'WBS2'!$F$27:$F$162,0))="","",INDEX('WBS2'!$J$27:$J$162,MATCH($C71,'WBS2'!$F$27:$F$162,0))),"")</f>
        <v>evat – trandinhtung.evat.vn, không captcha</v>
      </c>
      <c r="AN71" t="str">
        <f>IFERROR(IF(INDEX('WBS2'!$I$163:$I$298,MATCH($C71,'WBS2'!$F$163:$F$298,0))="","",INDEX('WBS2'!$I$163:$I$298,MATCH($C71,'WBS2'!$F$163:$F$298,0))),"")</f>
        <v>Sẵn sàng</v>
      </c>
      <c r="AO71" s="92">
        <f>IFERROR(IF(OR($AN71="Chưa hoàn thành",$AN71="Sẵn sàng"),INDEX('WBS2'!$H$163:$H$298,MATCH($C71,'WBS2'!$F$163:$F$298,0)),""),"")</f>
        <v>46387</v>
      </c>
      <c r="AP71" t="str">
        <f>IFERROR(IF(INDEX('WBS2'!$J$163:$J$298,MATCH($C71,'WBS2'!$F$163:$F$298,0))="","",INDEX('WBS2'!$J$163:$J$298,MATCH($C71,'WBS2'!$F$163:$F$298,0))),"")</f>
        <v/>
      </c>
    </row>
    <row r="72" spans="1:42" ht="14.25" hidden="1" customHeight="1" x14ac:dyDescent="0.35">
      <c r="A72" s="13">
        <v>71</v>
      </c>
      <c r="B72" s="13" t="s">
        <v>220</v>
      </c>
      <c r="C72" s="14" t="s">
        <v>221</v>
      </c>
      <c r="D72" s="13" t="s">
        <v>884</v>
      </c>
      <c r="E72" s="18" t="s">
        <v>885</v>
      </c>
      <c r="F72" s="20" t="s">
        <v>383</v>
      </c>
      <c r="G72" s="63" t="s">
        <v>886</v>
      </c>
      <c r="H72" s="35" t="str">
        <f t="shared" si="2"/>
        <v>Mã tra cứu + Captcha dạng tích</v>
      </c>
      <c r="I72" s="17"/>
      <c r="J72" s="17"/>
      <c r="K72" s="17"/>
      <c r="L72" s="17"/>
      <c r="M72" s="37"/>
      <c r="N72" s="38" t="s">
        <v>407</v>
      </c>
      <c r="O72" s="39" t="s">
        <v>509</v>
      </c>
      <c r="P72" s="39"/>
      <c r="Q72" s="39"/>
      <c r="R72" s="39"/>
      <c r="S72" s="39"/>
      <c r="T72" s="39"/>
      <c r="U72" s="39"/>
      <c r="V72" s="39"/>
      <c r="W72" s="39"/>
      <c r="X72" s="39"/>
      <c r="Y72" s="39" t="s">
        <v>509</v>
      </c>
      <c r="Z72" s="39"/>
      <c r="AA72" s="39"/>
      <c r="AB72" s="39"/>
      <c r="AC72" s="39">
        <v>2</v>
      </c>
      <c r="AD72" s="16" t="s">
        <v>887</v>
      </c>
      <c r="AE72" s="16"/>
      <c r="AF72" s="16" t="s">
        <v>888</v>
      </c>
      <c r="AG72" s="16" t="s">
        <v>886</v>
      </c>
      <c r="AH72" s="1"/>
      <c r="AI72" s="1"/>
      <c r="AJ72" t="str">
        <f>IFERROR(IF(INDEX('WBS2'!$I$2:$I$25,MATCH($C72,'WBS2'!$F$2:$F$25,0))="","",INDEX('WBS2'!$I$2:$I$25,MATCH($C72,'WBS2'!$F$2:$F$25,0))),"")</f>
        <v/>
      </c>
      <c r="AK72" t="str">
        <f>IFERROR(IF(INDEX('WBS2'!$I$27:$I$162,MATCH($C72,'WBS2'!$F$27:$F$162,0))="","",INDEX('WBS2'!$I$27:$I$162,MATCH($C72,'WBS2'!$F$27:$F$162,0))),"")</f>
        <v>Chưa hoàn thành</v>
      </c>
      <c r="AL72" s="92">
        <f>IFERROR(IF(OR($AK72="Chưa hoàn thành",$AK72="Sẵn sàng"),INDEX('WBS2'!$H$27:$H$162,MATCH($C72,'WBS2'!$F$27:$F$162,0)),""),"")</f>
        <v>46507</v>
      </c>
      <c r="AM72" t="str">
        <f>IFERROR(IF(INDEX('WBS2'!$J$27:$J$162,MATCH($C72,'WBS2'!$F$27:$F$162,0))="","",INDEX('WBS2'!$J$27:$J$162,MATCH($C72,'WBS2'!$F$27:$F$162,0))),"")</f>
        <v>bị chặn bởi reCAPTCHA, lấy qua mail. dính reCAPTCHA Enterprise</v>
      </c>
      <c r="AN72" t="str">
        <f>IFERROR(IF(INDEX('WBS2'!$I$163:$I$298,MATCH($C72,'WBS2'!$F$163:$F$298,0))="","",INDEX('WBS2'!$I$163:$I$298,MATCH($C72,'WBS2'!$F$163:$F$298,0))),"")</f>
        <v>Chưa hoàn thành</v>
      </c>
      <c r="AO72" s="92">
        <f>IFERROR(IF(OR($AN72="Chưa hoàn thành",$AN72="Sẵn sàng"),INDEX('WBS2'!$H$163:$H$298,MATCH($C72,'WBS2'!$F$163:$F$298,0)),""),"")</f>
        <v>46446</v>
      </c>
      <c r="AP72" t="str">
        <f>IFERROR(IF(INDEX('WBS2'!$J$163:$J$298,MATCH($C72,'WBS2'!$F$163:$F$298,0))="","",INDEX('WBS2'!$J$163:$J$298,MATCH($C72,'WBS2'!$F$163:$F$298,0))),"")</f>
        <v>link mail bị chặn reCAPTCHA (server kiểm), chờ mail kèm PDF</v>
      </c>
    </row>
    <row r="73" spans="1:42" ht="14.25" hidden="1" customHeight="1" x14ac:dyDescent="0.35">
      <c r="A73" s="13">
        <v>72</v>
      </c>
      <c r="B73" s="13" t="s">
        <v>223</v>
      </c>
      <c r="C73" s="14" t="s">
        <v>224</v>
      </c>
      <c r="D73" s="13" t="s">
        <v>889</v>
      </c>
      <c r="E73" s="18" t="s">
        <v>890</v>
      </c>
      <c r="F73" s="20" t="s">
        <v>383</v>
      </c>
      <c r="G73" s="66" t="s">
        <v>891</v>
      </c>
      <c r="H73" s="35" t="str">
        <f t="shared" si="2"/>
        <v>Mã tra cứu</v>
      </c>
      <c r="I73" s="17"/>
      <c r="J73" s="17"/>
      <c r="K73" s="17"/>
      <c r="L73" s="17"/>
      <c r="M73" s="37"/>
      <c r="N73" s="38" t="s">
        <v>407</v>
      </c>
      <c r="O73" s="39" t="s">
        <v>509</v>
      </c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>
        <v>1</v>
      </c>
      <c r="AD73" s="16" t="s">
        <v>892</v>
      </c>
      <c r="AE73" s="16" t="s">
        <v>882</v>
      </c>
      <c r="AF73" s="16" t="s">
        <v>883</v>
      </c>
      <c r="AG73" s="16" t="s">
        <v>891</v>
      </c>
      <c r="AH73" s="1"/>
      <c r="AI73" s="1"/>
      <c r="AJ73" t="str">
        <f>IFERROR(IF(INDEX('WBS2'!$I$2:$I$25,MATCH($C73,'WBS2'!$F$2:$F$25,0))="","",INDEX('WBS2'!$I$2:$I$25,MATCH($C73,'WBS2'!$F$2:$F$25,0))),"")</f>
        <v/>
      </c>
      <c r="AK73" t="str">
        <f>IFERROR(IF(INDEX('WBS2'!$I$27:$I$162,MATCH($C73,'WBS2'!$F$27:$F$162,0))="","",INDEX('WBS2'!$I$27:$I$162,MATCH($C73,'WBS2'!$F$27:$F$162,0))),"")</f>
        <v>Hoàn thành</v>
      </c>
      <c r="AL73" s="92" t="str">
        <f>IFERROR(IF(OR($AK73="Chưa hoàn thành",$AK73="Sẵn sàng"),INDEX('WBS2'!$H$27:$H$162,MATCH($C73,'WBS2'!$F$27:$F$162,0)),""),"")</f>
        <v/>
      </c>
      <c r="AM73" t="str">
        <f>IFERROR(IF(INDEX('WBS2'!$J$27:$J$162,MATCH($C73,'WBS2'!$F$27:$F$162,0))="","",INDEX('WBS2'!$J$27:$J$162,MATCH($C73,'WBS2'!$F$27:$F$162,0))),"")</f>
        <v/>
      </c>
      <c r="AN73" t="str">
        <f>IFERROR(IF(INDEX('WBS2'!$I$163:$I$298,MATCH($C73,'WBS2'!$F$163:$F$298,0))="","",INDEX('WBS2'!$I$163:$I$298,MATCH($C73,'WBS2'!$F$163:$F$298,0))),"")</f>
        <v>Hoàn thành</v>
      </c>
      <c r="AO73" s="92" t="str">
        <f>IFERROR(IF(OR($AN73="Chưa hoàn thành",$AN73="Sẵn sàng"),INDEX('WBS2'!$H$163:$H$298,MATCH($C73,'WBS2'!$F$163:$F$298,0)),""),"")</f>
        <v/>
      </c>
      <c r="AP73" t="str">
        <f>IFERROR(IF(INDEX('WBS2'!$J$163:$J$298,MATCH($C73,'WBS2'!$F$163:$F$298,0))="","",INDEX('WBS2'!$J$163:$J$298,MATCH($C73,'WBS2'!$F$163:$F$298,0))),"")</f>
        <v/>
      </c>
    </row>
    <row r="74" spans="1:42" ht="14.25" hidden="1" customHeight="1" x14ac:dyDescent="0.35">
      <c r="A74" s="13">
        <v>73</v>
      </c>
      <c r="B74" s="13" t="s">
        <v>225</v>
      </c>
      <c r="C74" s="14" t="s">
        <v>226</v>
      </c>
      <c r="D74" s="13" t="s">
        <v>893</v>
      </c>
      <c r="E74" s="18" t="s">
        <v>894</v>
      </c>
      <c r="F74" s="20" t="s">
        <v>577</v>
      </c>
      <c r="G74" s="66" t="s">
        <v>895</v>
      </c>
      <c r="H74" s="35" t="str">
        <f t="shared" si="2"/>
        <v>Mã tra cứu</v>
      </c>
      <c r="I74" s="17"/>
      <c r="J74" s="17"/>
      <c r="K74" s="17"/>
      <c r="L74" s="17"/>
      <c r="M74" s="37"/>
      <c r="N74" s="38" t="s">
        <v>407</v>
      </c>
      <c r="O74" s="39" t="s">
        <v>509</v>
      </c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>
        <v>1</v>
      </c>
      <c r="AD74" s="16" t="s">
        <v>881</v>
      </c>
      <c r="AE74" s="16" t="s">
        <v>896</v>
      </c>
      <c r="AF74" s="16" t="s">
        <v>897</v>
      </c>
      <c r="AG74" s="16" t="s">
        <v>895</v>
      </c>
      <c r="AH74" s="1"/>
      <c r="AI74" s="1"/>
      <c r="AJ74" t="str">
        <f>IFERROR(IF(INDEX('WBS2'!$I$2:$I$25,MATCH($C74,'WBS2'!$F$2:$F$25,0))="","",INDEX('WBS2'!$I$2:$I$25,MATCH($C74,'WBS2'!$F$2:$F$25,0))),"")</f>
        <v/>
      </c>
      <c r="AK74" t="str">
        <f>IFERROR(IF(INDEX('WBS2'!$I$27:$I$162,MATCH($C74,'WBS2'!$F$27:$F$162,0))="","",INDEX('WBS2'!$I$27:$I$162,MATCH($C74,'WBS2'!$F$27:$F$162,0))),"")</f>
        <v>Sẵn sàng</v>
      </c>
      <c r="AL74" s="92">
        <f>IFERROR(IF(OR($AK74="Chưa hoàn thành",$AK74="Sẵn sàng"),INDEX('WBS2'!$H$27:$H$162,MATCH($C74,'WBS2'!$F$27:$F$162,0)),""),"")</f>
        <v>46387</v>
      </c>
      <c r="AM74" t="str">
        <f>IFERROR(IF(INDEX('WBS2'!$J$27:$J$162,MATCH($C74,'WBS2'!$F$27:$F$162,0))="","",INDEX('WBS2'!$J$27:$J$162,MATCH($C74,'WBS2'!$F$27:$F$162,0))),"")</f>
        <v>evat – tracuu.ttltax.com, không captcha</v>
      </c>
      <c r="AN74" t="str">
        <f>IFERROR(IF(INDEX('WBS2'!$I$163:$I$298,MATCH($C74,'WBS2'!$F$163:$F$298,0))="","",INDEX('WBS2'!$I$163:$I$298,MATCH($C74,'WBS2'!$F$163:$F$298,0))),"")</f>
        <v>Sẵn sàng</v>
      </c>
      <c r="AO74" s="92">
        <f>IFERROR(IF(OR($AN74="Chưa hoàn thành",$AN74="Sẵn sàng"),INDEX('WBS2'!$H$163:$H$298,MATCH($C74,'WBS2'!$F$163:$F$298,0)),""),"")</f>
        <v>46387</v>
      </c>
      <c r="AP74" t="str">
        <f>IFERROR(IF(INDEX('WBS2'!$J$163:$J$298,MATCH($C74,'WBS2'!$F$163:$F$298,0))="","",INDEX('WBS2'!$J$163:$J$298,MATCH($C74,'WBS2'!$F$163:$F$298,0))),"")</f>
        <v/>
      </c>
    </row>
    <row r="75" spans="1:42" ht="14.25" hidden="1" customHeight="1" x14ac:dyDescent="0.35">
      <c r="A75" s="13">
        <v>74</v>
      </c>
      <c r="B75" s="13" t="s">
        <v>228</v>
      </c>
      <c r="C75" s="14" t="s">
        <v>229</v>
      </c>
      <c r="D75" s="13" t="s">
        <v>898</v>
      </c>
      <c r="E75" s="18" t="s">
        <v>899</v>
      </c>
      <c r="F75" s="20" t="s">
        <v>386</v>
      </c>
      <c r="G75" s="20"/>
      <c r="H75" s="35" t="str">
        <f t="shared" si="2"/>
        <v/>
      </c>
      <c r="I75" s="17"/>
      <c r="J75" s="17"/>
      <c r="K75" s="17"/>
      <c r="L75" s="17"/>
      <c r="M75" s="37"/>
      <c r="N75" s="38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1"/>
      <c r="AI75" s="1"/>
      <c r="AJ75" t="str">
        <f>IFERROR(IF(INDEX('WBS2'!$I$2:$I$25,MATCH($C75,'WBS2'!$F$2:$F$25,0))="","",INDEX('WBS2'!$I$2:$I$25,MATCH($C75,'WBS2'!$F$2:$F$25,0))),"")</f>
        <v/>
      </c>
      <c r="AK75" t="str">
        <f>IFERROR(IF(INDEX('WBS2'!$I$27:$I$162,MATCH($C75,'WBS2'!$F$27:$F$162,0))="","",INDEX('WBS2'!$I$27:$I$162,MATCH($C75,'WBS2'!$F$27:$F$162,0))),"")</f>
        <v>Chưa hoàn thành</v>
      </c>
      <c r="AL75" s="92">
        <f>IFERROR(IF(OR($AK75="Chưa hoàn thành",$AK75="Sẵn sàng"),INDEX('WBS2'!$H$27:$H$162,MATCH($C75,'WBS2'!$F$27:$F$162,0)),""),"")</f>
        <v>46507</v>
      </c>
      <c r="AM75" t="str">
        <f>IFERROR(IF(INDEX('WBS2'!$J$27:$J$162,MATCH($C75,'WBS2'!$F$27:$F$162,0))="","",INDEX('WBS2'!$J$27:$J$162,MATCH($C75,'WBS2'!$F$27:$F$162,0))),"")</f>
        <v>Chưa làm – cổng lỗi máy chủ, chưa có HĐ thật</v>
      </c>
      <c r="AN75" t="str">
        <f>IFERROR(IF(INDEX('WBS2'!$I$163:$I$298,MATCH($C75,'WBS2'!$F$163:$F$298,0))="","",INDEX('WBS2'!$I$163:$I$298,MATCH($C75,'WBS2'!$F$163:$F$298,0))),"")</f>
        <v>Chưa hoàn thành</v>
      </c>
      <c r="AO75" s="92">
        <f>IFERROR(IF(OR($AN75="Chưa hoàn thành",$AN75="Sẵn sàng"),INDEX('WBS2'!$H$163:$H$298,MATCH($C75,'WBS2'!$F$163:$F$298,0)),""),"")</f>
        <v>46477</v>
      </c>
      <c r="AP75" t="str">
        <f>IFERROR(IF(INDEX('WBS2'!$J$163:$J$298,MATCH($C75,'WBS2'!$F$163:$F$298,0))="","",INDEX('WBS2'!$J$163:$J$298,MATCH($C75,'WBS2'!$F$163:$F$298,0))),"")</f>
        <v>Chưa có thông tin</v>
      </c>
    </row>
    <row r="76" spans="1:42" ht="14.25" hidden="1" customHeight="1" x14ac:dyDescent="0.35">
      <c r="A76" s="13">
        <v>75</v>
      </c>
      <c r="B76" s="13" t="s">
        <v>231</v>
      </c>
      <c r="C76" s="14" t="s">
        <v>232</v>
      </c>
      <c r="D76" s="13" t="s">
        <v>900</v>
      </c>
      <c r="E76" s="18" t="s">
        <v>901</v>
      </c>
      <c r="F76" s="20" t="s">
        <v>381</v>
      </c>
      <c r="G76" s="66" t="s">
        <v>902</v>
      </c>
      <c r="H76" s="35" t="str">
        <f t="shared" si="2"/>
        <v>Mã tra cứu</v>
      </c>
      <c r="I76" s="17"/>
      <c r="J76" s="17"/>
      <c r="K76" s="17"/>
      <c r="L76" s="17"/>
      <c r="M76" s="37"/>
      <c r="N76" s="38" t="s">
        <v>407</v>
      </c>
      <c r="O76" s="39" t="s">
        <v>509</v>
      </c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>
        <v>1</v>
      </c>
      <c r="AD76" s="16" t="s">
        <v>510</v>
      </c>
      <c r="AE76" s="16"/>
      <c r="AF76" s="16" t="s">
        <v>903</v>
      </c>
      <c r="AG76" s="16" t="s">
        <v>902</v>
      </c>
      <c r="AH76" s="1"/>
      <c r="AI76" s="1"/>
      <c r="AJ76" t="str">
        <f>IFERROR(IF(INDEX('WBS2'!$I$2:$I$25,MATCH($C76,'WBS2'!$F$2:$F$25,0))="","",INDEX('WBS2'!$I$2:$I$25,MATCH($C76,'WBS2'!$F$2:$F$25,0))),"")</f>
        <v/>
      </c>
      <c r="AK76" t="str">
        <f>IFERROR(IF(INDEX('WBS2'!$I$27:$I$162,MATCH($C76,'WBS2'!$F$27:$F$162,0))="","",INDEX('WBS2'!$I$27:$I$162,MATCH($C76,'WBS2'!$F$27:$F$162,0))),"")</f>
        <v>Sẵn sàng</v>
      </c>
      <c r="AL76" s="92">
        <f>IFERROR(IF(OR($AK76="Chưa hoàn thành",$AK76="Sẵn sàng"),INDEX('WBS2'!$H$27:$H$162,MATCH($C76,'WBS2'!$F$27:$F$162,0)),""),"")</f>
        <v>46387</v>
      </c>
      <c r="AM76" t="str">
        <f>IFERROR(IF(INDEX('WBS2'!$J$27:$J$162,MATCH($C76,'WBS2'!$F$27:$F$162,0))="","",INDEX('WBS2'!$J$27:$J$162,MATCH($C76,'WBS2'!$F$27:$F$162,0))),"")</f>
        <v>ehcm</v>
      </c>
      <c r="AN76" t="str">
        <f>IFERROR(IF(INDEX('WBS2'!$I$163:$I$298,MATCH($C76,'WBS2'!$F$163:$F$298,0))="","",INDEX('WBS2'!$I$163:$I$298,MATCH($C76,'WBS2'!$F$163:$F$298,0))),"")</f>
        <v>Sẵn sàng</v>
      </c>
      <c r="AO76" s="92">
        <f>IFERROR(IF(OR($AN76="Chưa hoàn thành",$AN76="Sẵn sàng"),INDEX('WBS2'!$H$163:$H$298,MATCH($C76,'WBS2'!$F$163:$F$298,0)),""),"")</f>
        <v>46387</v>
      </c>
      <c r="AP76" t="str">
        <f>IFERROR(IF(INDEX('WBS2'!$J$163:$J$298,MATCH($C76,'WBS2'!$F$163:$F$298,0))="","",INDEX('WBS2'!$J$163:$J$298,MATCH($C76,'WBS2'!$F$163:$F$298,0))),"")</f>
        <v/>
      </c>
    </row>
    <row r="77" spans="1:42" ht="14.25" hidden="1" customHeight="1" x14ac:dyDescent="0.35">
      <c r="A77" s="13">
        <v>76</v>
      </c>
      <c r="B77" s="13" t="s">
        <v>234</v>
      </c>
      <c r="C77" s="14" t="s">
        <v>235</v>
      </c>
      <c r="D77" s="13" t="s">
        <v>904</v>
      </c>
      <c r="E77" s="18" t="s">
        <v>905</v>
      </c>
      <c r="F77" s="20" t="s">
        <v>577</v>
      </c>
      <c r="G77" s="20"/>
      <c r="H77" s="35" t="str">
        <f t="shared" si="2"/>
        <v/>
      </c>
      <c r="I77" s="17"/>
      <c r="J77" s="17"/>
      <c r="K77" s="17"/>
      <c r="L77" s="17"/>
      <c r="M77" s="37"/>
      <c r="N77" s="38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1"/>
      <c r="AI77" s="1"/>
      <c r="AJ77" t="str">
        <f>IFERROR(IF(INDEX('WBS2'!$I$2:$I$25,MATCH($C77,'WBS2'!$F$2:$F$25,0))="","",INDEX('WBS2'!$I$2:$I$25,MATCH($C77,'WBS2'!$F$2:$F$25,0))),"")</f>
        <v/>
      </c>
      <c r="AK77" t="str">
        <f>IFERROR(IF(INDEX('WBS2'!$I$27:$I$162,MATCH($C77,'WBS2'!$F$27:$F$162,0))="","",INDEX('WBS2'!$I$27:$I$162,MATCH($C77,'WBS2'!$F$27:$F$162,0))),"")</f>
        <v>Chưa hoàn thành</v>
      </c>
      <c r="AL77" s="92">
        <f>IFERROR(IF(OR($AK77="Chưa hoàn thành",$AK77="Sẵn sàng"),INDEX('WBS2'!$H$27:$H$162,MATCH($C77,'WBS2'!$F$27:$F$162,0)),""),"")</f>
        <v>46507</v>
      </c>
      <c r="AM77" t="str">
        <f>IFERROR(IF(INDEX('WBS2'!$J$27:$J$162,MATCH($C77,'WBS2'!$F$27:$F$162,0))="","",INDEX('WBS2'!$J$27:$J$162,MATCH($C77,'WBS2'!$F$27:$F$162,0))),"")</f>
        <v>Chưa làm – danh sách chưa có link tra cứu, chưa có HĐ thật</v>
      </c>
      <c r="AN77" t="str">
        <f>IFERROR(IF(INDEX('WBS2'!$I$163:$I$298,MATCH($C77,'WBS2'!$F$163:$F$298,0))="","",INDEX('WBS2'!$I$163:$I$298,MATCH($C77,'WBS2'!$F$163:$F$298,0))),"")</f>
        <v>Chưa hoàn thành</v>
      </c>
      <c r="AO77" s="92">
        <f>IFERROR(IF(OR($AN77="Chưa hoàn thành",$AN77="Sẵn sàng"),INDEX('WBS2'!$H$163:$H$298,MATCH($C77,'WBS2'!$F$163:$F$298,0)),""),"")</f>
        <v>46507</v>
      </c>
      <c r="AP77" t="str">
        <f>IFERROR(IF(INDEX('WBS2'!$J$163:$J$298,MATCH($C77,'WBS2'!$F$163:$F$298,0))="","",INDEX('WBS2'!$J$163:$J$298,MATCH($C77,'WBS2'!$F$163:$F$298,0))),"")</f>
        <v>Chưa có thông tin</v>
      </c>
    </row>
    <row r="78" spans="1:42" ht="14.25" hidden="1" customHeight="1" x14ac:dyDescent="0.35">
      <c r="A78" s="13">
        <v>77</v>
      </c>
      <c r="B78" s="13" t="s">
        <v>236</v>
      </c>
      <c r="C78" s="14" t="s">
        <v>237</v>
      </c>
      <c r="D78" s="13" t="s">
        <v>906</v>
      </c>
      <c r="E78" s="18" t="s">
        <v>907</v>
      </c>
      <c r="F78" s="20"/>
      <c r="G78" s="20"/>
      <c r="H78" s="35" t="str">
        <f t="shared" si="2"/>
        <v/>
      </c>
      <c r="I78" s="17"/>
      <c r="J78" s="17"/>
      <c r="K78" s="17"/>
      <c r="L78" s="17"/>
      <c r="M78" s="37"/>
      <c r="N78" s="38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1"/>
      <c r="AI78" s="1"/>
      <c r="AJ78" t="str">
        <f>IFERROR(IF(INDEX('WBS2'!$I$2:$I$25,MATCH($C78,'WBS2'!$F$2:$F$25,0))="","",INDEX('WBS2'!$I$2:$I$25,MATCH($C78,'WBS2'!$F$2:$F$25,0))),"")</f>
        <v/>
      </c>
      <c r="AK78" t="str">
        <f>IFERROR(IF(INDEX('WBS2'!$I$27:$I$162,MATCH($C78,'WBS2'!$F$27:$F$162,0))="","",INDEX('WBS2'!$I$27:$I$162,MATCH($C78,'WBS2'!$F$27:$F$162,0))),"")</f>
        <v>Chưa hoàn thành</v>
      </c>
      <c r="AL78" s="92">
        <f>IFERROR(IF(OR($AK78="Chưa hoàn thành",$AK78="Sẵn sàng"),INDEX('WBS2'!$H$27:$H$162,MATCH($C78,'WBS2'!$F$27:$F$162,0)),""),"")</f>
        <v>46507</v>
      </c>
      <c r="AM78" t="str">
        <f>IFERROR(IF(INDEX('WBS2'!$J$27:$J$162,MATCH($C78,'WBS2'!$F$27:$F$162,0))="","",INDEX('WBS2'!$J$27:$J$162,MATCH($C78,'WBS2'!$F$27:$F$162,0))),"")</f>
        <v>Chưa làm – danh sách chưa có link tra cứu, chưa có HĐ thật</v>
      </c>
      <c r="AN78" t="str">
        <f>IFERROR(IF(INDEX('WBS2'!$I$163:$I$298,MATCH($C78,'WBS2'!$F$163:$F$298,0))="","",INDEX('WBS2'!$I$163:$I$298,MATCH($C78,'WBS2'!$F$163:$F$298,0))),"")</f>
        <v>Chưa hoàn thành</v>
      </c>
      <c r="AO78" s="92">
        <f>IFERROR(IF(OR($AN78="Chưa hoàn thành",$AN78="Sẵn sàng"),INDEX('WBS2'!$H$163:$H$298,MATCH($C78,'WBS2'!$F$163:$F$298,0)),""),"")</f>
        <v>46507</v>
      </c>
      <c r="AP78" t="str">
        <f>IFERROR(IF(INDEX('WBS2'!$J$163:$J$298,MATCH($C78,'WBS2'!$F$163:$F$298,0))="","",INDEX('WBS2'!$J$163:$J$298,MATCH($C78,'WBS2'!$F$163:$F$298,0))),"")</f>
        <v>Chưa có thông tin</v>
      </c>
    </row>
    <row r="79" spans="1:42" ht="14.25" customHeight="1" x14ac:dyDescent="0.35">
      <c r="A79" s="13">
        <v>78</v>
      </c>
      <c r="B79" s="13" t="s">
        <v>47</v>
      </c>
      <c r="C79" s="14" t="s">
        <v>48</v>
      </c>
      <c r="D79" s="13" t="s">
        <v>908</v>
      </c>
      <c r="E79" s="18" t="s">
        <v>909</v>
      </c>
      <c r="F79" s="20" t="s">
        <v>382</v>
      </c>
      <c r="G79" s="23" t="s">
        <v>910</v>
      </c>
      <c r="H79" s="35" t="str">
        <f t="shared" si="2"/>
        <v/>
      </c>
      <c r="I79" s="20" t="s">
        <v>528</v>
      </c>
      <c r="J79" s="17"/>
      <c r="K79" s="60">
        <v>0.18179999999999999</v>
      </c>
      <c r="L79" s="20" t="s">
        <v>911</v>
      </c>
      <c r="M79" s="37"/>
      <c r="N79" s="38" t="s">
        <v>408</v>
      </c>
      <c r="O79" s="39"/>
      <c r="P79" s="39"/>
      <c r="Q79" s="39"/>
      <c r="R79" s="39"/>
      <c r="S79" s="39"/>
      <c r="T79" s="39"/>
      <c r="U79" s="39"/>
      <c r="V79" s="39"/>
      <c r="W79" s="39"/>
      <c r="X79" s="39" t="s">
        <v>509</v>
      </c>
      <c r="Y79" s="39"/>
      <c r="Z79" s="39"/>
      <c r="AA79" s="39" t="s">
        <v>509</v>
      </c>
      <c r="AB79" s="39"/>
      <c r="AC79" s="39"/>
      <c r="AD79" s="16" t="s">
        <v>912</v>
      </c>
      <c r="AE79" s="16"/>
      <c r="AF79" s="16" t="s">
        <v>913</v>
      </c>
      <c r="AG79" s="16" t="s">
        <v>910</v>
      </c>
      <c r="AH79" s="1"/>
      <c r="AI79" s="1"/>
      <c r="AJ79" t="str">
        <f>IFERROR(IF(INDEX('WBS2'!$I$2:$I$25,MATCH($C79,'WBS2'!$F$2:$F$25,0))="","",INDEX('WBS2'!$I$2:$I$25,MATCH($C79,'WBS2'!$F$2:$F$25,0))),"")</f>
        <v>Đang training</v>
      </c>
      <c r="AK79" t="str">
        <f>IFERROR(IF(INDEX('WBS2'!$I$27:$I$162,MATCH($C79,'WBS2'!$F$27:$F$162,0))="","",INDEX('WBS2'!$I$27:$I$162,MATCH($C79,'WBS2'!$F$27:$F$162,0))),"")</f>
        <v>Chưa hoàn thành</v>
      </c>
      <c r="AL79" s="92">
        <f>IFERROR(IF(OR($AK79="Chưa hoàn thành",$AK79="Sẵn sàng"),INDEX('WBS2'!$H$27:$H$162,MATCH($C79,'WBS2'!$F$27:$F$162,0)),""),"")</f>
        <v>46507</v>
      </c>
      <c r="AM79" t="str">
        <f>IFERROR(IF(INDEX('WBS2'!$J$27:$J$162,MATCH($C79,'WBS2'!$F$27:$F$162,0))="","",INDEX('WBS2'!$J$27:$J$162,MATCH($C79,'WBS2'!$F$27:$F$162,0))),"")</f>
        <v>Không làm được qua link tra cứu – phải đăng nhập. vdsg-invoice.vn, BotDetect trên form đăng nhập</v>
      </c>
      <c r="AN79" t="str">
        <f>IFERROR(IF(INDEX('WBS2'!$I$163:$I$298,MATCH($C79,'WBS2'!$F$163:$F$298,0))="","",INDEX('WBS2'!$I$163:$I$298,MATCH($C79,'WBS2'!$F$163:$F$298,0))),"")</f>
        <v>Chưa hoàn thành</v>
      </c>
      <c r="AO79" s="92">
        <f>IFERROR(IF(OR($AN79="Chưa hoàn thành",$AN79="Sẵn sàng"),INDEX('WBS2'!$H$163:$H$298,MATCH($C79,'WBS2'!$F$163:$F$298,0)),""),"")</f>
        <v>46507</v>
      </c>
      <c r="AP79" t="str">
        <f>IFERROR(IF(INDEX('WBS2'!$J$163:$J$298,MATCH($C79,'WBS2'!$F$163:$F$298,0))="","",INDEX('WBS2'!$J$163:$J$298,MATCH($C79,'WBS2'!$F$163:$F$298,0))),"")</f>
        <v>Chưa có thông tin</v>
      </c>
    </row>
    <row r="80" spans="1:42" ht="14.25" customHeight="1" x14ac:dyDescent="0.35">
      <c r="A80" s="13">
        <v>79</v>
      </c>
      <c r="B80" s="13" t="s">
        <v>49</v>
      </c>
      <c r="C80" s="14" t="s">
        <v>50</v>
      </c>
      <c r="D80" s="13" t="s">
        <v>914</v>
      </c>
      <c r="E80" s="18" t="s">
        <v>915</v>
      </c>
      <c r="F80" s="20" t="s">
        <v>382</v>
      </c>
      <c r="G80" s="23" t="s">
        <v>916</v>
      </c>
      <c r="H80" s="35" t="str">
        <f t="shared" si="2"/>
        <v>Mã tra cứu + Captcha ảnh</v>
      </c>
      <c r="I80" s="20" t="s">
        <v>528</v>
      </c>
      <c r="J80" s="81" t="s">
        <v>917</v>
      </c>
      <c r="K80" s="67">
        <v>0</v>
      </c>
      <c r="L80" s="20" t="s">
        <v>918</v>
      </c>
      <c r="M80" s="37"/>
      <c r="N80" s="38" t="s">
        <v>407</v>
      </c>
      <c r="O80" s="39" t="s">
        <v>509</v>
      </c>
      <c r="P80" s="39"/>
      <c r="Q80" s="39"/>
      <c r="R80" s="39"/>
      <c r="S80" s="39"/>
      <c r="T80" s="39"/>
      <c r="U80" s="39"/>
      <c r="V80" s="39"/>
      <c r="W80" s="39"/>
      <c r="X80" s="39" t="s">
        <v>509</v>
      </c>
      <c r="Y80" s="39"/>
      <c r="Z80" s="39"/>
      <c r="AA80" s="39"/>
      <c r="AB80" s="39"/>
      <c r="AC80" s="39">
        <v>2</v>
      </c>
      <c r="AD80" s="16" t="s">
        <v>919</v>
      </c>
      <c r="AE80" s="16" t="s">
        <v>920</v>
      </c>
      <c r="AF80" s="16" t="s">
        <v>921</v>
      </c>
      <c r="AG80" s="16" t="s">
        <v>916</v>
      </c>
      <c r="AH80" s="1"/>
      <c r="AI80" s="1"/>
      <c r="AJ80" t="str">
        <f>IFERROR(IF(INDEX('WBS2'!$I$2:$I$25,MATCH($C80,'WBS2'!$F$2:$F$25,0))="","",INDEX('WBS2'!$I$2:$I$25,MATCH($C80,'WBS2'!$F$2:$F$25,0))),"")</f>
        <v>Đang training</v>
      </c>
      <c r="AK80" t="str">
        <f>IFERROR(IF(INDEX('WBS2'!$I$27:$I$162,MATCH($C80,'WBS2'!$F$27:$F$162,0))="","",INDEX('WBS2'!$I$27:$I$162,MATCH($C80,'WBS2'!$F$27:$F$162,0))),"")</f>
        <v>Chưa hoàn thành</v>
      </c>
      <c r="AL80" s="92">
        <f>IFERROR(IF(OR($AK80="Chưa hoàn thành",$AK80="Sẵn sàng"),INDEX('WBS2'!$H$27:$H$162,MATCH($C80,'WBS2'!$F$27:$F$162,0)),""),"")</f>
        <v>46446</v>
      </c>
      <c r="AM80" t="str">
        <f>IFERROR(IF(INDEX('WBS2'!$J$27:$J$162,MATCH($C80,'WBS2'!$F$27:$F$162,0))="","",INDEX('WBS2'!$J$27:$J$162,MATCH($C80,'WBS2'!$F$27:$F$162,0))),"")</f>
        <v>Chưa làm được – chưa có model captcha (g_150x32). accnet.vn / lacviet.hdtt.vn</v>
      </c>
      <c r="AN80" t="str">
        <f>IFERROR(IF(INDEX('WBS2'!$I$163:$I$298,MATCH($C80,'WBS2'!$F$163:$F$298,0))="","",INDEX('WBS2'!$I$163:$I$298,MATCH($C80,'WBS2'!$F$163:$F$298,0))),"")</f>
        <v>Chưa hoàn thành</v>
      </c>
      <c r="AO80" s="92">
        <f>IFERROR(IF(OR($AN80="Chưa hoàn thành",$AN80="Sẵn sàng"),INDEX('WBS2'!$H$163:$H$298,MATCH($C80,'WBS2'!$F$163:$F$298,0)),""),"")</f>
        <v>46446</v>
      </c>
      <c r="AP80" t="str">
        <f>IFERROR(IF(INDEX('WBS2'!$J$163:$J$298,MATCH($C80,'WBS2'!$F$163:$F$298,0))="","",INDEX('WBS2'!$J$163:$J$298,MATCH($C80,'WBS2'!$F$163:$F$298,0))),"")</f>
        <v>Chưa có thông tin</v>
      </c>
    </row>
    <row r="81" spans="1:42" ht="14.25" hidden="1" customHeight="1" x14ac:dyDescent="0.35">
      <c r="A81" s="13">
        <v>80</v>
      </c>
      <c r="B81" s="13" t="s">
        <v>240</v>
      </c>
      <c r="C81" s="14" t="s">
        <v>241</v>
      </c>
      <c r="D81" s="13" t="s">
        <v>922</v>
      </c>
      <c r="E81" s="18" t="s">
        <v>923</v>
      </c>
      <c r="F81" s="20" t="s">
        <v>381</v>
      </c>
      <c r="G81" s="23" t="s">
        <v>924</v>
      </c>
      <c r="H81" s="35" t="str">
        <f t="shared" si="2"/>
        <v>Mã tra cứu</v>
      </c>
      <c r="I81" s="17"/>
      <c r="J81" s="17"/>
      <c r="K81" s="17"/>
      <c r="L81" s="17"/>
      <c r="M81" s="37"/>
      <c r="N81" s="38" t="s">
        <v>407</v>
      </c>
      <c r="O81" s="39" t="s">
        <v>509</v>
      </c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>
        <v>1</v>
      </c>
      <c r="AD81" s="16" t="s">
        <v>510</v>
      </c>
      <c r="AE81" s="16" t="s">
        <v>925</v>
      </c>
      <c r="AF81" s="16" t="s">
        <v>926</v>
      </c>
      <c r="AG81" s="16" t="s">
        <v>924</v>
      </c>
      <c r="AH81" s="1"/>
      <c r="AI81" s="1"/>
      <c r="AJ81" t="str">
        <f>IFERROR(IF(INDEX('WBS2'!$I$2:$I$25,MATCH($C81,'WBS2'!$F$2:$F$25,0))="","",INDEX('WBS2'!$I$2:$I$25,MATCH($C81,'WBS2'!$F$2:$F$25,0))),"")</f>
        <v/>
      </c>
      <c r="AK81" t="str">
        <f>IFERROR(IF(INDEX('WBS2'!$I$27:$I$162,MATCH($C81,'WBS2'!$F$27:$F$162,0))="","",INDEX('WBS2'!$I$27:$I$162,MATCH($C81,'WBS2'!$F$27:$F$162,0))),"")</f>
        <v>Chưa hoàn thành</v>
      </c>
      <c r="AL81" s="92">
        <f>IFERROR(IF(OR($AK81="Chưa hoàn thành",$AK81="Sẵn sàng"),INDEX('WBS2'!$H$27:$H$162,MATCH($C81,'WBS2'!$F$27:$F$162,0)),""),"")</f>
        <v>46446</v>
      </c>
      <c r="AM81" t="str">
        <f>IFERROR(IF(INDEX('WBS2'!$J$27:$J$162,MATCH($C81,'WBS2'!$F$27:$F$162,0))="","",INDEX('WBS2'!$J$27:$J$162,MATCH($C81,'WBS2'!$F$27:$F$162,0))),"")</f>
        <v>Chưa làm. tracuu.autoinvoice.vn: ZK framework (/zkau), không captcha</v>
      </c>
      <c r="AN81" t="str">
        <f>IFERROR(IF(INDEX('WBS2'!$I$163:$I$298,MATCH($C81,'WBS2'!$F$163:$F$298,0))="","",INDEX('WBS2'!$I$163:$I$298,MATCH($C81,'WBS2'!$F$163:$F$298,0))),"")</f>
        <v>Chưa hoàn thành</v>
      </c>
      <c r="AO81" s="92">
        <f>IFERROR(IF(OR($AN81="Chưa hoàn thành",$AN81="Sẵn sàng"),INDEX('WBS2'!$H$163:$H$298,MATCH($C81,'WBS2'!$F$163:$F$298,0)),""),"")</f>
        <v>46446</v>
      </c>
      <c r="AP81" t="str">
        <f>IFERROR(IF(INDEX('WBS2'!$J$163:$J$298,MATCH($C81,'WBS2'!$F$163:$F$298,0))="","",INDEX('WBS2'!$J$163:$J$298,MATCH($C81,'WBS2'!$F$163:$F$298,0))),"")</f>
        <v>Chưa có thông tin</v>
      </c>
    </row>
    <row r="82" spans="1:42" ht="14.25" hidden="1" customHeight="1" x14ac:dyDescent="0.35">
      <c r="A82" s="13">
        <v>81</v>
      </c>
      <c r="B82" s="13" t="s">
        <v>243</v>
      </c>
      <c r="C82" s="14" t="s">
        <v>244</v>
      </c>
      <c r="D82" s="13" t="s">
        <v>927</v>
      </c>
      <c r="E82" s="18" t="s">
        <v>928</v>
      </c>
      <c r="F82" s="20" t="s">
        <v>381</v>
      </c>
      <c r="G82" s="20"/>
      <c r="H82" s="35" t="str">
        <f t="shared" si="2"/>
        <v/>
      </c>
      <c r="I82" s="17"/>
      <c r="J82" s="17"/>
      <c r="K82" s="17"/>
      <c r="L82" s="17"/>
      <c r="M82" s="37"/>
      <c r="N82" s="38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1"/>
      <c r="AI82" s="1"/>
      <c r="AJ82" t="str">
        <f>IFERROR(IF(INDEX('WBS2'!$I$2:$I$25,MATCH($C82,'WBS2'!$F$2:$F$25,0))="","",INDEX('WBS2'!$I$2:$I$25,MATCH($C82,'WBS2'!$F$2:$F$25,0))),"")</f>
        <v/>
      </c>
      <c r="AK82" t="str">
        <f>IFERROR(IF(INDEX('WBS2'!$I$27:$I$162,MATCH($C82,'WBS2'!$F$27:$F$162,0))="","",INDEX('WBS2'!$I$27:$I$162,MATCH($C82,'WBS2'!$F$27:$F$162,0))),"")</f>
        <v>Chưa hoàn thành</v>
      </c>
      <c r="AL82" s="92">
        <f>IFERROR(IF(OR($AK82="Chưa hoàn thành",$AK82="Sẵn sàng"),INDEX('WBS2'!$H$27:$H$162,MATCH($C82,'WBS2'!$F$27:$F$162,0)),""),"")</f>
        <v>46507</v>
      </c>
      <c r="AM82" t="str">
        <f>IFERROR(IF(INDEX('WBS2'!$J$27:$J$162,MATCH($C82,'WBS2'!$F$27:$F$162,0))="","",INDEX('WBS2'!$J$27:$J$162,MATCH($C82,'WBS2'!$F$27:$F$162,0))),"")</f>
        <v>Chưa làm</v>
      </c>
      <c r="AN82" t="str">
        <f>IFERROR(IF(INDEX('WBS2'!$I$163:$I$298,MATCH($C82,'WBS2'!$F$163:$F$298,0))="","",INDEX('WBS2'!$I$163:$I$298,MATCH($C82,'WBS2'!$F$163:$F$298,0))),"")</f>
        <v>Chưa hoàn thành</v>
      </c>
      <c r="AO82" s="92">
        <f>IFERROR(IF(OR($AN82="Chưa hoàn thành",$AN82="Sẵn sàng"),INDEX('WBS2'!$H$163:$H$298,MATCH($C82,'WBS2'!$F$163:$F$298,0)),""),"")</f>
        <v>46507</v>
      </c>
      <c r="AP82" t="str">
        <f>IFERROR(IF(INDEX('WBS2'!$J$163:$J$298,MATCH($C82,'WBS2'!$F$163:$F$298,0))="","",INDEX('WBS2'!$J$163:$J$298,MATCH($C82,'WBS2'!$F$163:$F$298,0))),"")</f>
        <v>Chưa có thông tin</v>
      </c>
    </row>
    <row r="83" spans="1:42" ht="14.25" hidden="1" customHeight="1" x14ac:dyDescent="0.35">
      <c r="A83" s="13">
        <v>82</v>
      </c>
      <c r="B83" s="13" t="s">
        <v>246</v>
      </c>
      <c r="C83" s="14" t="s">
        <v>247</v>
      </c>
      <c r="D83" s="13" t="s">
        <v>929</v>
      </c>
      <c r="E83" s="18" t="s">
        <v>930</v>
      </c>
      <c r="F83" s="20" t="s">
        <v>381</v>
      </c>
      <c r="G83" s="23" t="s">
        <v>931</v>
      </c>
      <c r="H83" s="35" t="str">
        <f t="shared" si="2"/>
        <v>Mã tra cứu</v>
      </c>
      <c r="I83" s="17"/>
      <c r="J83" s="17"/>
      <c r="K83" s="17"/>
      <c r="L83" s="17"/>
      <c r="M83" s="37"/>
      <c r="N83" s="38" t="s">
        <v>407</v>
      </c>
      <c r="O83" s="39" t="s">
        <v>509</v>
      </c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>
        <v>1</v>
      </c>
      <c r="AD83" s="16" t="s">
        <v>510</v>
      </c>
      <c r="AE83" s="16" t="s">
        <v>932</v>
      </c>
      <c r="AF83" s="16" t="s">
        <v>933</v>
      </c>
      <c r="AG83" s="16" t="s">
        <v>931</v>
      </c>
      <c r="AH83" s="1"/>
      <c r="AI83" s="1"/>
      <c r="AJ83" t="str">
        <f>IFERROR(IF(INDEX('WBS2'!$I$2:$I$25,MATCH($C83,'WBS2'!$F$2:$F$25,0))="","",INDEX('WBS2'!$I$2:$I$25,MATCH($C83,'WBS2'!$F$2:$F$25,0))),"")</f>
        <v/>
      </c>
      <c r="AK83" t="str">
        <f>IFERROR(IF(INDEX('WBS2'!$I$27:$I$162,MATCH($C83,'WBS2'!$F$27:$F$162,0))="","",INDEX('WBS2'!$I$27:$I$162,MATCH($C83,'WBS2'!$F$27:$F$162,0))),"")</f>
        <v>Sẵn sàng</v>
      </c>
      <c r="AL83" s="92">
        <f>IFERROR(IF(OR($AK83="Chưa hoàn thành",$AK83="Sẵn sàng"),INDEX('WBS2'!$H$27:$H$162,MATCH($C83,'WBS2'!$F$27:$F$162,0)),""),"")</f>
        <v>46387</v>
      </c>
      <c r="AM83" t="str">
        <f>IFERROR(IF(INDEX('WBS2'!$J$27:$J$162,MATCH($C83,'WBS2'!$F$27:$F$162,0))="","",INDEX('WBS2'!$J$27:$J$162,MATCH($C83,'WBS2'!$F$27:$F$162,0))),"")</f>
        <v/>
      </c>
      <c r="AN83" t="str">
        <f>IFERROR(IF(INDEX('WBS2'!$I$163:$I$298,MATCH($C83,'WBS2'!$F$163:$F$298,0))="","",INDEX('WBS2'!$I$163:$I$298,MATCH($C83,'WBS2'!$F$163:$F$298,0))),"")</f>
        <v>Sẵn sàng</v>
      </c>
      <c r="AO83" s="92">
        <f>IFERROR(IF(OR($AN83="Chưa hoàn thành",$AN83="Sẵn sàng"),INDEX('WBS2'!$H$163:$H$298,MATCH($C83,'WBS2'!$F$163:$F$298,0)),""),"")</f>
        <v>46387</v>
      </c>
      <c r="AP83" t="str">
        <f>IFERROR(IF(INDEX('WBS2'!$J$163:$J$298,MATCH($C83,'WBS2'!$F$163:$F$298,0))="","",INDEX('WBS2'!$J$163:$J$298,MATCH($C83,'WBS2'!$F$163:$F$298,0))),"")</f>
        <v/>
      </c>
    </row>
    <row r="84" spans="1:42" ht="14.25" hidden="1" customHeight="1" x14ac:dyDescent="0.35">
      <c r="A84" s="13">
        <v>83</v>
      </c>
      <c r="B84" s="13" t="s">
        <v>248</v>
      </c>
      <c r="C84" s="14" t="s">
        <v>249</v>
      </c>
      <c r="D84" s="13" t="s">
        <v>934</v>
      </c>
      <c r="E84" s="18" t="s">
        <v>935</v>
      </c>
      <c r="F84" s="20" t="s">
        <v>381</v>
      </c>
      <c r="G84" s="23" t="s">
        <v>936</v>
      </c>
      <c r="H84" s="35" t="str">
        <f t="shared" si="2"/>
        <v>Mã tra cứu</v>
      </c>
      <c r="I84" s="17"/>
      <c r="J84" s="17"/>
      <c r="K84" s="17"/>
      <c r="L84" s="17"/>
      <c r="M84" s="37"/>
      <c r="N84" s="38" t="s">
        <v>407</v>
      </c>
      <c r="O84" s="39" t="s">
        <v>509</v>
      </c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>
        <v>1</v>
      </c>
      <c r="AD84" s="16" t="s">
        <v>510</v>
      </c>
      <c r="AE84" s="16"/>
      <c r="AF84" s="16" t="s">
        <v>937</v>
      </c>
      <c r="AG84" s="16" t="s">
        <v>936</v>
      </c>
      <c r="AH84" s="1"/>
      <c r="AI84" s="1"/>
      <c r="AJ84" t="str">
        <f>IFERROR(IF(INDEX('WBS2'!$I$2:$I$25,MATCH($C84,'WBS2'!$F$2:$F$25,0))="","",INDEX('WBS2'!$I$2:$I$25,MATCH($C84,'WBS2'!$F$2:$F$25,0))),"")</f>
        <v/>
      </c>
      <c r="AK84" t="str">
        <f>IFERROR(IF(INDEX('WBS2'!$I$27:$I$162,MATCH($C84,'WBS2'!$F$27:$F$162,0))="","",INDEX('WBS2'!$I$27:$I$162,MATCH($C84,'WBS2'!$F$27:$F$162,0))),"")</f>
        <v>Hoàn thành</v>
      </c>
      <c r="AL84" s="92" t="str">
        <f>IFERROR(IF(OR($AK84="Chưa hoàn thành",$AK84="Sẵn sàng"),INDEX('WBS2'!$H$27:$H$162,MATCH($C84,'WBS2'!$F$27:$F$162,0)),""),"")</f>
        <v/>
      </c>
      <c r="AM84" t="str">
        <f>IFERROR(IF(INDEX('WBS2'!$J$27:$J$162,MATCH($C84,'WBS2'!$F$27:$F$162,0))="","",INDEX('WBS2'!$J$27:$J$162,MATCH($C84,'WBS2'!$F$27:$F$162,0))),"")</f>
        <v/>
      </c>
      <c r="AN84" t="str">
        <f>IFERROR(IF(INDEX('WBS2'!$I$163:$I$298,MATCH($C84,'WBS2'!$F$163:$F$298,0))="","",INDEX('WBS2'!$I$163:$I$298,MATCH($C84,'WBS2'!$F$163:$F$298,0))),"")</f>
        <v>Chưa hoàn thành</v>
      </c>
      <c r="AO84" s="92">
        <f>IFERROR(IF(OR($AN84="Chưa hoàn thành",$AN84="Sẵn sàng"),INDEX('WBS2'!$H$163:$H$298,MATCH($C84,'WBS2'!$F$163:$F$298,0)),""),"")</f>
        <v>46507</v>
      </c>
      <c r="AP84" t="str">
        <f>IFERROR(IF(INDEX('WBS2'!$J$163:$J$298,MATCH($C84,'WBS2'!$F$163:$F$298,0))="","",INDEX('WBS2'!$J$163:$J$298,MATCH($C84,'WBS2'!$F$163:$F$298,0))),"")</f>
        <v>Chưa có thông tin</v>
      </c>
    </row>
    <row r="85" spans="1:42" ht="14.25" hidden="1" customHeight="1" x14ac:dyDescent="0.35">
      <c r="A85" s="13">
        <v>84</v>
      </c>
      <c r="B85" s="13" t="s">
        <v>250</v>
      </c>
      <c r="C85" s="14" t="s">
        <v>251</v>
      </c>
      <c r="D85" s="13" t="s">
        <v>938</v>
      </c>
      <c r="E85" s="18" t="s">
        <v>939</v>
      </c>
      <c r="F85" s="20" t="s">
        <v>381</v>
      </c>
      <c r="G85" s="20" t="s">
        <v>940</v>
      </c>
      <c r="H85" s="35" t="str">
        <f t="shared" si="2"/>
        <v>Mã tra cứu</v>
      </c>
      <c r="I85" s="17"/>
      <c r="J85" s="17"/>
      <c r="K85" s="17"/>
      <c r="L85" s="17"/>
      <c r="M85" s="37"/>
      <c r="N85" s="38" t="s">
        <v>407</v>
      </c>
      <c r="O85" s="39" t="s">
        <v>509</v>
      </c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>
        <v>1</v>
      </c>
      <c r="AD85" s="16" t="s">
        <v>510</v>
      </c>
      <c r="AE85" s="16" t="s">
        <v>941</v>
      </c>
      <c r="AF85" s="16" t="s">
        <v>942</v>
      </c>
      <c r="AG85" s="16" t="s">
        <v>940</v>
      </c>
      <c r="AH85" s="1"/>
      <c r="AI85" s="1"/>
      <c r="AJ85" t="str">
        <f>IFERROR(IF(INDEX('WBS2'!$I$2:$I$25,MATCH($C85,'WBS2'!$F$2:$F$25,0))="","",INDEX('WBS2'!$I$2:$I$25,MATCH($C85,'WBS2'!$F$2:$F$25,0))),"")</f>
        <v/>
      </c>
      <c r="AK85" t="str">
        <f>IFERROR(IF(INDEX('WBS2'!$I$27:$I$162,MATCH($C85,'WBS2'!$F$27:$F$162,0))="","",INDEX('WBS2'!$I$27:$I$162,MATCH($C85,'WBS2'!$F$27:$F$162,0))),"")</f>
        <v>Sẵn sàng</v>
      </c>
      <c r="AL85" s="92">
        <f>IFERROR(IF(OR($AK85="Chưa hoàn thành",$AK85="Sẵn sàng"),INDEX('WBS2'!$H$27:$H$162,MATCH($C85,'WBS2'!$F$27:$F$162,0)),""),"")</f>
        <v>46387</v>
      </c>
      <c r="AM85" t="str">
        <f>IFERROR(IF(INDEX('WBS2'!$J$27:$J$162,MATCH($C85,'WBS2'!$F$27:$F$162,0))="","",INDEX('WBS2'!$J$27:$J$162,MATCH($C85,'WBS2'!$F$27:$F$162,0))),"")</f>
        <v/>
      </c>
      <c r="AN85" t="str">
        <f>IFERROR(IF(INDEX('WBS2'!$I$163:$I$298,MATCH($C85,'WBS2'!$F$163:$F$298,0))="","",INDEX('WBS2'!$I$163:$I$298,MATCH($C85,'WBS2'!$F$163:$F$298,0))),"")</f>
        <v>Sẵn sàng</v>
      </c>
      <c r="AO85" s="92">
        <f>IFERROR(IF(OR($AN85="Chưa hoàn thành",$AN85="Sẵn sàng"),INDEX('WBS2'!$H$163:$H$298,MATCH($C85,'WBS2'!$F$163:$F$298,0)),""),"")</f>
        <v>46387</v>
      </c>
      <c r="AP85" t="str">
        <f>IFERROR(IF(INDEX('WBS2'!$J$163:$J$298,MATCH($C85,'WBS2'!$F$163:$F$298,0))="","",INDEX('WBS2'!$J$163:$J$298,MATCH($C85,'WBS2'!$F$163:$F$298,0))),"")</f>
        <v/>
      </c>
    </row>
    <row r="86" spans="1:42" ht="14.25" customHeight="1" x14ac:dyDescent="0.35">
      <c r="A86" s="13">
        <v>85</v>
      </c>
      <c r="B86" s="27" t="s">
        <v>51</v>
      </c>
      <c r="C86" s="14" t="s">
        <v>52</v>
      </c>
      <c r="D86" s="13" t="s">
        <v>943</v>
      </c>
      <c r="E86" s="18" t="s">
        <v>944</v>
      </c>
      <c r="F86" s="20" t="s">
        <v>382</v>
      </c>
      <c r="G86" s="66" t="s">
        <v>945</v>
      </c>
      <c r="H86" s="35" t="str">
        <f t="shared" si="2"/>
        <v>Mã tra cứu + Captcha ảnh</v>
      </c>
      <c r="I86" s="20" t="s">
        <v>528</v>
      </c>
      <c r="J86" s="17"/>
      <c r="K86" s="67">
        <v>0</v>
      </c>
      <c r="L86" s="20" t="s">
        <v>946</v>
      </c>
      <c r="M86" s="37"/>
      <c r="N86" s="38" t="s">
        <v>407</v>
      </c>
      <c r="O86" s="39" t="s">
        <v>509</v>
      </c>
      <c r="P86" s="39"/>
      <c r="Q86" s="39"/>
      <c r="R86" s="39"/>
      <c r="S86" s="39"/>
      <c r="T86" s="39"/>
      <c r="U86" s="39"/>
      <c r="V86" s="39"/>
      <c r="W86" s="39"/>
      <c r="X86" s="39" t="s">
        <v>509</v>
      </c>
      <c r="Y86" s="39"/>
      <c r="Z86" s="39"/>
      <c r="AA86" s="39"/>
      <c r="AB86" s="39"/>
      <c r="AC86" s="39">
        <v>2</v>
      </c>
      <c r="AD86" s="16" t="s">
        <v>947</v>
      </c>
      <c r="AE86" s="16"/>
      <c r="AF86" s="16" t="s">
        <v>948</v>
      </c>
      <c r="AG86" s="16" t="s">
        <v>945</v>
      </c>
      <c r="AH86" s="1"/>
      <c r="AI86" s="1"/>
      <c r="AJ86" t="str">
        <f>IFERROR(IF(INDEX('WBS2'!$I$2:$I$25,MATCH($C86,'WBS2'!$F$2:$F$25,0))="","",INDEX('WBS2'!$I$2:$I$25,MATCH($C86,'WBS2'!$F$2:$F$25,0))),"")</f>
        <v>Hoàn thành</v>
      </c>
      <c r="AK86" t="str">
        <f>IFERROR(IF(INDEX('WBS2'!$I$27:$I$162,MATCH($C86,'WBS2'!$F$27:$F$162,0))="","",INDEX('WBS2'!$I$27:$I$162,MATCH($C86,'WBS2'!$F$27:$F$162,0))),"")</f>
        <v>Hoàn thành</v>
      </c>
      <c r="AL86" s="92" t="str">
        <f>IFERROR(IF(OR($AK86="Chưa hoàn thành",$AK86="Sẵn sàng"),INDEX('WBS2'!$H$27:$H$162,MATCH($C86,'WBS2'!$F$27:$F$162,0)),""),"")</f>
        <v/>
      </c>
      <c r="AM86" t="str">
        <f>IFERROR(IF(INDEX('WBS2'!$J$27:$J$162,MATCH($C86,'WBS2'!$F$27:$F$162,0))="","",INDEX('WBS2'!$J$27:$J$162,MATCH($C86,'WBS2'!$F$27:$F$162,0))),"")</f>
        <v/>
      </c>
      <c r="AN86" t="str">
        <f>IFERROR(IF(INDEX('WBS2'!$I$163:$I$298,MATCH($C86,'WBS2'!$F$163:$F$298,0))="","",INDEX('WBS2'!$I$163:$I$298,MATCH($C86,'WBS2'!$F$163:$F$298,0))),"")</f>
        <v>Hoàn thành</v>
      </c>
      <c r="AO86" s="92" t="str">
        <f>IFERROR(IF(OR($AN86="Chưa hoàn thành",$AN86="Sẵn sàng"),INDEX('WBS2'!$H$163:$H$298,MATCH($C86,'WBS2'!$F$163:$F$298,0)),""),"")</f>
        <v/>
      </c>
      <c r="AP86" t="str">
        <f>IFERROR(IF(INDEX('WBS2'!$J$163:$J$298,MATCH($C86,'WBS2'!$F$163:$F$298,0))="","",INDEX('WBS2'!$J$163:$J$298,MATCH($C86,'WBS2'!$F$163:$F$298,0))),"")</f>
        <v/>
      </c>
    </row>
    <row r="87" spans="1:42" ht="14.25" hidden="1" customHeight="1" x14ac:dyDescent="0.35">
      <c r="A87" s="13">
        <v>86</v>
      </c>
      <c r="B87" s="13" t="s">
        <v>252</v>
      </c>
      <c r="C87" s="14" t="s">
        <v>253</v>
      </c>
      <c r="D87" s="13" t="s">
        <v>949</v>
      </c>
      <c r="E87" s="18" t="s">
        <v>950</v>
      </c>
      <c r="F87" s="20" t="s">
        <v>381</v>
      </c>
      <c r="G87" s="23" t="s">
        <v>951</v>
      </c>
      <c r="H87" s="35" t="str">
        <f t="shared" si="2"/>
        <v>Mã tra cứu</v>
      </c>
      <c r="I87" s="17"/>
      <c r="J87" s="17"/>
      <c r="K87" s="17"/>
      <c r="L87" s="17"/>
      <c r="M87" s="37"/>
      <c r="N87" s="38" t="s">
        <v>407</v>
      </c>
      <c r="O87" s="39" t="s">
        <v>509</v>
      </c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>
        <v>1</v>
      </c>
      <c r="AD87" s="16" t="s">
        <v>510</v>
      </c>
      <c r="AE87" s="16" t="s">
        <v>952</v>
      </c>
      <c r="AF87" s="16" t="s">
        <v>953</v>
      </c>
      <c r="AG87" s="16" t="s">
        <v>951</v>
      </c>
      <c r="AH87" s="1"/>
      <c r="AI87" s="1"/>
      <c r="AJ87" t="str">
        <f>IFERROR(IF(INDEX('WBS2'!$I$2:$I$25,MATCH($C87,'WBS2'!$F$2:$F$25,0))="","",INDEX('WBS2'!$I$2:$I$25,MATCH($C87,'WBS2'!$F$2:$F$25,0))),"")</f>
        <v/>
      </c>
      <c r="AK87" t="str">
        <f>IFERROR(IF(INDEX('WBS2'!$I$27:$I$162,MATCH($C87,'WBS2'!$F$27:$F$162,0))="","",INDEX('WBS2'!$I$27:$I$162,MATCH($C87,'WBS2'!$F$27:$F$162,0))),"")</f>
        <v>Sẵn sàng</v>
      </c>
      <c r="AL87" s="92">
        <f>IFERROR(IF(OR($AK87="Chưa hoàn thành",$AK87="Sẵn sàng"),INDEX('WBS2'!$H$27:$H$162,MATCH($C87,'WBS2'!$F$27:$F$162,0)),""),"")</f>
        <v>46387</v>
      </c>
      <c r="AM87" t="str">
        <f>IFERROR(IF(INDEX('WBS2'!$J$27:$J$162,MATCH($C87,'WBS2'!$F$27:$F$162,0))="","",INDEX('WBS2'!$J$27:$J$162,MATCH($C87,'WBS2'!$F$27:$F$162,0))),"")</f>
        <v>kimtuthap – mã bí mật GUID</v>
      </c>
      <c r="AN87" t="str">
        <f>IFERROR(IF(INDEX('WBS2'!$I$163:$I$298,MATCH($C87,'WBS2'!$F$163:$F$298,0))="","",INDEX('WBS2'!$I$163:$I$298,MATCH($C87,'WBS2'!$F$163:$F$298,0))),"")</f>
        <v>Sẵn sàng</v>
      </c>
      <c r="AO87" s="92">
        <f>IFERROR(IF(OR($AN87="Chưa hoàn thành",$AN87="Sẵn sàng"),INDEX('WBS2'!$H$163:$H$298,MATCH($C87,'WBS2'!$F$163:$F$298,0)),""),"")</f>
        <v>46387</v>
      </c>
      <c r="AP87" t="str">
        <f>IFERROR(IF(INDEX('WBS2'!$J$163:$J$298,MATCH($C87,'WBS2'!$F$163:$F$298,0))="","",INDEX('WBS2'!$J$163:$J$298,MATCH($C87,'WBS2'!$F$163:$F$298,0))),"")</f>
        <v/>
      </c>
    </row>
    <row r="88" spans="1:42" ht="14.25" hidden="1" customHeight="1" x14ac:dyDescent="0.35">
      <c r="A88" s="13">
        <v>87</v>
      </c>
      <c r="B88" s="13" t="s">
        <v>255</v>
      </c>
      <c r="C88" s="14" t="s">
        <v>256</v>
      </c>
      <c r="D88" s="13" t="s">
        <v>954</v>
      </c>
      <c r="E88" s="18" t="s">
        <v>955</v>
      </c>
      <c r="F88" s="20" t="s">
        <v>577</v>
      </c>
      <c r="G88" s="20"/>
      <c r="H88" s="35" t="str">
        <f t="shared" si="2"/>
        <v/>
      </c>
      <c r="I88" s="17"/>
      <c r="J88" s="17"/>
      <c r="K88" s="17"/>
      <c r="L88" s="17"/>
      <c r="M88" s="37"/>
      <c r="N88" s="38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1"/>
      <c r="AI88" s="1"/>
      <c r="AJ88" t="str">
        <f>IFERROR(IF(INDEX('WBS2'!$I$2:$I$25,MATCH($C88,'WBS2'!$F$2:$F$25,0))="","",INDEX('WBS2'!$I$2:$I$25,MATCH($C88,'WBS2'!$F$2:$F$25,0))),"")</f>
        <v/>
      </c>
      <c r="AK88" t="str">
        <f>IFERROR(IF(INDEX('WBS2'!$I$27:$I$162,MATCH($C88,'WBS2'!$F$27:$F$162,0))="","",INDEX('WBS2'!$I$27:$I$162,MATCH($C88,'WBS2'!$F$27:$F$162,0))),"")</f>
        <v>Chưa hoàn thành</v>
      </c>
      <c r="AL88" s="92">
        <f>IFERROR(IF(OR($AK88="Chưa hoàn thành",$AK88="Sẵn sàng"),INDEX('WBS2'!$H$27:$H$162,MATCH($C88,'WBS2'!$F$27:$F$162,0)),""),"")</f>
        <v>46507</v>
      </c>
      <c r="AM88" t="str">
        <f>IFERROR(IF(INDEX('WBS2'!$J$27:$J$162,MATCH($C88,'WBS2'!$F$27:$F$162,0))="","",INDEX('WBS2'!$J$27:$J$162,MATCH($C88,'WBS2'!$F$27:$F$162,0))),"")</f>
        <v>Chưa làm</v>
      </c>
      <c r="AN88" t="str">
        <f>IFERROR(IF(INDEX('WBS2'!$I$163:$I$298,MATCH($C88,'WBS2'!$F$163:$F$298,0))="","",INDEX('WBS2'!$I$163:$I$298,MATCH($C88,'WBS2'!$F$163:$F$298,0))),"")</f>
        <v>Chưa hoàn thành</v>
      </c>
      <c r="AO88" s="92">
        <f>IFERROR(IF(OR($AN88="Chưa hoàn thành",$AN88="Sẵn sàng"),INDEX('WBS2'!$H$163:$H$298,MATCH($C88,'WBS2'!$F$163:$F$298,0)),""),"")</f>
        <v>46507</v>
      </c>
      <c r="AP88" t="str">
        <f>IFERROR(IF(INDEX('WBS2'!$J$163:$J$298,MATCH($C88,'WBS2'!$F$163:$F$298,0))="","",INDEX('WBS2'!$J$163:$J$298,MATCH($C88,'WBS2'!$F$163:$F$298,0))),"")</f>
        <v>Chưa có thông tin</v>
      </c>
    </row>
    <row r="89" spans="1:42" ht="14.25" customHeight="1" x14ac:dyDescent="0.35">
      <c r="A89" s="13">
        <v>88</v>
      </c>
      <c r="B89" s="13" t="s">
        <v>53</v>
      </c>
      <c r="C89" s="14" t="s">
        <v>54</v>
      </c>
      <c r="D89" s="13" t="s">
        <v>956</v>
      </c>
      <c r="E89" s="18" t="s">
        <v>957</v>
      </c>
      <c r="F89" s="20" t="s">
        <v>382</v>
      </c>
      <c r="G89" s="78" t="s">
        <v>958</v>
      </c>
      <c r="H89" s="35" t="str">
        <f t="shared" si="2"/>
        <v>Mã tra cứu + Captcha ảnh</v>
      </c>
      <c r="I89" s="20" t="s">
        <v>528</v>
      </c>
      <c r="J89" s="17"/>
      <c r="K89" s="60">
        <v>0.87409999999999999</v>
      </c>
      <c r="L89" s="20" t="s">
        <v>673</v>
      </c>
      <c r="M89" s="37"/>
      <c r="N89" s="38" t="s">
        <v>407</v>
      </c>
      <c r="O89" s="39" t="s">
        <v>509</v>
      </c>
      <c r="P89" s="39"/>
      <c r="Q89" s="39"/>
      <c r="R89" s="39"/>
      <c r="S89" s="39"/>
      <c r="T89" s="39"/>
      <c r="U89" s="39"/>
      <c r="V89" s="39"/>
      <c r="W89" s="39"/>
      <c r="X89" s="39" t="s">
        <v>509</v>
      </c>
      <c r="Y89" s="39"/>
      <c r="Z89" s="39"/>
      <c r="AA89" s="39"/>
      <c r="AB89" s="39"/>
      <c r="AC89" s="39">
        <v>2</v>
      </c>
      <c r="AD89" s="16" t="s">
        <v>959</v>
      </c>
      <c r="AE89" s="16" t="s">
        <v>960</v>
      </c>
      <c r="AF89" s="16" t="s">
        <v>961</v>
      </c>
      <c r="AG89" s="16" t="s">
        <v>958</v>
      </c>
      <c r="AH89" s="1"/>
      <c r="AI89" s="1"/>
      <c r="AJ89" t="str">
        <f>IFERROR(IF(INDEX('WBS2'!$I$2:$I$25,MATCH($C89,'WBS2'!$F$2:$F$25,0))="","",INDEX('WBS2'!$I$2:$I$25,MATCH($C89,'WBS2'!$F$2:$F$25,0))),"")</f>
        <v>Hoàn thành</v>
      </c>
      <c r="AK89" t="str">
        <f>IFERROR(IF(INDEX('WBS2'!$I$27:$I$162,MATCH($C89,'WBS2'!$F$27:$F$162,0))="","",INDEX('WBS2'!$I$27:$I$162,MATCH($C89,'WBS2'!$F$27:$F$162,0))),"")</f>
        <v>Sẵn sàng</v>
      </c>
      <c r="AL89" s="92">
        <f>IFERROR(IF(OR($AK89="Chưa hoàn thành",$AK89="Sẵn sàng"),INDEX('WBS2'!$H$27:$H$162,MATCH($C89,'WBS2'!$F$27:$F$162,0)),""),"")</f>
        <v>46387</v>
      </c>
      <c r="AM89" t="str">
        <f>IFERROR(IF(INDEX('WBS2'!$J$27:$J$162,MATCH($C89,'WBS2'!$F$27:$F$162,0))="","",INDEX('WBS2'!$J$27:$J$162,MATCH($C89,'WBS2'!$F$27:$F$162,0))),"")</f>
        <v/>
      </c>
      <c r="AN89" t="str">
        <f>IFERROR(IF(INDEX('WBS2'!$I$163:$I$298,MATCH($C89,'WBS2'!$F$163:$F$298,0))="","",INDEX('WBS2'!$I$163:$I$298,MATCH($C89,'WBS2'!$F$163:$F$298,0))),"")</f>
        <v>Sẵn sàng</v>
      </c>
      <c r="AO89" s="92">
        <f>IFERROR(IF(OR($AN89="Chưa hoàn thành",$AN89="Sẵn sàng"),INDEX('WBS2'!$H$163:$H$298,MATCH($C89,'WBS2'!$F$163:$F$298,0)),""),"")</f>
        <v>46387</v>
      </c>
      <c r="AP89" t="str">
        <f>IFERROR(IF(INDEX('WBS2'!$J$163:$J$298,MATCH($C89,'WBS2'!$F$163:$F$298,0))="","",INDEX('WBS2'!$J$163:$J$298,MATCH($C89,'WBS2'!$F$163:$F$298,0))),"")</f>
        <v/>
      </c>
    </row>
    <row r="90" spans="1:42" ht="14.25" hidden="1" customHeight="1" x14ac:dyDescent="0.35">
      <c r="A90" s="13">
        <v>89</v>
      </c>
      <c r="B90" s="13" t="s">
        <v>257</v>
      </c>
      <c r="C90" s="14" t="s">
        <v>258</v>
      </c>
      <c r="D90" s="13" t="s">
        <v>962</v>
      </c>
      <c r="E90" s="18" t="s">
        <v>963</v>
      </c>
      <c r="F90" s="20" t="s">
        <v>381</v>
      </c>
      <c r="G90" s="23" t="s">
        <v>964</v>
      </c>
      <c r="H90" s="35" t="str">
        <f t="shared" si="2"/>
        <v>Mã tra cứu</v>
      </c>
      <c r="I90" s="17"/>
      <c r="J90" s="17"/>
      <c r="K90" s="17"/>
      <c r="L90" s="17"/>
      <c r="M90" s="37"/>
      <c r="N90" s="38" t="s">
        <v>407</v>
      </c>
      <c r="O90" s="39" t="s">
        <v>509</v>
      </c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>
        <v>1</v>
      </c>
      <c r="AD90" s="16" t="s">
        <v>510</v>
      </c>
      <c r="AE90" s="16"/>
      <c r="AF90" s="16" t="s">
        <v>965</v>
      </c>
      <c r="AG90" s="16" t="s">
        <v>964</v>
      </c>
      <c r="AH90" s="1"/>
      <c r="AI90" s="1"/>
      <c r="AJ90" t="str">
        <f>IFERROR(IF(INDEX('WBS2'!$I$2:$I$25,MATCH($C90,'WBS2'!$F$2:$F$25,0))="","",INDEX('WBS2'!$I$2:$I$25,MATCH($C90,'WBS2'!$F$2:$F$25,0))),"")</f>
        <v/>
      </c>
      <c r="AK90" t="str">
        <f>IFERROR(IF(INDEX('WBS2'!$I$27:$I$162,MATCH($C90,'WBS2'!$F$27:$F$162,0))="","",INDEX('WBS2'!$I$27:$I$162,MATCH($C90,'WBS2'!$F$27:$F$162,0))),"")</f>
        <v>Hoàn thành</v>
      </c>
      <c r="AL90" s="92" t="str">
        <f>IFERROR(IF(OR($AK90="Chưa hoàn thành",$AK90="Sẵn sàng"),INDEX('WBS2'!$H$27:$H$162,MATCH($C90,'WBS2'!$F$27:$F$162,0)),""),"")</f>
        <v/>
      </c>
      <c r="AM90" t="str">
        <f>IFERROR(IF(INDEX('WBS2'!$J$27:$J$162,MATCH($C90,'WBS2'!$F$27:$F$162,0))="","",INDEX('WBS2'!$J$27:$J$162,MATCH($C90,'WBS2'!$F$27:$F$162,0))),"")</f>
        <v/>
      </c>
      <c r="AN90" t="str">
        <f>IFERROR(IF(INDEX('WBS2'!$I$163:$I$298,MATCH($C90,'WBS2'!$F$163:$F$298,0))="","",INDEX('WBS2'!$I$163:$I$298,MATCH($C90,'WBS2'!$F$163:$F$298,0))),"")</f>
        <v>Hoàn thành</v>
      </c>
      <c r="AO90" s="92" t="str">
        <f>IFERROR(IF(OR($AN90="Chưa hoàn thành",$AN90="Sẵn sàng"),INDEX('WBS2'!$H$163:$H$298,MATCH($C90,'WBS2'!$F$163:$F$298,0)),""),"")</f>
        <v/>
      </c>
      <c r="AP90" t="str">
        <f>IFERROR(IF(INDEX('WBS2'!$J$163:$J$298,MATCH($C90,'WBS2'!$F$163:$F$298,0))="","",INDEX('WBS2'!$J$163:$J$298,MATCH($C90,'WBS2'!$F$163:$F$298,0))),"")</f>
        <v/>
      </c>
    </row>
    <row r="91" spans="1:42" ht="14.25" hidden="1" customHeight="1" x14ac:dyDescent="0.35">
      <c r="A91" s="13">
        <v>90</v>
      </c>
      <c r="B91" s="13" t="s">
        <v>259</v>
      </c>
      <c r="C91" s="14" t="s">
        <v>260</v>
      </c>
      <c r="D91" s="13" t="s">
        <v>966</v>
      </c>
      <c r="E91" s="18" t="s">
        <v>967</v>
      </c>
      <c r="F91" s="20"/>
      <c r="G91" s="20"/>
      <c r="H91" s="35" t="str">
        <f t="shared" si="2"/>
        <v/>
      </c>
      <c r="I91" s="17"/>
      <c r="J91" s="17"/>
      <c r="K91" s="17"/>
      <c r="L91" s="17"/>
      <c r="M91" s="37"/>
      <c r="N91" s="38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1"/>
      <c r="AI91" s="1"/>
      <c r="AJ91" t="str">
        <f>IFERROR(IF(INDEX('WBS2'!$I$2:$I$25,MATCH($C91,'WBS2'!$F$2:$F$25,0))="","",INDEX('WBS2'!$I$2:$I$25,MATCH($C91,'WBS2'!$F$2:$F$25,0))),"")</f>
        <v/>
      </c>
      <c r="AK91" t="str">
        <f>IFERROR(IF(INDEX('WBS2'!$I$27:$I$162,MATCH($C91,'WBS2'!$F$27:$F$162,0))="","",INDEX('WBS2'!$I$27:$I$162,MATCH($C91,'WBS2'!$F$27:$F$162,0))),"")</f>
        <v>Chưa hoàn thành</v>
      </c>
      <c r="AL91" s="92">
        <f>IFERROR(IF(OR($AK91="Chưa hoàn thành",$AK91="Sẵn sàng"),INDEX('WBS2'!$H$27:$H$162,MATCH($C91,'WBS2'!$F$27:$F$162,0)),""),"")</f>
        <v>46507</v>
      </c>
      <c r="AM91" t="str">
        <f>IFERROR(IF(INDEX('WBS2'!$J$27:$J$162,MATCH($C91,'WBS2'!$F$27:$F$162,0))="","",INDEX('WBS2'!$J$27:$J$162,MATCH($C91,'WBS2'!$F$27:$F$162,0))),"")</f>
        <v>Chưa làm</v>
      </c>
      <c r="AN91" t="str">
        <f>IFERROR(IF(INDEX('WBS2'!$I$163:$I$298,MATCH($C91,'WBS2'!$F$163:$F$298,0))="","",INDEX('WBS2'!$I$163:$I$298,MATCH($C91,'WBS2'!$F$163:$F$298,0))),"")</f>
        <v>Chưa hoàn thành</v>
      </c>
      <c r="AO91" s="92">
        <f>IFERROR(IF(OR($AN91="Chưa hoàn thành",$AN91="Sẵn sàng"),INDEX('WBS2'!$H$163:$H$298,MATCH($C91,'WBS2'!$F$163:$F$298,0)),""),"")</f>
        <v>46507</v>
      </c>
      <c r="AP91" t="str">
        <f>IFERROR(IF(INDEX('WBS2'!$J$163:$J$298,MATCH($C91,'WBS2'!$F$163:$F$298,0))="","",INDEX('WBS2'!$J$163:$J$298,MATCH($C91,'WBS2'!$F$163:$F$298,0))),"")</f>
        <v>Chưa có thông tin</v>
      </c>
    </row>
    <row r="92" spans="1:42" ht="14.25" hidden="1" customHeight="1" x14ac:dyDescent="0.35">
      <c r="A92" s="13">
        <v>91</v>
      </c>
      <c r="B92" s="13" t="s">
        <v>261</v>
      </c>
      <c r="C92" s="14" t="s">
        <v>262</v>
      </c>
      <c r="D92" s="13" t="s">
        <v>968</v>
      </c>
      <c r="E92" s="18" t="s">
        <v>969</v>
      </c>
      <c r="F92" s="20" t="s">
        <v>381</v>
      </c>
      <c r="G92" s="23" t="s">
        <v>970</v>
      </c>
      <c r="H92" s="35" t="str">
        <f t="shared" si="2"/>
        <v>Mã tra cứu</v>
      </c>
      <c r="I92" s="17"/>
      <c r="J92" s="17"/>
      <c r="K92" s="17"/>
      <c r="L92" s="17"/>
      <c r="M92" s="37"/>
      <c r="N92" s="38" t="s">
        <v>407</v>
      </c>
      <c r="O92" s="39" t="s">
        <v>509</v>
      </c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>
        <v>1</v>
      </c>
      <c r="AD92" s="16" t="s">
        <v>510</v>
      </c>
      <c r="AE92" s="16" t="s">
        <v>971</v>
      </c>
      <c r="AF92" s="16" t="s">
        <v>972</v>
      </c>
      <c r="AG92" s="16" t="s">
        <v>970</v>
      </c>
      <c r="AH92" s="1"/>
      <c r="AI92" s="1"/>
      <c r="AJ92" t="str">
        <f>IFERROR(IF(INDEX('WBS2'!$I$2:$I$25,MATCH($C92,'WBS2'!$F$2:$F$25,0))="","",INDEX('WBS2'!$I$2:$I$25,MATCH($C92,'WBS2'!$F$2:$F$25,0))),"")</f>
        <v/>
      </c>
      <c r="AK92" t="str">
        <f>IFERROR(IF(INDEX('WBS2'!$I$27:$I$162,MATCH($C92,'WBS2'!$F$27:$F$162,0))="","",INDEX('WBS2'!$I$27:$I$162,MATCH($C92,'WBS2'!$F$27:$F$162,0))),"")</f>
        <v>Hoàn thành</v>
      </c>
      <c r="AL92" s="92" t="str">
        <f>IFERROR(IF(OR($AK92="Chưa hoàn thành",$AK92="Sẵn sàng"),INDEX('WBS2'!$H$27:$H$162,MATCH($C92,'WBS2'!$F$27:$F$162,0)),""),"")</f>
        <v/>
      </c>
      <c r="AM92" t="str">
        <f>IFERROR(IF(INDEX('WBS2'!$J$27:$J$162,MATCH($C92,'WBS2'!$F$27:$F$162,0))="","",INDEX('WBS2'!$J$27:$J$162,MATCH($C92,'WBS2'!$F$27:$F$162,0))),"")</f>
        <v/>
      </c>
      <c r="AN92" t="str">
        <f>IFERROR(IF(INDEX('WBS2'!$I$163:$I$298,MATCH($C92,'WBS2'!$F$163:$F$298,0))="","",INDEX('WBS2'!$I$163:$I$298,MATCH($C92,'WBS2'!$F$163:$F$298,0))),"")</f>
        <v>Hoàn thành</v>
      </c>
      <c r="AO92" s="92" t="str">
        <f>IFERROR(IF(OR($AN92="Chưa hoàn thành",$AN92="Sẵn sàng"),INDEX('WBS2'!$H$163:$H$298,MATCH($C92,'WBS2'!$F$163:$F$298,0)),""),"")</f>
        <v/>
      </c>
      <c r="AP92" t="str">
        <f>IFERROR(IF(INDEX('WBS2'!$J$163:$J$298,MATCH($C92,'WBS2'!$F$163:$F$298,0))="","",INDEX('WBS2'!$J$163:$J$298,MATCH($C92,'WBS2'!$F$163:$F$298,0))),"")</f>
        <v/>
      </c>
    </row>
    <row r="93" spans="1:42" ht="14.25" hidden="1" customHeight="1" x14ac:dyDescent="0.35">
      <c r="A93" s="13">
        <v>92</v>
      </c>
      <c r="B93" s="13" t="s">
        <v>263</v>
      </c>
      <c r="C93" s="14" t="s">
        <v>264</v>
      </c>
      <c r="D93" s="13" t="s">
        <v>973</v>
      </c>
      <c r="E93" s="18" t="s">
        <v>974</v>
      </c>
      <c r="F93" s="20" t="s">
        <v>381</v>
      </c>
      <c r="G93" s="66" t="s">
        <v>975</v>
      </c>
      <c r="H93" s="35" t="str">
        <f t="shared" si="2"/>
        <v/>
      </c>
      <c r="I93" s="17"/>
      <c r="J93" s="17"/>
      <c r="K93" s="17"/>
      <c r="L93" s="17"/>
      <c r="M93" s="37"/>
      <c r="N93" s="38" t="s">
        <v>579</v>
      </c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16"/>
      <c r="AE93" s="16"/>
      <c r="AF93" s="16" t="s">
        <v>976</v>
      </c>
      <c r="AG93" s="16" t="s">
        <v>975</v>
      </c>
      <c r="AH93" s="1"/>
      <c r="AI93" s="1"/>
      <c r="AJ93" t="str">
        <f>IFERROR(IF(INDEX('WBS2'!$I$2:$I$25,MATCH($C93,'WBS2'!$F$2:$F$25,0))="","",INDEX('WBS2'!$I$2:$I$25,MATCH($C93,'WBS2'!$F$2:$F$25,0))),"")</f>
        <v/>
      </c>
      <c r="AK93" t="str">
        <f>IFERROR(IF(INDEX('WBS2'!$I$27:$I$162,MATCH($C93,'WBS2'!$F$27:$F$162,0))="","",INDEX('WBS2'!$I$27:$I$162,MATCH($C93,'WBS2'!$F$27:$F$162,0))),"")</f>
        <v>Chưa hoàn thành</v>
      </c>
      <c r="AL93" s="92">
        <f>IFERROR(IF(OR($AK93="Chưa hoàn thành",$AK93="Sẵn sàng"),INDEX('WBS2'!$H$27:$H$162,MATCH($C93,'WBS2'!$F$27:$F$162,0)),""),"")</f>
        <v>46507</v>
      </c>
      <c r="AM93" t="str">
        <f>IFERROR(IF(INDEX('WBS2'!$J$27:$J$162,MATCH($C93,'WBS2'!$F$27:$F$162,0))="","",INDEX('WBS2'!$J$27:$J$162,MATCH($C93,'WBS2'!$F$27:$F$162,0))),"")</f>
        <v>Không làm được qua link tra cứu – cổng lỗi. invoice.pvssolution.com</v>
      </c>
      <c r="AN93" t="str">
        <f>IFERROR(IF(INDEX('WBS2'!$I$163:$I$298,MATCH($C93,'WBS2'!$F$163:$F$298,0))="","",INDEX('WBS2'!$I$163:$I$298,MATCH($C93,'WBS2'!$F$163:$F$298,0))),"")</f>
        <v>Chưa hoàn thành</v>
      </c>
      <c r="AO93" s="92">
        <f>IFERROR(IF(OR($AN93="Chưa hoàn thành",$AN93="Sẵn sàng"),INDEX('WBS2'!$H$163:$H$298,MATCH($C93,'WBS2'!$F$163:$F$298,0)),""),"")</f>
        <v>46507</v>
      </c>
      <c r="AP93" t="str">
        <f>IFERROR(IF(INDEX('WBS2'!$J$163:$J$298,MATCH($C93,'WBS2'!$F$163:$F$298,0))="","",INDEX('WBS2'!$J$163:$J$298,MATCH($C93,'WBS2'!$F$163:$F$298,0))),"")</f>
        <v>Chưa có thông tin</v>
      </c>
    </row>
    <row r="94" spans="1:42" ht="14.25" hidden="1" customHeight="1" x14ac:dyDescent="0.35">
      <c r="A94" s="82" t="s">
        <v>977</v>
      </c>
      <c r="B94" s="13" t="s">
        <v>266</v>
      </c>
      <c r="C94" s="14" t="s">
        <v>267</v>
      </c>
      <c r="D94" s="13" t="s">
        <v>978</v>
      </c>
      <c r="E94" s="18" t="s">
        <v>979</v>
      </c>
      <c r="F94" s="20"/>
      <c r="G94" s="20"/>
      <c r="H94" s="35" t="str">
        <f t="shared" si="2"/>
        <v/>
      </c>
      <c r="I94" s="17"/>
      <c r="J94" s="17"/>
      <c r="K94" s="17"/>
      <c r="L94" s="17"/>
      <c r="M94" s="37"/>
      <c r="N94" s="38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1"/>
      <c r="AI94" s="1"/>
      <c r="AJ94" t="str">
        <f>IFERROR(IF(INDEX('WBS2'!$I$2:$I$25,MATCH($C94,'WBS2'!$F$2:$F$25,0))="","",INDEX('WBS2'!$I$2:$I$25,MATCH($C94,'WBS2'!$F$2:$F$25,0))),"")</f>
        <v/>
      </c>
      <c r="AK94" t="str">
        <f>IFERROR(IF(INDEX('WBS2'!$I$27:$I$162,MATCH($C94,'WBS2'!$F$27:$F$162,0))="","",INDEX('WBS2'!$I$27:$I$162,MATCH($C94,'WBS2'!$F$27:$F$162,0))),"")</f>
        <v>Chưa hoàn thành</v>
      </c>
      <c r="AL94" s="92">
        <f>IFERROR(IF(OR($AK94="Chưa hoàn thành",$AK94="Sẵn sàng"),INDEX('WBS2'!$H$27:$H$162,MATCH($C94,'WBS2'!$F$27:$F$162,0)),""),"")</f>
        <v>46507</v>
      </c>
      <c r="AM94" t="str">
        <f>IFERROR(IF(INDEX('WBS2'!$J$27:$J$162,MATCH($C94,'WBS2'!$F$27:$F$162,0))="","",INDEX('WBS2'!$J$27:$J$162,MATCH($C94,'WBS2'!$F$27:$F$162,0))),"")</f>
        <v>Chưa làm</v>
      </c>
      <c r="AN94" t="str">
        <f>IFERROR(IF(INDEX('WBS2'!$I$163:$I$298,MATCH($C94,'WBS2'!$F$163:$F$298,0))="","",INDEX('WBS2'!$I$163:$I$298,MATCH($C94,'WBS2'!$F$163:$F$298,0))),"")</f>
        <v>Chưa hoàn thành</v>
      </c>
      <c r="AO94" s="92">
        <f>IFERROR(IF(OR($AN94="Chưa hoàn thành",$AN94="Sẵn sàng"),INDEX('WBS2'!$H$163:$H$298,MATCH($C94,'WBS2'!$F$163:$F$298,0)),""),"")</f>
        <v>46507</v>
      </c>
      <c r="AP94" t="str">
        <f>IFERROR(IF(INDEX('WBS2'!$J$163:$J$298,MATCH($C94,'WBS2'!$F$163:$F$298,0))="","",INDEX('WBS2'!$J$163:$J$298,MATCH($C94,'WBS2'!$F$163:$F$298,0))),"")</f>
        <v>Chưa có thông tin</v>
      </c>
    </row>
    <row r="95" spans="1:42" ht="14.25" hidden="1" customHeight="1" x14ac:dyDescent="0.35">
      <c r="A95" s="13">
        <v>94</v>
      </c>
      <c r="B95" s="13" t="s">
        <v>268</v>
      </c>
      <c r="C95" s="14" t="s">
        <v>269</v>
      </c>
      <c r="D95" s="13" t="s">
        <v>980</v>
      </c>
      <c r="E95" s="18" t="s">
        <v>981</v>
      </c>
      <c r="F95" s="20" t="s">
        <v>577</v>
      </c>
      <c r="G95" s="20"/>
      <c r="H95" s="35" t="str">
        <f t="shared" si="2"/>
        <v/>
      </c>
      <c r="I95" s="17"/>
      <c r="J95" s="17"/>
      <c r="K95" s="17"/>
      <c r="L95" s="17"/>
      <c r="M95" s="37"/>
      <c r="N95" s="38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1"/>
      <c r="AI95" s="1"/>
      <c r="AJ95" t="str">
        <f>IFERROR(IF(INDEX('WBS2'!$I$2:$I$25,MATCH($C95,'WBS2'!$F$2:$F$25,0))="","",INDEX('WBS2'!$I$2:$I$25,MATCH($C95,'WBS2'!$F$2:$F$25,0))),"")</f>
        <v/>
      </c>
      <c r="AK95" t="str">
        <f>IFERROR(IF(INDEX('WBS2'!$I$27:$I$162,MATCH($C95,'WBS2'!$F$27:$F$162,0))="","",INDEX('WBS2'!$I$27:$I$162,MATCH($C95,'WBS2'!$F$27:$F$162,0))),"")</f>
        <v>Chưa hoàn thành</v>
      </c>
      <c r="AL95" s="92">
        <f>IFERROR(IF(OR($AK95="Chưa hoàn thành",$AK95="Sẵn sàng"),INDEX('WBS2'!$H$27:$H$162,MATCH($C95,'WBS2'!$F$27:$F$162,0)),""),"")</f>
        <v>46507</v>
      </c>
      <c r="AM95" t="str">
        <f>IFERROR(IF(INDEX('WBS2'!$J$27:$J$162,MATCH($C95,'WBS2'!$F$27:$F$162,0))="","",INDEX('WBS2'!$J$27:$J$162,MATCH($C95,'WBS2'!$F$27:$F$162,0))),"")</f>
        <v>Chưa làm</v>
      </c>
      <c r="AN95" t="str">
        <f>IFERROR(IF(INDEX('WBS2'!$I$163:$I$298,MATCH($C95,'WBS2'!$F$163:$F$298,0))="","",INDEX('WBS2'!$I$163:$I$298,MATCH($C95,'WBS2'!$F$163:$F$298,0))),"")</f>
        <v>Chưa hoàn thành</v>
      </c>
      <c r="AO95" s="92">
        <f>IFERROR(IF(OR($AN95="Chưa hoàn thành",$AN95="Sẵn sàng"),INDEX('WBS2'!$H$163:$H$298,MATCH($C95,'WBS2'!$F$163:$F$298,0)),""),"")</f>
        <v>46507</v>
      </c>
      <c r="AP95" t="str">
        <f>IFERROR(IF(INDEX('WBS2'!$J$163:$J$298,MATCH($C95,'WBS2'!$F$163:$F$298,0))="","",INDEX('WBS2'!$J$163:$J$298,MATCH($C95,'WBS2'!$F$163:$F$298,0))),"")</f>
        <v>Chưa có thông tin</v>
      </c>
    </row>
    <row r="96" spans="1:42" ht="14.25" hidden="1" customHeight="1" x14ac:dyDescent="0.35">
      <c r="A96" s="13">
        <v>95</v>
      </c>
      <c r="B96" s="13" t="s">
        <v>270</v>
      </c>
      <c r="C96" s="14" t="s">
        <v>271</v>
      </c>
      <c r="D96" s="13" t="s">
        <v>982</v>
      </c>
      <c r="E96" s="18" t="s">
        <v>983</v>
      </c>
      <c r="F96" s="20" t="s">
        <v>381</v>
      </c>
      <c r="G96" s="63" t="s">
        <v>984</v>
      </c>
      <c r="H96" s="35" t="str">
        <f t="shared" si="2"/>
        <v>Mã tra cứu</v>
      </c>
      <c r="I96" s="17"/>
      <c r="J96" s="17"/>
      <c r="K96" s="17"/>
      <c r="L96" s="17"/>
      <c r="M96" s="37"/>
      <c r="N96" s="38" t="s">
        <v>407</v>
      </c>
      <c r="O96" s="39" t="s">
        <v>509</v>
      </c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>
        <v>1</v>
      </c>
      <c r="AD96" s="16" t="s">
        <v>510</v>
      </c>
      <c r="AE96" s="16" t="s">
        <v>985</v>
      </c>
      <c r="AF96" s="16" t="s">
        <v>986</v>
      </c>
      <c r="AG96" s="16" t="s">
        <v>984</v>
      </c>
      <c r="AH96" s="1"/>
      <c r="AI96" s="1"/>
      <c r="AJ96" t="str">
        <f>IFERROR(IF(INDEX('WBS2'!$I$2:$I$25,MATCH($C96,'WBS2'!$F$2:$F$25,0))="","",INDEX('WBS2'!$I$2:$I$25,MATCH($C96,'WBS2'!$F$2:$F$25,0))),"")</f>
        <v/>
      </c>
      <c r="AK96" t="str">
        <f>IFERROR(IF(INDEX('WBS2'!$I$27:$I$162,MATCH($C96,'WBS2'!$F$27:$F$162,0))="","",INDEX('WBS2'!$I$27:$I$162,MATCH($C96,'WBS2'!$F$27:$F$162,0))),"")</f>
        <v>Sẵn sàng</v>
      </c>
      <c r="AL96" s="92">
        <f>IFERROR(IF(OR($AK96="Chưa hoàn thành",$AK96="Sẵn sàng"),INDEX('WBS2'!$H$27:$H$162,MATCH($C96,'WBS2'!$F$27:$F$162,0)),""),"")</f>
        <v>46387</v>
      </c>
      <c r="AM96" t="str">
        <f>IFERROR(IF(INDEX('WBS2'!$J$27:$J$162,MATCH($C96,'WBS2'!$F$27:$F$162,0))="","",INDEX('WBS2'!$J$27:$J$162,MATCH($C96,'WBS2'!$F$27:$F$162,0))),"")</f>
        <v/>
      </c>
      <c r="AN96" t="str">
        <f>IFERROR(IF(INDEX('WBS2'!$I$163:$I$298,MATCH($C96,'WBS2'!$F$163:$F$298,0))="","",INDEX('WBS2'!$I$163:$I$298,MATCH($C96,'WBS2'!$F$163:$F$298,0))),"")</f>
        <v>Sẵn sàng</v>
      </c>
      <c r="AO96" s="92">
        <f>IFERROR(IF(OR($AN96="Chưa hoàn thành",$AN96="Sẵn sàng"),INDEX('WBS2'!$H$163:$H$298,MATCH($C96,'WBS2'!$F$163:$F$298,0)),""),"")</f>
        <v>46387</v>
      </c>
      <c r="AP96" t="str">
        <f>IFERROR(IF(INDEX('WBS2'!$J$163:$J$298,MATCH($C96,'WBS2'!$F$163:$F$298,0))="","",INDEX('WBS2'!$J$163:$J$298,MATCH($C96,'WBS2'!$F$163:$F$298,0))),"")</f>
        <v/>
      </c>
    </row>
    <row r="97" spans="1:42" ht="14.25" hidden="1" customHeight="1" x14ac:dyDescent="0.35">
      <c r="A97" s="13">
        <v>96</v>
      </c>
      <c r="B97" s="28" t="s">
        <v>272</v>
      </c>
      <c r="C97" s="14" t="s">
        <v>273</v>
      </c>
      <c r="D97" s="13" t="s">
        <v>987</v>
      </c>
      <c r="E97" s="18" t="s">
        <v>988</v>
      </c>
      <c r="F97" s="20" t="s">
        <v>577</v>
      </c>
      <c r="G97" s="66" t="s">
        <v>989</v>
      </c>
      <c r="H97" s="35" t="str">
        <f t="shared" si="2"/>
        <v/>
      </c>
      <c r="I97" s="17"/>
      <c r="J97" s="17"/>
      <c r="K97" s="17"/>
      <c r="L97" s="17"/>
      <c r="M97" s="37"/>
      <c r="N97" s="38" t="s">
        <v>410</v>
      </c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16"/>
      <c r="AE97" s="16"/>
      <c r="AF97" s="16" t="s">
        <v>990</v>
      </c>
      <c r="AG97" s="16" t="s">
        <v>989</v>
      </c>
      <c r="AH97" s="1"/>
      <c r="AI97" s="1"/>
      <c r="AJ97" t="str">
        <f>IFERROR(IF(INDEX('WBS2'!$I$2:$I$25,MATCH($C97,'WBS2'!$F$2:$F$25,0))="","",INDEX('WBS2'!$I$2:$I$25,MATCH($C97,'WBS2'!$F$2:$F$25,0))),"")</f>
        <v/>
      </c>
      <c r="AK97" t="str">
        <f>IFERROR(IF(INDEX('WBS2'!$I$27:$I$162,MATCH($C97,'WBS2'!$F$27:$F$162,0))="","",INDEX('WBS2'!$I$27:$I$162,MATCH($C97,'WBS2'!$F$27:$F$162,0))),"")</f>
        <v>Chưa hoàn thành</v>
      </c>
      <c r="AL97" s="92">
        <f>IFERROR(IF(OR($AK97="Chưa hoàn thành",$AK97="Sẵn sàng"),INDEX('WBS2'!$H$27:$H$162,MATCH($C97,'WBS2'!$F$27:$F$162,0)),""),"")</f>
        <v>46507</v>
      </c>
      <c r="AM97" t="str">
        <f>IFERROR(IF(INDEX('WBS2'!$J$27:$J$162,MATCH($C97,'WBS2'!$F$27:$F$162,0))="","",INDEX('WBS2'!$J$27:$J$162,MATCH($C97,'WBS2'!$F$27:$F$162,0))),"")</f>
        <v>Không làm được qua link tra cứu – cổng lỗi. tracuu.kaike.vn</v>
      </c>
      <c r="AN97" t="str">
        <f>IFERROR(IF(INDEX('WBS2'!$I$163:$I$298,MATCH($C97,'WBS2'!$F$163:$F$298,0))="","",INDEX('WBS2'!$I$163:$I$298,MATCH($C97,'WBS2'!$F$163:$F$298,0))),"")</f>
        <v>Chưa hoàn thành</v>
      </c>
      <c r="AO97" s="92">
        <f>IFERROR(IF(OR($AN97="Chưa hoàn thành",$AN97="Sẵn sàng"),INDEX('WBS2'!$H$163:$H$298,MATCH($C97,'WBS2'!$F$163:$F$298,0)),""),"")</f>
        <v>46507</v>
      </c>
      <c r="AP97" t="str">
        <f>IFERROR(IF(INDEX('WBS2'!$J$163:$J$298,MATCH($C97,'WBS2'!$F$163:$F$298,0))="","",INDEX('WBS2'!$J$163:$J$298,MATCH($C97,'WBS2'!$F$163:$F$298,0))),"")</f>
        <v>Chưa có thông tin</v>
      </c>
    </row>
    <row r="98" spans="1:42" ht="14.25" hidden="1" customHeight="1" x14ac:dyDescent="0.35">
      <c r="A98" s="13">
        <v>97</v>
      </c>
      <c r="B98" s="13" t="s">
        <v>275</v>
      </c>
      <c r="C98" s="14" t="s">
        <v>276</v>
      </c>
      <c r="D98" s="13" t="s">
        <v>991</v>
      </c>
      <c r="E98" s="18" t="s">
        <v>992</v>
      </c>
      <c r="F98" s="20" t="s">
        <v>381</v>
      </c>
      <c r="G98" s="20" t="s">
        <v>993</v>
      </c>
      <c r="H98" s="35" t="str">
        <f t="shared" ref="H98:H129" si="3">IF(N98&lt;&gt;"OK","",IF(IF(O98="✓","Mã tra cứu|","")&amp;IF(P98="✓","MST người bán|","")&amp;IF(Q98="✓","MST người mua|","")&amp;IF(R98="✓","Mẫu số / Ký hiệu|","")&amp;IF(S98="✓","Số HĐ|","")&amp;IF(T98="✓","Ngày lập|","")&amp;IF(U98="✓","Tổng tiền|","")&amp;IF(V98="✓","Mã CQT|","")&amp;IF(W98="✓","Upload XML|","")&amp;IF(X98="✓","Captcha ảnh|","")&amp;IF(Y98="✓","Captcha dạng tích|","")&amp;IF(Z98="✓","Captcha khác (slider/hình)|","")&amp;IF(AA98="✓","Đăng nhập|","")&amp;IF(AB98="✓","Email/SĐT/OTP|","")="","(không có tham số)",SUBSTITUTE(LEFT(IF(O98="✓","Mã tra cứu|","")&amp;IF(P98="✓","MST người bán|","")&amp;IF(Q98="✓","MST người mua|","")&amp;IF(R98="✓","Mẫu số / Ký hiệu|","")&amp;IF(S98="✓","Số HĐ|","")&amp;IF(T98="✓","Ngày lập|","")&amp;IF(U98="✓","Tổng tiền|","")&amp;IF(V98="✓","Mã CQT|","")&amp;IF(W98="✓","Upload XML|","")&amp;IF(X98="✓","Captcha ảnh|","")&amp;IF(Y98="✓","Captcha dạng tích|","")&amp;IF(Z98="✓","Captcha khác (slider/hình)|","")&amp;IF(AA98="✓","Đăng nhập|","")&amp;IF(AB98="✓","Email/SĐT/OTP|",""),LEN(IF(O98="✓","Mã tra cứu|","")&amp;IF(P98="✓","MST người bán|","")&amp;IF(Q98="✓","MST người mua|","")&amp;IF(R98="✓","Mẫu số / Ký hiệu|","")&amp;IF(S98="✓","Số HĐ|","")&amp;IF(T98="✓","Ngày lập|","")&amp;IF(U98="✓","Tổng tiền|","")&amp;IF(V98="✓","Mã CQT|","")&amp;IF(W98="✓","Upload XML|","")&amp;IF(X98="✓","Captcha ảnh|","")&amp;IF(Y98="✓","Captcha dạng tích|","")&amp;IF(Z98="✓","Captcha khác (slider/hình)|","")&amp;IF(AA98="✓","Đăng nhập|","")&amp;IF(AB98="✓","Email/SĐT/OTP|",""))-1),"|"," + ")))</f>
        <v>Mã tra cứu + MST người bán</v>
      </c>
      <c r="I98" s="17"/>
      <c r="J98" s="17"/>
      <c r="K98" s="17"/>
      <c r="L98" s="17"/>
      <c r="M98" s="37"/>
      <c r="N98" s="38" t="s">
        <v>407</v>
      </c>
      <c r="O98" s="39" t="s">
        <v>509</v>
      </c>
      <c r="P98" s="39" t="s">
        <v>509</v>
      </c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>
        <v>2</v>
      </c>
      <c r="AD98" s="16" t="s">
        <v>510</v>
      </c>
      <c r="AE98" s="16" t="s">
        <v>994</v>
      </c>
      <c r="AF98" s="16" t="s">
        <v>995</v>
      </c>
      <c r="AG98" s="16" t="s">
        <v>993</v>
      </c>
      <c r="AH98" s="1"/>
      <c r="AI98" s="1"/>
      <c r="AJ98" t="str">
        <f>IFERROR(IF(INDEX('WBS2'!$I$2:$I$25,MATCH($C98,'WBS2'!$F$2:$F$25,0))="","",INDEX('WBS2'!$I$2:$I$25,MATCH($C98,'WBS2'!$F$2:$F$25,0))),"")</f>
        <v/>
      </c>
      <c r="AK98" t="str">
        <f>IFERROR(IF(INDEX('WBS2'!$I$27:$I$162,MATCH($C98,'WBS2'!$F$27:$F$162,0))="","",INDEX('WBS2'!$I$27:$I$162,MATCH($C98,'WBS2'!$F$27:$F$162,0))),"")</f>
        <v>Sẵn sàng</v>
      </c>
      <c r="AL98" s="92">
        <f>IFERROR(IF(OR($AK98="Chưa hoàn thành",$AK98="Sẵn sàng"),INDEX('WBS2'!$H$27:$H$162,MATCH($C98,'WBS2'!$F$27:$F$162,0)),""),"")</f>
        <v>46387</v>
      </c>
      <c r="AM98" t="str">
        <f>IFERROR(IF(INDEX('WBS2'!$J$27:$J$162,MATCH($C98,'WBS2'!$F$27:$F$162,0))="","",INDEX('WBS2'!$J$27:$J$162,MATCH($C98,'WBS2'!$F$27:$F$162,0))),"")</f>
        <v/>
      </c>
      <c r="AN98" t="str">
        <f>IFERROR(IF(INDEX('WBS2'!$I$163:$I$298,MATCH($C98,'WBS2'!$F$163:$F$298,0))="","",INDEX('WBS2'!$I$163:$I$298,MATCH($C98,'WBS2'!$F$163:$F$298,0))),"")</f>
        <v>Sẵn sàng</v>
      </c>
      <c r="AO98" s="92">
        <f>IFERROR(IF(OR($AN98="Chưa hoàn thành",$AN98="Sẵn sàng"),INDEX('WBS2'!$H$163:$H$298,MATCH($C98,'WBS2'!$F$163:$F$298,0)),""),"")</f>
        <v>46387</v>
      </c>
      <c r="AP98" t="str">
        <f>IFERROR(IF(INDEX('WBS2'!$J$163:$J$298,MATCH($C98,'WBS2'!$F$163:$F$298,0))="","",INDEX('WBS2'!$J$163:$J$298,MATCH($C98,'WBS2'!$F$163:$F$298,0))),"")</f>
        <v/>
      </c>
    </row>
    <row r="99" spans="1:42" ht="14.25" hidden="1" customHeight="1" x14ac:dyDescent="0.35">
      <c r="A99" s="13">
        <v>98</v>
      </c>
      <c r="B99" s="13" t="s">
        <v>277</v>
      </c>
      <c r="C99" s="14" t="s">
        <v>278</v>
      </c>
      <c r="D99" s="13" t="s">
        <v>996</v>
      </c>
      <c r="E99" s="18" t="s">
        <v>997</v>
      </c>
      <c r="F99" s="20" t="s">
        <v>383</v>
      </c>
      <c r="G99" s="23" t="s">
        <v>998</v>
      </c>
      <c r="H99" s="35" t="str">
        <f t="shared" si="3"/>
        <v>Mã tra cứu + Captcha dạng tích</v>
      </c>
      <c r="I99" s="17"/>
      <c r="J99" s="17"/>
      <c r="K99" s="17"/>
      <c r="L99" s="17"/>
      <c r="M99" s="37"/>
      <c r="N99" s="38" t="s">
        <v>407</v>
      </c>
      <c r="O99" s="39" t="s">
        <v>509</v>
      </c>
      <c r="P99" s="39"/>
      <c r="Q99" s="39"/>
      <c r="R99" s="39"/>
      <c r="S99" s="39"/>
      <c r="T99" s="39"/>
      <c r="U99" s="39"/>
      <c r="V99" s="39"/>
      <c r="W99" s="39"/>
      <c r="X99" s="39"/>
      <c r="Y99" s="39" t="s">
        <v>509</v>
      </c>
      <c r="Z99" s="39"/>
      <c r="AA99" s="39"/>
      <c r="AB99" s="39"/>
      <c r="AC99" s="39">
        <v>2</v>
      </c>
      <c r="AD99" s="16" t="s">
        <v>999</v>
      </c>
      <c r="AE99" s="16"/>
      <c r="AF99" s="16" t="s">
        <v>1000</v>
      </c>
      <c r="AG99" s="16" t="s">
        <v>998</v>
      </c>
      <c r="AH99" s="1"/>
      <c r="AI99" s="1"/>
      <c r="AJ99" t="str">
        <f>IFERROR(IF(INDEX('WBS2'!$I$2:$I$25,MATCH($C99,'WBS2'!$F$2:$F$25,0))="","",INDEX('WBS2'!$I$2:$I$25,MATCH($C99,'WBS2'!$F$2:$F$25,0))),"")</f>
        <v/>
      </c>
      <c r="AK99" t="str">
        <f>IFERROR(IF(INDEX('WBS2'!$I$27:$I$162,MATCH($C99,'WBS2'!$F$27:$F$162,0))="","",INDEX('WBS2'!$I$27:$I$162,MATCH($C99,'WBS2'!$F$27:$F$162,0))),"")</f>
        <v>Chưa hoàn thành</v>
      </c>
      <c r="AL99" s="92">
        <f>IFERROR(IF(OR($AK99="Chưa hoàn thành",$AK99="Sẵn sàng"),INDEX('WBS2'!$H$27:$H$162,MATCH($C99,'WBS2'!$F$27:$F$162,0)),""),"")</f>
        <v>46507</v>
      </c>
      <c r="AM99" t="str">
        <f>IFERROR(IF(INDEX('WBS2'!$J$27:$J$162,MATCH($C99,'WBS2'!$F$27:$F$162,0))="","",INDEX('WBS2'!$J$27:$J$162,MATCH($C99,'WBS2'!$F$27:$F$162,0))),"")</f>
        <v>Không làm được qua link tra cứu – bị chặn bởi Cloudflare Turnstile, lấy qua mail. tchd.bizzi.vn</v>
      </c>
      <c r="AN99" t="str">
        <f>IFERROR(IF(INDEX('WBS2'!$I$163:$I$298,MATCH($C99,'WBS2'!$F$163:$F$298,0))="","",INDEX('WBS2'!$I$163:$I$298,MATCH($C99,'WBS2'!$F$163:$F$298,0))),"")</f>
        <v>Chưa hoàn thành</v>
      </c>
      <c r="AO99" s="92">
        <f>IFERROR(IF(OR($AN99="Chưa hoàn thành",$AN99="Sẵn sàng"),INDEX('WBS2'!$H$163:$H$298,MATCH($C99,'WBS2'!$F$163:$F$298,0)),""),"")</f>
        <v>46507</v>
      </c>
      <c r="AP99" t="str">
        <f>IFERROR(IF(INDEX('WBS2'!$J$163:$J$298,MATCH($C99,'WBS2'!$F$163:$F$298,0))="","",INDEX('WBS2'!$J$163:$J$298,MATCH($C99,'WBS2'!$F$163:$F$298,0))),"")</f>
        <v>Chưa có thông tin</v>
      </c>
    </row>
    <row r="100" spans="1:42" ht="14.25" hidden="1" customHeight="1" x14ac:dyDescent="0.35">
      <c r="A100" s="13">
        <v>99</v>
      </c>
      <c r="B100" s="13" t="s">
        <v>280</v>
      </c>
      <c r="C100" s="14" t="s">
        <v>281</v>
      </c>
      <c r="D100" s="13" t="s">
        <v>1001</v>
      </c>
      <c r="E100" s="18" t="s">
        <v>1002</v>
      </c>
      <c r="F100" s="20" t="s">
        <v>577</v>
      </c>
      <c r="G100" s="20"/>
      <c r="H100" s="35" t="str">
        <f t="shared" si="3"/>
        <v/>
      </c>
      <c r="I100" s="17"/>
      <c r="J100" s="17"/>
      <c r="K100" s="17"/>
      <c r="L100" s="17"/>
      <c r="M100" s="37"/>
      <c r="N100" s="38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1"/>
      <c r="AI100" s="1"/>
      <c r="AJ100" t="str">
        <f>IFERROR(IF(INDEX('WBS2'!$I$2:$I$25,MATCH($C100,'WBS2'!$F$2:$F$25,0))="","",INDEX('WBS2'!$I$2:$I$25,MATCH($C100,'WBS2'!$F$2:$F$25,0))),"")</f>
        <v/>
      </c>
      <c r="AK100" t="str">
        <f>IFERROR(IF(INDEX('WBS2'!$I$27:$I$162,MATCH($C100,'WBS2'!$F$27:$F$162,0))="","",INDEX('WBS2'!$I$27:$I$162,MATCH($C100,'WBS2'!$F$27:$F$162,0))),"")</f>
        <v>Chưa hoàn thành</v>
      </c>
      <c r="AL100" s="92">
        <f>IFERROR(IF(OR($AK100="Chưa hoàn thành",$AK100="Sẵn sàng"),INDEX('WBS2'!$H$27:$H$162,MATCH($C100,'WBS2'!$F$27:$F$162,0)),""),"")</f>
        <v>46507</v>
      </c>
      <c r="AM100" t="str">
        <f>IFERROR(IF(INDEX('WBS2'!$J$27:$J$162,MATCH($C100,'WBS2'!$F$27:$F$162,0))="","",INDEX('WBS2'!$J$27:$J$162,MATCH($C100,'WBS2'!$F$27:$F$162,0))),"")</f>
        <v>Chưa làm – danh sách chưa có link tra cứu, chưa có HĐ thật</v>
      </c>
      <c r="AN100" t="str">
        <f>IFERROR(IF(INDEX('WBS2'!$I$163:$I$298,MATCH($C100,'WBS2'!$F$163:$F$298,0))="","",INDEX('WBS2'!$I$163:$I$298,MATCH($C100,'WBS2'!$F$163:$F$298,0))),"")</f>
        <v>Chưa hoàn thành</v>
      </c>
      <c r="AO100" s="92">
        <f>IFERROR(IF(OR($AN100="Chưa hoàn thành",$AN100="Sẵn sàng"),INDEX('WBS2'!$H$163:$H$298,MATCH($C100,'WBS2'!$F$163:$F$298,0)),""),"")</f>
        <v>46507</v>
      </c>
      <c r="AP100" t="str">
        <f>IFERROR(IF(INDEX('WBS2'!$J$163:$J$298,MATCH($C100,'WBS2'!$F$163:$F$298,0))="","",INDEX('WBS2'!$J$163:$J$298,MATCH($C100,'WBS2'!$F$163:$F$298,0))),"")</f>
        <v>Chưa có thông tin</v>
      </c>
    </row>
    <row r="101" spans="1:42" ht="14.25" hidden="1" customHeight="1" x14ac:dyDescent="0.35">
      <c r="A101" s="13">
        <v>100</v>
      </c>
      <c r="B101" s="13" t="s">
        <v>282</v>
      </c>
      <c r="C101" s="14" t="s">
        <v>283</v>
      </c>
      <c r="D101" s="13" t="s">
        <v>1003</v>
      </c>
      <c r="E101" s="18" t="s">
        <v>1004</v>
      </c>
      <c r="F101" s="20" t="s">
        <v>577</v>
      </c>
      <c r="G101" s="20"/>
      <c r="H101" s="35" t="str">
        <f t="shared" si="3"/>
        <v/>
      </c>
      <c r="I101" s="17"/>
      <c r="J101" s="17"/>
      <c r="K101" s="17"/>
      <c r="L101" s="17"/>
      <c r="M101" s="37"/>
      <c r="N101" s="38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1"/>
      <c r="AI101" s="1"/>
      <c r="AJ101" t="str">
        <f>IFERROR(IF(INDEX('WBS2'!$I$2:$I$25,MATCH($C101,'WBS2'!$F$2:$F$25,0))="","",INDEX('WBS2'!$I$2:$I$25,MATCH($C101,'WBS2'!$F$2:$F$25,0))),"")</f>
        <v/>
      </c>
      <c r="AK101" t="str">
        <f>IFERROR(IF(INDEX('WBS2'!$I$27:$I$162,MATCH($C101,'WBS2'!$F$27:$F$162,0))="","",INDEX('WBS2'!$I$27:$I$162,MATCH($C101,'WBS2'!$F$27:$F$162,0))),"")</f>
        <v>Chưa hoàn thành</v>
      </c>
      <c r="AL101" s="92">
        <f>IFERROR(IF(OR($AK101="Chưa hoàn thành",$AK101="Sẵn sàng"),INDEX('WBS2'!$H$27:$H$162,MATCH($C101,'WBS2'!$F$27:$F$162,0)),""),"")</f>
        <v>46507</v>
      </c>
      <c r="AM101" t="str">
        <f>IFERROR(IF(INDEX('WBS2'!$J$27:$J$162,MATCH($C101,'WBS2'!$F$27:$F$162,0))="","",INDEX('WBS2'!$J$27:$J$162,MATCH($C101,'WBS2'!$F$27:$F$162,0))),"")</f>
        <v>Chưa làm – danh sách chưa có link tra cứu, chưa có HĐ thật</v>
      </c>
      <c r="AN101" t="str">
        <f>IFERROR(IF(INDEX('WBS2'!$I$163:$I$298,MATCH($C101,'WBS2'!$F$163:$F$298,0))="","",INDEX('WBS2'!$I$163:$I$298,MATCH($C101,'WBS2'!$F$163:$F$298,0))),"")</f>
        <v>Chưa hoàn thành</v>
      </c>
      <c r="AO101" s="92">
        <f>IFERROR(IF(OR($AN101="Chưa hoàn thành",$AN101="Sẵn sàng"),INDEX('WBS2'!$H$163:$H$298,MATCH($C101,'WBS2'!$F$163:$F$298,0)),""),"")</f>
        <v>46507</v>
      </c>
      <c r="AP101" t="str">
        <f>IFERROR(IF(INDEX('WBS2'!$J$163:$J$298,MATCH($C101,'WBS2'!$F$163:$F$298,0))="","",INDEX('WBS2'!$J$163:$J$298,MATCH($C101,'WBS2'!$F$163:$F$298,0))),"")</f>
        <v>Chưa có thông tin</v>
      </c>
    </row>
    <row r="102" spans="1:42" ht="14.25" hidden="1" customHeight="1" x14ac:dyDescent="0.35">
      <c r="A102" s="13">
        <v>101</v>
      </c>
      <c r="B102" s="13" t="s">
        <v>284</v>
      </c>
      <c r="C102" s="14" t="s">
        <v>285</v>
      </c>
      <c r="D102" s="13" t="s">
        <v>1005</v>
      </c>
      <c r="E102" s="18" t="s">
        <v>1006</v>
      </c>
      <c r="F102" s="20" t="s">
        <v>381</v>
      </c>
      <c r="G102" s="23" t="s">
        <v>1007</v>
      </c>
      <c r="H102" s="35" t="str">
        <f t="shared" si="3"/>
        <v>Mã tra cứu</v>
      </c>
      <c r="I102" s="17"/>
      <c r="J102" s="17"/>
      <c r="K102" s="17"/>
      <c r="L102" s="17"/>
      <c r="M102" s="37"/>
      <c r="N102" s="38" t="s">
        <v>407</v>
      </c>
      <c r="O102" s="39" t="s">
        <v>509</v>
      </c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>
        <v>1</v>
      </c>
      <c r="AD102" s="16" t="s">
        <v>510</v>
      </c>
      <c r="AE102" s="16"/>
      <c r="AF102" s="16" t="s">
        <v>1008</v>
      </c>
      <c r="AG102" s="16" t="s">
        <v>1007</v>
      </c>
      <c r="AH102" s="1"/>
      <c r="AI102" s="1"/>
      <c r="AJ102" t="str">
        <f>IFERROR(IF(INDEX('WBS2'!$I$2:$I$25,MATCH($C102,'WBS2'!$F$2:$F$25,0))="","",INDEX('WBS2'!$I$2:$I$25,MATCH($C102,'WBS2'!$F$2:$F$25,0))),"")</f>
        <v/>
      </c>
      <c r="AK102" t="str">
        <f>IFERROR(IF(INDEX('WBS2'!$I$27:$I$162,MATCH($C102,'WBS2'!$F$27:$F$162,0))="","",INDEX('WBS2'!$I$27:$I$162,MATCH($C102,'WBS2'!$F$27:$F$162,0))),"")</f>
        <v>Sẵn sàng</v>
      </c>
      <c r="AL102" s="92">
        <f>IFERROR(IF(OR($AK102="Chưa hoàn thành",$AK102="Sẵn sàng"),INDEX('WBS2'!$H$27:$H$162,MATCH($C102,'WBS2'!$F$27:$F$162,0)),""),"")</f>
        <v>46387</v>
      </c>
      <c r="AM102" t="str">
        <f>IFERROR(IF(INDEX('WBS2'!$J$27:$J$162,MATCH($C102,'WBS2'!$F$27:$F$162,0))="","",INDEX('WBS2'!$J$27:$J$162,MATCH($C102,'WBS2'!$F$27:$F$162,0))),"")</f>
        <v/>
      </c>
      <c r="AN102" t="str">
        <f>IFERROR(IF(INDEX('WBS2'!$I$163:$I$298,MATCH($C102,'WBS2'!$F$163:$F$298,0))="","",INDEX('WBS2'!$I$163:$I$298,MATCH($C102,'WBS2'!$F$163:$F$298,0))),"")</f>
        <v>Sẵn sàng</v>
      </c>
      <c r="AO102" s="92">
        <f>IFERROR(IF(OR($AN102="Chưa hoàn thành",$AN102="Sẵn sàng"),INDEX('WBS2'!$H$163:$H$298,MATCH($C102,'WBS2'!$F$163:$F$298,0)),""),"")</f>
        <v>46387</v>
      </c>
      <c r="AP102" t="str">
        <f>IFERROR(IF(INDEX('WBS2'!$J$163:$J$298,MATCH($C102,'WBS2'!$F$163:$F$298,0))="","",INDEX('WBS2'!$J$163:$J$298,MATCH($C102,'WBS2'!$F$163:$F$298,0))),"")</f>
        <v/>
      </c>
    </row>
    <row r="103" spans="1:42" ht="14.25" hidden="1" customHeight="1" x14ac:dyDescent="0.35">
      <c r="A103" s="13">
        <v>102</v>
      </c>
      <c r="B103" s="28" t="s">
        <v>286</v>
      </c>
      <c r="C103" s="14" t="s">
        <v>287</v>
      </c>
      <c r="D103" s="13" t="s">
        <v>1009</v>
      </c>
      <c r="E103" s="18" t="s">
        <v>1010</v>
      </c>
      <c r="F103" s="20" t="s">
        <v>577</v>
      </c>
      <c r="G103" s="66" t="s">
        <v>1011</v>
      </c>
      <c r="H103" s="35" t="str">
        <f t="shared" si="3"/>
        <v>Mã tra cứu</v>
      </c>
      <c r="I103" s="17"/>
      <c r="J103" s="17"/>
      <c r="K103" s="17"/>
      <c r="L103" s="17"/>
      <c r="M103" s="37"/>
      <c r="N103" s="38" t="s">
        <v>407</v>
      </c>
      <c r="O103" s="39" t="s">
        <v>509</v>
      </c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>
        <v>1</v>
      </c>
      <c r="AD103" s="16" t="s">
        <v>510</v>
      </c>
      <c r="AE103" s="16"/>
      <c r="AF103" s="16" t="s">
        <v>1008</v>
      </c>
      <c r="AG103" s="16" t="s">
        <v>1011</v>
      </c>
      <c r="AH103" s="1"/>
      <c r="AI103" s="1"/>
      <c r="AJ103" t="str">
        <f>IFERROR(IF(INDEX('WBS2'!$I$2:$I$25,MATCH($C103,'WBS2'!$F$2:$F$25,0))="","",INDEX('WBS2'!$I$2:$I$25,MATCH($C103,'WBS2'!$F$2:$F$25,0))),"")</f>
        <v/>
      </c>
      <c r="AK103" t="str">
        <f>IFERROR(IF(INDEX('WBS2'!$I$27:$I$162,MATCH($C103,'WBS2'!$F$27:$F$162,0))="","",INDEX('WBS2'!$I$27:$I$162,MATCH($C103,'WBS2'!$F$27:$F$162,0))),"")</f>
        <v>Sẵn sàng</v>
      </c>
      <c r="AL103" s="92">
        <f>IFERROR(IF(OR($AK103="Chưa hoàn thành",$AK103="Sẵn sàng"),INDEX('WBS2'!$H$27:$H$162,MATCH($C103,'WBS2'!$F$27:$F$162,0)),""),"")</f>
        <v>46387</v>
      </c>
      <c r="AM103" t="str">
        <f>IFERROR(IF(INDEX('WBS2'!$J$27:$J$162,MATCH($C103,'WBS2'!$F$27:$F$162,0))="","",INDEX('WBS2'!$J$27:$J$162,MATCH($C103,'WBS2'!$F$27:$F$162,0))),"")</f>
        <v/>
      </c>
      <c r="AN103" t="str">
        <f>IFERROR(IF(INDEX('WBS2'!$I$163:$I$298,MATCH($C103,'WBS2'!$F$163:$F$298,0))="","",INDEX('WBS2'!$I$163:$I$298,MATCH($C103,'WBS2'!$F$163:$F$298,0))),"")</f>
        <v>Sẵn sàng</v>
      </c>
      <c r="AO103" s="92">
        <f>IFERROR(IF(OR($AN103="Chưa hoàn thành",$AN103="Sẵn sàng"),INDEX('WBS2'!$H$163:$H$298,MATCH($C103,'WBS2'!$F$163:$F$298,0)),""),"")</f>
        <v>46387</v>
      </c>
      <c r="AP103" t="str">
        <f>IFERROR(IF(INDEX('WBS2'!$J$163:$J$298,MATCH($C103,'WBS2'!$F$163:$F$298,0))="","",INDEX('WBS2'!$J$163:$J$298,MATCH($C103,'WBS2'!$F$163:$F$298,0))),"")</f>
        <v/>
      </c>
    </row>
    <row r="104" spans="1:42" ht="14.25" hidden="1" customHeight="1" x14ac:dyDescent="0.35">
      <c r="A104" s="13">
        <v>103</v>
      </c>
      <c r="B104" s="70" t="s">
        <v>288</v>
      </c>
      <c r="C104" s="14" t="s">
        <v>289</v>
      </c>
      <c r="D104" s="70" t="s">
        <v>1012</v>
      </c>
      <c r="E104" s="18" t="s">
        <v>1013</v>
      </c>
      <c r="F104" s="20" t="s">
        <v>381</v>
      </c>
      <c r="G104" s="23" t="s">
        <v>1014</v>
      </c>
      <c r="H104" s="35" t="str">
        <f t="shared" si="3"/>
        <v>Mã tra cứu</v>
      </c>
      <c r="I104" s="17"/>
      <c r="J104" s="17"/>
      <c r="K104" s="17"/>
      <c r="L104" s="17"/>
      <c r="M104" s="37"/>
      <c r="N104" s="38" t="s">
        <v>407</v>
      </c>
      <c r="O104" s="39" t="s">
        <v>509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>
        <v>1</v>
      </c>
      <c r="AD104" s="16" t="s">
        <v>510</v>
      </c>
      <c r="AE104" s="16"/>
      <c r="AF104" s="16" t="s">
        <v>1015</v>
      </c>
      <c r="AG104" s="16" t="s">
        <v>1014</v>
      </c>
      <c r="AH104" s="1"/>
      <c r="AI104" s="1"/>
      <c r="AJ104" t="str">
        <f>IFERROR(IF(INDEX('WBS2'!$I$2:$I$25,MATCH($C104,'WBS2'!$F$2:$F$25,0))="","",INDEX('WBS2'!$I$2:$I$25,MATCH($C104,'WBS2'!$F$2:$F$25,0))),"")</f>
        <v/>
      </c>
      <c r="AK104" t="str">
        <f>IFERROR(IF(INDEX('WBS2'!$I$27:$I$162,MATCH($C104,'WBS2'!$F$27:$F$162,0))="","",INDEX('WBS2'!$I$27:$I$162,MATCH($C104,'WBS2'!$F$27:$F$162,0))),"")</f>
        <v>Hoàn thành</v>
      </c>
      <c r="AL104" s="92" t="str">
        <f>IFERROR(IF(OR($AK104="Chưa hoàn thành",$AK104="Sẵn sàng"),INDEX('WBS2'!$H$27:$H$162,MATCH($C104,'WBS2'!$F$27:$F$162,0)),""),"")</f>
        <v/>
      </c>
      <c r="AM104" t="str">
        <f>IFERROR(IF(INDEX('WBS2'!$J$27:$J$162,MATCH($C104,'WBS2'!$F$27:$F$162,0))="","",INDEX('WBS2'!$J$27:$J$162,MATCH($C104,'WBS2'!$F$27:$F$162,0))),"")</f>
        <v/>
      </c>
      <c r="AN104" t="str">
        <f>IFERROR(IF(INDEX('WBS2'!$I$163:$I$298,MATCH($C104,'WBS2'!$F$163:$F$298,0))="","",INDEX('WBS2'!$I$163:$I$298,MATCH($C104,'WBS2'!$F$163:$F$298,0))),"")</f>
        <v>Hoàn thành</v>
      </c>
      <c r="AO104" s="92" t="str">
        <f>IFERROR(IF(OR($AN104="Chưa hoàn thành",$AN104="Sẵn sàng"),INDEX('WBS2'!$H$163:$H$298,MATCH($C104,'WBS2'!$F$163:$F$298,0)),""),"")</f>
        <v/>
      </c>
      <c r="AP104" t="str">
        <f>IFERROR(IF(INDEX('WBS2'!$J$163:$J$298,MATCH($C104,'WBS2'!$F$163:$F$298,0))="","",INDEX('WBS2'!$J$163:$J$298,MATCH($C104,'WBS2'!$F$163:$F$298,0))),"")</f>
        <v/>
      </c>
    </row>
    <row r="105" spans="1:42" ht="14.25" hidden="1" customHeight="1" x14ac:dyDescent="0.35">
      <c r="A105" s="13">
        <v>104</v>
      </c>
      <c r="B105" s="70" t="s">
        <v>290</v>
      </c>
      <c r="C105" s="14" t="s">
        <v>291</v>
      </c>
      <c r="D105" s="70" t="s">
        <v>1016</v>
      </c>
      <c r="E105" s="18" t="s">
        <v>1017</v>
      </c>
      <c r="F105" s="20" t="s">
        <v>381</v>
      </c>
      <c r="G105" s="23" t="s">
        <v>1018</v>
      </c>
      <c r="H105" s="35" t="str">
        <f t="shared" si="3"/>
        <v>Mã tra cứu + MST người bán</v>
      </c>
      <c r="I105" s="17"/>
      <c r="J105" s="17"/>
      <c r="K105" s="17"/>
      <c r="L105" s="17"/>
      <c r="M105" s="37"/>
      <c r="N105" s="38" t="s">
        <v>407</v>
      </c>
      <c r="O105" s="39" t="s">
        <v>509</v>
      </c>
      <c r="P105" s="39" t="s">
        <v>509</v>
      </c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>
        <v>2</v>
      </c>
      <c r="AD105" s="16" t="s">
        <v>1019</v>
      </c>
      <c r="AE105" s="16" t="s">
        <v>1020</v>
      </c>
      <c r="AF105" s="16" t="s">
        <v>1021</v>
      </c>
      <c r="AG105" s="16" t="s">
        <v>1018</v>
      </c>
      <c r="AH105" s="1"/>
      <c r="AI105" s="1"/>
      <c r="AJ105" t="str">
        <f>IFERROR(IF(INDEX('WBS2'!$I$2:$I$25,MATCH($C105,'WBS2'!$F$2:$F$25,0))="","",INDEX('WBS2'!$I$2:$I$25,MATCH($C105,'WBS2'!$F$2:$F$25,0))),"")</f>
        <v/>
      </c>
      <c r="AK105" t="str">
        <f>IFERROR(IF(INDEX('WBS2'!$I$27:$I$162,MATCH($C105,'WBS2'!$F$27:$F$162,0))="","",INDEX('WBS2'!$I$27:$I$162,MATCH($C105,'WBS2'!$F$27:$F$162,0))),"")</f>
        <v>Chưa hoàn thành</v>
      </c>
      <c r="AL105" s="92">
        <f>IFERROR(IF(OR($AK105="Chưa hoàn thành",$AK105="Sẵn sàng"),INDEX('WBS2'!$H$27:$H$162,MATCH($C105,'WBS2'!$F$27:$F$162,0)),""),"")</f>
        <v>46538</v>
      </c>
      <c r="AM105" t="str">
        <f>IFERROR(IF(INDEX('WBS2'!$J$27:$J$162,MATCH($C105,'WBS2'!$F$27:$F$162,0))="","",INDEX('WBS2'!$J$27:$J$162,MATCH($C105,'WBS2'!$F$27:$F$162,0))),"")</f>
        <v>Không làm được qua link tra cứu – reCAPTCHA v3 (khảo sát 14/10), lấy qua mail. e-invoices.haravan.app</v>
      </c>
      <c r="AN105" t="str">
        <f>IFERROR(IF(INDEX('WBS2'!$I$163:$I$298,MATCH($C105,'WBS2'!$F$163:$F$298,0))="","",INDEX('WBS2'!$I$163:$I$298,MATCH($C105,'WBS2'!$F$163:$F$298,0))),"")</f>
        <v>Chưa hoàn thành</v>
      </c>
      <c r="AO105" s="92">
        <f>IFERROR(IF(OR($AN105="Chưa hoàn thành",$AN105="Sẵn sàng"),INDEX('WBS2'!$H$163:$H$298,MATCH($C105,'WBS2'!$F$163:$F$298,0)),""),"")</f>
        <v>46507</v>
      </c>
      <c r="AP105" t="str">
        <f>IFERROR(IF(INDEX('WBS2'!$J$163:$J$298,MATCH($C105,'WBS2'!$F$163:$F$298,0))="","",INDEX('WBS2'!$J$163:$J$298,MATCH($C105,'WBS2'!$F$163:$F$298,0))),"")</f>
        <v>Chưa có thông tin</v>
      </c>
    </row>
    <row r="106" spans="1:42" ht="14.25" hidden="1" customHeight="1" x14ac:dyDescent="0.35">
      <c r="A106" s="13">
        <v>105</v>
      </c>
      <c r="B106" s="70" t="s">
        <v>293</v>
      </c>
      <c r="C106" s="14" t="s">
        <v>294</v>
      </c>
      <c r="D106" s="70" t="s">
        <v>1022</v>
      </c>
      <c r="E106" s="18" t="s">
        <v>1023</v>
      </c>
      <c r="F106" s="20" t="s">
        <v>381</v>
      </c>
      <c r="G106" s="23" t="s">
        <v>1024</v>
      </c>
      <c r="H106" s="35" t="str">
        <f t="shared" si="3"/>
        <v>Mã tra cứu</v>
      </c>
      <c r="I106" s="17"/>
      <c r="J106" s="17"/>
      <c r="K106" s="17"/>
      <c r="L106" s="17"/>
      <c r="M106" s="37"/>
      <c r="N106" s="38" t="s">
        <v>407</v>
      </c>
      <c r="O106" s="39" t="s">
        <v>509</v>
      </c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>
        <v>1</v>
      </c>
      <c r="AD106" s="16" t="s">
        <v>1019</v>
      </c>
      <c r="AE106" s="16" t="s">
        <v>1025</v>
      </c>
      <c r="AF106" s="16" t="s">
        <v>1026</v>
      </c>
      <c r="AG106" s="16" t="s">
        <v>1024</v>
      </c>
      <c r="AH106" s="1"/>
      <c r="AI106" s="1"/>
      <c r="AJ106" t="str">
        <f>IFERROR(IF(INDEX('WBS2'!$I$2:$I$25,MATCH($C106,'WBS2'!$F$2:$F$25,0))="","",INDEX('WBS2'!$I$2:$I$25,MATCH($C106,'WBS2'!$F$2:$F$25,0))),"")</f>
        <v/>
      </c>
      <c r="AK106" t="str">
        <f>IFERROR(IF(INDEX('WBS2'!$I$27:$I$162,MATCH($C106,'WBS2'!$F$27:$F$162,0))="","",INDEX('WBS2'!$I$27:$I$162,MATCH($C106,'WBS2'!$F$27:$F$162,0))),"")</f>
        <v>Hoàn thành</v>
      </c>
      <c r="AL106" s="92" t="str">
        <f>IFERROR(IF(OR($AK106="Chưa hoàn thành",$AK106="Sẵn sàng"),INDEX('WBS2'!$H$27:$H$162,MATCH($C106,'WBS2'!$F$27:$F$162,0)),""),"")</f>
        <v/>
      </c>
      <c r="AM106" t="str">
        <f>IFERROR(IF(INDEX('WBS2'!$J$27:$J$162,MATCH($C106,'WBS2'!$F$27:$F$162,0))="","",INDEX('WBS2'!$J$27:$J$162,MATCH($C106,'WBS2'!$F$27:$F$162,0))),"")</f>
        <v/>
      </c>
      <c r="AN106" t="str">
        <f>IFERROR(IF(INDEX('WBS2'!$I$163:$I$298,MATCH($C106,'WBS2'!$F$163:$F$298,0))="","",INDEX('WBS2'!$I$163:$I$298,MATCH($C106,'WBS2'!$F$163:$F$298,0))),"")</f>
        <v>Hoàn thành</v>
      </c>
      <c r="AO106" s="92" t="str">
        <f>IFERROR(IF(OR($AN106="Chưa hoàn thành",$AN106="Sẵn sàng"),INDEX('WBS2'!$H$163:$H$298,MATCH($C106,'WBS2'!$F$163:$F$298,0)),""),"")</f>
        <v/>
      </c>
      <c r="AP106" t="str">
        <f>IFERROR(IF(INDEX('WBS2'!$J$163:$J$298,MATCH($C106,'WBS2'!$F$163:$F$298,0))="","",INDEX('WBS2'!$J$163:$J$298,MATCH($C106,'WBS2'!$F$163:$F$298,0))),"")</f>
        <v/>
      </c>
    </row>
    <row r="107" spans="1:42" ht="14.25" hidden="1" customHeight="1" x14ac:dyDescent="0.35">
      <c r="A107" s="13">
        <v>106</v>
      </c>
      <c r="B107" s="70" t="s">
        <v>295</v>
      </c>
      <c r="C107" s="14" t="s">
        <v>296</v>
      </c>
      <c r="D107" s="13" t="s">
        <v>1027</v>
      </c>
      <c r="E107" s="18" t="s">
        <v>1028</v>
      </c>
      <c r="F107" s="20" t="s">
        <v>381</v>
      </c>
      <c r="G107" s="23" t="s">
        <v>1029</v>
      </c>
      <c r="H107" s="35" t="str">
        <f t="shared" si="3"/>
        <v>Mã tra cứu</v>
      </c>
      <c r="I107" s="17"/>
      <c r="J107" s="17"/>
      <c r="K107" s="17"/>
      <c r="L107" s="17"/>
      <c r="M107" s="37"/>
      <c r="N107" s="38" t="s">
        <v>407</v>
      </c>
      <c r="O107" s="39" t="s">
        <v>509</v>
      </c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>
        <v>1</v>
      </c>
      <c r="AD107" s="16" t="s">
        <v>1030</v>
      </c>
      <c r="AE107" s="16" t="s">
        <v>1031</v>
      </c>
      <c r="AF107" s="16" t="s">
        <v>1032</v>
      </c>
      <c r="AG107" s="16" t="s">
        <v>1029</v>
      </c>
      <c r="AH107" s="1"/>
      <c r="AI107" s="1"/>
      <c r="AJ107" t="str">
        <f>IFERROR(IF(INDEX('WBS2'!$I$2:$I$25,MATCH($C107,'WBS2'!$F$2:$F$25,0))="","",INDEX('WBS2'!$I$2:$I$25,MATCH($C107,'WBS2'!$F$2:$F$25,0))),"")</f>
        <v/>
      </c>
      <c r="AK107" t="str">
        <f>IFERROR(IF(INDEX('WBS2'!$I$27:$I$162,MATCH($C107,'WBS2'!$F$27:$F$162,0))="","",INDEX('WBS2'!$I$27:$I$162,MATCH($C107,'WBS2'!$F$27:$F$162,0))),"")</f>
        <v>Sẵn sàng</v>
      </c>
      <c r="AL107" s="92">
        <f>IFERROR(IF(OR($AK107="Chưa hoàn thành",$AK107="Sẵn sàng"),INDEX('WBS2'!$H$27:$H$162,MATCH($C107,'WBS2'!$F$27:$F$162,0)),""),"")</f>
        <v>46387</v>
      </c>
      <c r="AM107" t="str">
        <f>IFERROR(IF(INDEX('WBS2'!$J$27:$J$162,MATCH($C107,'WBS2'!$F$27:$F$162,0))="","",INDEX('WBS2'!$J$27:$J$162,MATCH($C107,'WBS2'!$F$27:$F$162,0))),"")</f>
        <v>intrust – reCAPTCHA trên trang nhưng server không kiểm</v>
      </c>
      <c r="AN107" t="str">
        <f>IFERROR(IF(INDEX('WBS2'!$I$163:$I$298,MATCH($C107,'WBS2'!$F$163:$F$298,0))="","",INDEX('WBS2'!$I$163:$I$298,MATCH($C107,'WBS2'!$F$163:$F$298,0))),"")</f>
        <v>Sẵn sàng</v>
      </c>
      <c r="AO107" s="92">
        <f>IFERROR(IF(OR($AN107="Chưa hoàn thành",$AN107="Sẵn sàng"),INDEX('WBS2'!$H$163:$H$298,MATCH($C107,'WBS2'!$F$163:$F$298,0)),""),"")</f>
        <v>46387</v>
      </c>
      <c r="AP107" t="str">
        <f>IFERROR(IF(INDEX('WBS2'!$J$163:$J$298,MATCH($C107,'WBS2'!$F$163:$F$298,0))="","",INDEX('WBS2'!$J$163:$J$298,MATCH($C107,'WBS2'!$F$163:$F$298,0))),"")</f>
        <v/>
      </c>
    </row>
    <row r="108" spans="1:42" ht="14.25" hidden="1" customHeight="1" x14ac:dyDescent="0.35">
      <c r="A108" s="13">
        <v>107</v>
      </c>
      <c r="B108" s="70" t="s">
        <v>298</v>
      </c>
      <c r="C108" s="14" t="s">
        <v>299</v>
      </c>
      <c r="D108" s="70" t="s">
        <v>1033</v>
      </c>
      <c r="E108" s="18" t="s">
        <v>1034</v>
      </c>
      <c r="F108" s="20" t="s">
        <v>381</v>
      </c>
      <c r="G108" s="23" t="s">
        <v>1029</v>
      </c>
      <c r="H108" s="35" t="str">
        <f t="shared" si="3"/>
        <v>Mã tra cứu</v>
      </c>
      <c r="I108" s="17"/>
      <c r="J108" s="17"/>
      <c r="K108" s="17"/>
      <c r="L108" s="17"/>
      <c r="M108" s="37"/>
      <c r="N108" s="38" t="s">
        <v>407</v>
      </c>
      <c r="O108" s="39" t="s">
        <v>509</v>
      </c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>
        <v>1</v>
      </c>
      <c r="AD108" s="16" t="s">
        <v>1030</v>
      </c>
      <c r="AE108" s="16" t="s">
        <v>1031</v>
      </c>
      <c r="AF108" s="16" t="s">
        <v>1035</v>
      </c>
      <c r="AG108" s="16" t="s">
        <v>1029</v>
      </c>
      <c r="AH108" s="1"/>
      <c r="AI108" s="1"/>
      <c r="AJ108" t="str">
        <f>IFERROR(IF(INDEX('WBS2'!$I$2:$I$25,MATCH($C108,'WBS2'!$F$2:$F$25,0))="","",INDEX('WBS2'!$I$2:$I$25,MATCH($C108,'WBS2'!$F$2:$F$25,0))),"")</f>
        <v/>
      </c>
      <c r="AK108" t="str">
        <f>IFERROR(IF(INDEX('WBS2'!$I$27:$I$162,MATCH($C108,'WBS2'!$F$27:$F$162,0))="","",INDEX('WBS2'!$I$27:$I$162,MATCH($C108,'WBS2'!$F$27:$F$162,0))),"")</f>
        <v>Sẵn sàng</v>
      </c>
      <c r="AL108" s="92">
        <f>IFERROR(IF(OR($AK108="Chưa hoàn thành",$AK108="Sẵn sàng"),INDEX('WBS2'!$H$27:$H$162,MATCH($C108,'WBS2'!$F$27:$F$162,0)),""),"")</f>
        <v>46387</v>
      </c>
      <c r="AM108" t="str">
        <f>IFERROR(IF(INDEX('WBS2'!$J$27:$J$162,MATCH($C108,'WBS2'!$F$27:$F$162,0))="","",INDEX('WBS2'!$J$27:$J$162,MATCH($C108,'WBS2'!$F$27:$F$162,0))),"")</f>
        <v>intrust (chung cổng INTRUST)</v>
      </c>
      <c r="AN108" t="str">
        <f>IFERROR(IF(INDEX('WBS2'!$I$163:$I$298,MATCH($C108,'WBS2'!$F$163:$F$298,0))="","",INDEX('WBS2'!$I$163:$I$298,MATCH($C108,'WBS2'!$F$163:$F$298,0))),"")</f>
        <v>Sẵn sàng</v>
      </c>
      <c r="AO108" s="92">
        <f>IFERROR(IF(OR($AN108="Chưa hoàn thành",$AN108="Sẵn sàng"),INDEX('WBS2'!$H$163:$H$298,MATCH($C108,'WBS2'!$F$163:$F$298,0)),""),"")</f>
        <v>46387</v>
      </c>
      <c r="AP108" t="str">
        <f>IFERROR(IF(INDEX('WBS2'!$J$163:$J$298,MATCH($C108,'WBS2'!$F$163:$F$298,0))="","",INDEX('WBS2'!$J$163:$J$298,MATCH($C108,'WBS2'!$F$163:$F$298,0))),"")</f>
        <v/>
      </c>
    </row>
    <row r="109" spans="1:42" ht="14.25" hidden="1" customHeight="1" x14ac:dyDescent="0.35">
      <c r="A109" s="13">
        <v>108</v>
      </c>
      <c r="B109" s="71" t="s">
        <v>301</v>
      </c>
      <c r="C109" s="14" t="s">
        <v>302</v>
      </c>
      <c r="D109" s="13" t="s">
        <v>1036</v>
      </c>
      <c r="E109" s="18" t="s">
        <v>1037</v>
      </c>
      <c r="F109" s="20" t="s">
        <v>381</v>
      </c>
      <c r="G109" s="23" t="s">
        <v>1038</v>
      </c>
      <c r="H109" s="35" t="str">
        <f t="shared" si="3"/>
        <v>Mã tra cứu</v>
      </c>
      <c r="I109" s="17"/>
      <c r="J109" s="17"/>
      <c r="K109" s="17"/>
      <c r="L109" s="17"/>
      <c r="M109" s="37"/>
      <c r="N109" s="38" t="s">
        <v>407</v>
      </c>
      <c r="O109" s="39" t="s">
        <v>509</v>
      </c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>
        <v>1</v>
      </c>
      <c r="AD109" s="16" t="s">
        <v>510</v>
      </c>
      <c r="AE109" s="16" t="s">
        <v>1039</v>
      </c>
      <c r="AF109" s="16" t="s">
        <v>1040</v>
      </c>
      <c r="AG109" s="16" t="s">
        <v>1038</v>
      </c>
      <c r="AH109" s="1"/>
      <c r="AI109" s="1"/>
      <c r="AJ109" t="str">
        <f>IFERROR(IF(INDEX('WBS2'!$I$2:$I$25,MATCH($C109,'WBS2'!$F$2:$F$25,0))="","",INDEX('WBS2'!$I$2:$I$25,MATCH($C109,'WBS2'!$F$2:$F$25,0))),"")</f>
        <v/>
      </c>
      <c r="AK109" t="str">
        <f>IFERROR(IF(INDEX('WBS2'!$I$27:$I$162,MATCH($C109,'WBS2'!$F$27:$F$162,0))="","",INDEX('WBS2'!$I$27:$I$162,MATCH($C109,'WBS2'!$F$27:$F$162,0))),"")</f>
        <v>Sẵn sàng</v>
      </c>
      <c r="AL109" s="92">
        <f>IFERROR(IF(OR($AK109="Chưa hoàn thành",$AK109="Sẵn sàng"),INDEX('WBS2'!$H$27:$H$162,MATCH($C109,'WBS2'!$F$27:$F$162,0)),""),"")</f>
        <v>46418</v>
      </c>
      <c r="AM109" t="str">
        <f>IFERROR(IF(INDEX('WBS2'!$J$27:$J$162,MATCH($C109,'WBS2'!$F$27:$F$162,0))="","",INDEX('WBS2'!$J$27:$J$162,MATCH($C109,'WBS2'!$F$27:$F$162,0))),"")</f>
        <v>sapo</v>
      </c>
      <c r="AN109" t="str">
        <f>IFERROR(IF(INDEX('WBS2'!$I$163:$I$298,MATCH($C109,'WBS2'!$F$163:$F$298,0))="","",INDEX('WBS2'!$I$163:$I$298,MATCH($C109,'WBS2'!$F$163:$F$298,0))),"")</f>
        <v>Sẵn sàng</v>
      </c>
      <c r="AO109" s="92">
        <f>IFERROR(IF(OR($AN109="Chưa hoàn thành",$AN109="Sẵn sàng"),INDEX('WBS2'!$H$163:$H$298,MATCH($C109,'WBS2'!$F$163:$F$298,0)),""),"")</f>
        <v>46418</v>
      </c>
      <c r="AP109" t="str">
        <f>IFERROR(IF(INDEX('WBS2'!$J$163:$J$298,MATCH($C109,'WBS2'!$F$163:$F$298,0))="","",INDEX('WBS2'!$J$163:$J$298,MATCH($C109,'WBS2'!$F$163:$F$298,0))),"")</f>
        <v/>
      </c>
    </row>
    <row r="110" spans="1:42" ht="14.25" hidden="1" customHeight="1" x14ac:dyDescent="0.35">
      <c r="A110" s="13">
        <v>109</v>
      </c>
      <c r="B110" s="13" t="s">
        <v>304</v>
      </c>
      <c r="C110" s="14" t="s">
        <v>305</v>
      </c>
      <c r="D110" s="13" t="s">
        <v>1041</v>
      </c>
      <c r="E110" s="18" t="s">
        <v>1042</v>
      </c>
      <c r="F110" s="20" t="s">
        <v>381</v>
      </c>
      <c r="G110" s="23" t="s">
        <v>1043</v>
      </c>
      <c r="H110" s="35" t="str">
        <f t="shared" si="3"/>
        <v>Mã tra cứu</v>
      </c>
      <c r="I110" s="17"/>
      <c r="J110" s="17"/>
      <c r="K110" s="17"/>
      <c r="L110" s="17"/>
      <c r="M110" s="37"/>
      <c r="N110" s="38" t="s">
        <v>407</v>
      </c>
      <c r="O110" s="39" t="s">
        <v>509</v>
      </c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>
        <v>1</v>
      </c>
      <c r="AD110" s="16" t="s">
        <v>1019</v>
      </c>
      <c r="AE110" s="16" t="s">
        <v>1025</v>
      </c>
      <c r="AF110" s="16" t="s">
        <v>1044</v>
      </c>
      <c r="AG110" s="16" t="s">
        <v>1043</v>
      </c>
      <c r="AH110" s="1"/>
      <c r="AI110" s="1"/>
      <c r="AJ110" t="str">
        <f>IFERROR(IF(INDEX('WBS2'!$I$2:$I$25,MATCH($C110,'WBS2'!$F$2:$F$25,0))="","",INDEX('WBS2'!$I$2:$I$25,MATCH($C110,'WBS2'!$F$2:$F$25,0))),"")</f>
        <v/>
      </c>
      <c r="AK110" t="str">
        <f>IFERROR(IF(INDEX('WBS2'!$I$27:$I$162,MATCH($C110,'WBS2'!$F$27:$F$162,0))="","",INDEX('WBS2'!$I$27:$I$162,MATCH($C110,'WBS2'!$F$27:$F$162,0))),"")</f>
        <v>Chưa hoàn thành</v>
      </c>
      <c r="AL110" s="92">
        <f>IFERROR(IF(OR($AK110="Chưa hoàn thành",$AK110="Sẵn sàng"),INDEX('WBS2'!$H$27:$H$162,MATCH($C110,'WBS2'!$F$27:$F$162,0)),""),"")</f>
        <v>46538</v>
      </c>
      <c r="AM110" t="str">
        <f>IFERROR(IF(INDEX('WBS2'!$J$27:$J$162,MATCH($C110,'WBS2'!$F$27:$F$162,0))="","",INDEX('WBS2'!$J$27:$J$162,MATCH($C110,'WBS2'!$F$27:$F$162,0))),"")</f>
        <v>Không làm được qua link tra cứu – reCAPTCHA v3 (khảo sát 14/10), lấy qua mail. tracuu.pancake.vn</v>
      </c>
      <c r="AN110" t="str">
        <f>IFERROR(IF(INDEX('WBS2'!$I$163:$I$298,MATCH($C110,'WBS2'!$F$163:$F$298,0))="","",INDEX('WBS2'!$I$163:$I$298,MATCH($C110,'WBS2'!$F$163:$F$298,0))),"")</f>
        <v>Chưa hoàn thành</v>
      </c>
      <c r="AO110" s="92">
        <f>IFERROR(IF(OR($AN110="Chưa hoàn thành",$AN110="Sẵn sàng"),INDEX('WBS2'!$H$163:$H$298,MATCH($C110,'WBS2'!$F$163:$F$298,0)),""),"")</f>
        <v>46538</v>
      </c>
      <c r="AP110" t="str">
        <f>IFERROR(IF(INDEX('WBS2'!$J$163:$J$298,MATCH($C110,'WBS2'!$F$163:$F$298,0))="","",INDEX('WBS2'!$J$163:$J$298,MATCH($C110,'WBS2'!$F$163:$F$298,0))),"")</f>
        <v>Chưa có thông tin</v>
      </c>
    </row>
    <row r="111" spans="1:42" ht="14.25" customHeight="1" x14ac:dyDescent="0.35">
      <c r="A111" s="13">
        <v>110</v>
      </c>
      <c r="B111" s="28" t="s">
        <v>55</v>
      </c>
      <c r="C111" s="14" t="s">
        <v>56</v>
      </c>
      <c r="D111" s="13" t="s">
        <v>1045</v>
      </c>
      <c r="E111" s="83" t="s">
        <v>1046</v>
      </c>
      <c r="F111" s="20" t="s">
        <v>382</v>
      </c>
      <c r="G111" s="63" t="s">
        <v>1047</v>
      </c>
      <c r="H111" s="35" t="str">
        <f t="shared" si="3"/>
        <v>Mã tra cứu + Captcha ảnh</v>
      </c>
      <c r="I111" s="20" t="s">
        <v>528</v>
      </c>
      <c r="J111" s="17"/>
      <c r="K111" s="60">
        <v>0.96</v>
      </c>
      <c r="L111" s="20" t="s">
        <v>529</v>
      </c>
      <c r="M111" s="37"/>
      <c r="N111" s="38" t="s">
        <v>407</v>
      </c>
      <c r="O111" s="39" t="s">
        <v>509</v>
      </c>
      <c r="P111" s="39"/>
      <c r="Q111" s="39"/>
      <c r="R111" s="39"/>
      <c r="S111" s="39"/>
      <c r="T111" s="39"/>
      <c r="U111" s="39"/>
      <c r="V111" s="39"/>
      <c r="W111" s="39"/>
      <c r="X111" s="39" t="s">
        <v>509</v>
      </c>
      <c r="Y111" s="39"/>
      <c r="Z111" s="39"/>
      <c r="AA111" s="39"/>
      <c r="AB111" s="39"/>
      <c r="AC111" s="39">
        <v>2</v>
      </c>
      <c r="AD111" s="16" t="s">
        <v>1048</v>
      </c>
      <c r="AE111" s="16" t="s">
        <v>1049</v>
      </c>
      <c r="AF111" s="16" t="s">
        <v>1050</v>
      </c>
      <c r="AG111" s="16" t="s">
        <v>1047</v>
      </c>
      <c r="AH111" s="1"/>
      <c r="AI111" s="1"/>
      <c r="AJ111" t="str">
        <f>IFERROR(IF(INDEX('WBS2'!$I$2:$I$25,MATCH($C111,'WBS2'!$F$2:$F$25,0))="","",INDEX('WBS2'!$I$2:$I$25,MATCH($C111,'WBS2'!$F$2:$F$25,0))),"")</f>
        <v>Hoàn thành</v>
      </c>
      <c r="AK111" t="str">
        <f>IFERROR(IF(INDEX('WBS2'!$I$27:$I$162,MATCH($C111,'WBS2'!$F$27:$F$162,0))="","",INDEX('WBS2'!$I$27:$I$162,MATCH($C111,'WBS2'!$F$27:$F$162,0))),"")</f>
        <v>Sẵn sàng</v>
      </c>
      <c r="AL111" s="92">
        <f>IFERROR(IF(OR($AK111="Chưa hoàn thành",$AK111="Sẵn sàng"),INDEX('WBS2'!$H$27:$H$162,MATCH($C111,'WBS2'!$F$27:$F$162,0)),""),"")</f>
        <v>46418</v>
      </c>
      <c r="AM111" t="str">
        <f>IFERROR(IF(INDEX('WBS2'!$J$27:$J$162,MATCH($C111,'WBS2'!$F$27:$F$162,0))="","",INDEX('WBS2'!$J$27:$J$162,MATCH($C111,'WBS2'!$F$27:$F$162,0))),"")</f>
        <v/>
      </c>
      <c r="AN111" t="str">
        <f>IFERROR(IF(INDEX('WBS2'!$I$163:$I$298,MATCH($C111,'WBS2'!$F$163:$F$298,0))="","",INDEX('WBS2'!$I$163:$I$298,MATCH($C111,'WBS2'!$F$163:$F$298,0))),"")</f>
        <v>Chưa hoàn thành</v>
      </c>
      <c r="AO111" s="92">
        <f>IFERROR(IF(OR($AN111="Chưa hoàn thành",$AN111="Sẵn sàng"),INDEX('WBS2'!$H$163:$H$298,MATCH($C111,'WBS2'!$F$163:$F$298,0)),""),"")</f>
        <v>46538</v>
      </c>
      <c r="AP111" t="str">
        <f>IFERROR(IF(INDEX('WBS2'!$J$163:$J$298,MATCH($C111,'WBS2'!$F$163:$F$298,0))="","",INDEX('WBS2'!$J$163:$J$298,MATCH($C111,'WBS2'!$F$163:$F$298,0))),"")</f>
        <v>Chưa có thông tin</v>
      </c>
    </row>
    <row r="112" spans="1:42" ht="14.25" hidden="1" customHeight="1" x14ac:dyDescent="0.35">
      <c r="A112" s="13">
        <v>111</v>
      </c>
      <c r="B112" s="28" t="s">
        <v>307</v>
      </c>
      <c r="C112" s="14" t="s">
        <v>308</v>
      </c>
      <c r="D112" s="13" t="s">
        <v>1051</v>
      </c>
      <c r="E112" s="83" t="s">
        <v>1052</v>
      </c>
      <c r="F112" s="20" t="s">
        <v>577</v>
      </c>
      <c r="G112" s="66" t="s">
        <v>1053</v>
      </c>
      <c r="H112" s="35" t="str">
        <f t="shared" si="3"/>
        <v>Mã tra cứu</v>
      </c>
      <c r="I112" s="17"/>
      <c r="J112" s="17"/>
      <c r="K112" s="17"/>
      <c r="L112" s="17"/>
      <c r="M112" s="37"/>
      <c r="N112" s="38" t="s">
        <v>407</v>
      </c>
      <c r="O112" s="39" t="s">
        <v>509</v>
      </c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>
        <v>1</v>
      </c>
      <c r="AD112" s="16" t="s">
        <v>510</v>
      </c>
      <c r="AE112" s="16"/>
      <c r="AF112" s="16" t="s">
        <v>1008</v>
      </c>
      <c r="AG112" s="16" t="s">
        <v>1053</v>
      </c>
      <c r="AH112" s="1"/>
      <c r="AI112" s="1"/>
      <c r="AJ112" t="str">
        <f>IFERROR(IF(INDEX('WBS2'!$I$2:$I$25,MATCH($C112,'WBS2'!$F$2:$F$25,0))="","",INDEX('WBS2'!$I$2:$I$25,MATCH($C112,'WBS2'!$F$2:$F$25,0))),"")</f>
        <v/>
      </c>
      <c r="AK112" t="str">
        <f>IFERROR(IF(INDEX('WBS2'!$I$27:$I$162,MATCH($C112,'WBS2'!$F$27:$F$162,0))="","",INDEX('WBS2'!$I$27:$I$162,MATCH($C112,'WBS2'!$F$27:$F$162,0))),"")</f>
        <v>Sẵn sàng</v>
      </c>
      <c r="AL112" s="92">
        <f>IFERROR(IF(OR($AK112="Chưa hoàn thành",$AK112="Sẵn sàng"),INDEX('WBS2'!$H$27:$H$162,MATCH($C112,'WBS2'!$F$27:$F$162,0)),""),"")</f>
        <v>46418</v>
      </c>
      <c r="AM112" t="str">
        <f>IFERROR(IF(INDEX('WBS2'!$J$27:$J$162,MATCH($C112,'WBS2'!$F$27:$F$162,0))="","",INDEX('WBS2'!$J$27:$J$162,MATCH($C112,'WBS2'!$F$27:$F$162,0))),"")</f>
        <v/>
      </c>
      <c r="AN112" t="str">
        <f>IFERROR(IF(INDEX('WBS2'!$I$163:$I$298,MATCH($C112,'WBS2'!$F$163:$F$298,0))="","",INDEX('WBS2'!$I$163:$I$298,MATCH($C112,'WBS2'!$F$163:$F$298,0))),"")</f>
        <v>Sẵn sàng</v>
      </c>
      <c r="AO112" s="92">
        <f>IFERROR(IF(OR($AN112="Chưa hoàn thành",$AN112="Sẵn sàng"),INDEX('WBS2'!$H$163:$H$298,MATCH($C112,'WBS2'!$F$163:$F$298,0)),""),"")</f>
        <v>46418</v>
      </c>
      <c r="AP112" t="str">
        <f>IFERROR(IF(INDEX('WBS2'!$J$163:$J$298,MATCH($C112,'WBS2'!$F$163:$F$298,0))="","",INDEX('WBS2'!$J$163:$J$298,MATCH($C112,'WBS2'!$F$163:$F$298,0))),"")</f>
        <v/>
      </c>
    </row>
    <row r="113" spans="1:42" ht="14.25" hidden="1" customHeight="1" x14ac:dyDescent="0.35">
      <c r="A113" s="13">
        <v>112</v>
      </c>
      <c r="B113" s="71" t="s">
        <v>309</v>
      </c>
      <c r="C113" s="14" t="s">
        <v>310</v>
      </c>
      <c r="D113" s="70" t="s">
        <v>1054</v>
      </c>
      <c r="E113" s="83" t="s">
        <v>1055</v>
      </c>
      <c r="F113" s="20" t="s">
        <v>577</v>
      </c>
      <c r="G113" s="20"/>
      <c r="H113" s="35" t="str">
        <f t="shared" si="3"/>
        <v/>
      </c>
      <c r="I113" s="17"/>
      <c r="J113" s="17"/>
      <c r="K113" s="17"/>
      <c r="L113" s="17"/>
      <c r="M113" s="37"/>
      <c r="N113" s="38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1"/>
      <c r="AI113" s="1"/>
      <c r="AJ113" t="str">
        <f>IFERROR(IF(INDEX('WBS2'!$I$2:$I$25,MATCH($C113,'WBS2'!$F$2:$F$25,0))="","",INDEX('WBS2'!$I$2:$I$25,MATCH($C113,'WBS2'!$F$2:$F$25,0))),"")</f>
        <v/>
      </c>
      <c r="AK113" t="str">
        <f>IFERROR(IF(INDEX('WBS2'!$I$27:$I$162,MATCH($C113,'WBS2'!$F$27:$F$162,0))="","",INDEX('WBS2'!$I$27:$I$162,MATCH($C113,'WBS2'!$F$27:$F$162,0))),"")</f>
        <v>Chưa hoàn thành</v>
      </c>
      <c r="AL113" s="92">
        <f>IFERROR(IF(OR($AK113="Chưa hoàn thành",$AK113="Sẵn sàng"),INDEX('WBS2'!$H$27:$H$162,MATCH($C113,'WBS2'!$F$27:$F$162,0)),""),"")</f>
        <v>46538</v>
      </c>
      <c r="AM113" t="str">
        <f>IFERROR(IF(INDEX('WBS2'!$J$27:$J$162,MATCH($C113,'WBS2'!$F$27:$F$162,0))="","",INDEX('WBS2'!$J$27:$J$162,MATCH($C113,'WBS2'!$F$27:$F$162,0))),"")</f>
        <v>Chưa làm</v>
      </c>
      <c r="AN113" t="str">
        <f>IFERROR(IF(INDEX('WBS2'!$I$163:$I$298,MATCH($C113,'WBS2'!$F$163:$F$298,0))="","",INDEX('WBS2'!$I$163:$I$298,MATCH($C113,'WBS2'!$F$163:$F$298,0))),"")</f>
        <v>Chưa hoàn thành</v>
      </c>
      <c r="AO113" s="92">
        <f>IFERROR(IF(OR($AN113="Chưa hoàn thành",$AN113="Sẵn sàng"),INDEX('WBS2'!$H$163:$H$298,MATCH($C113,'WBS2'!$F$163:$F$298,0)),""),"")</f>
        <v>46538</v>
      </c>
      <c r="AP113" t="str">
        <f>IFERROR(IF(INDEX('WBS2'!$J$163:$J$298,MATCH($C113,'WBS2'!$F$163:$F$298,0))="","",INDEX('WBS2'!$J$163:$J$298,MATCH($C113,'WBS2'!$F$163:$F$298,0))),"")</f>
        <v>Chưa có thông tin</v>
      </c>
    </row>
    <row r="114" spans="1:42" ht="14.25" hidden="1" customHeight="1" x14ac:dyDescent="0.35">
      <c r="A114" s="13">
        <v>113</v>
      </c>
      <c r="B114" s="71" t="s">
        <v>311</v>
      </c>
      <c r="C114" s="14" t="s">
        <v>312</v>
      </c>
      <c r="D114" s="70" t="s">
        <v>1056</v>
      </c>
      <c r="E114" s="83" t="s">
        <v>1057</v>
      </c>
      <c r="F114" s="20" t="s">
        <v>381</v>
      </c>
      <c r="G114" s="66" t="s">
        <v>1058</v>
      </c>
      <c r="H114" s="35" t="str">
        <f t="shared" si="3"/>
        <v>Mã tra cứu</v>
      </c>
      <c r="I114" s="17"/>
      <c r="J114" s="17"/>
      <c r="K114" s="17"/>
      <c r="L114" s="17"/>
      <c r="M114" s="37"/>
      <c r="N114" s="38" t="s">
        <v>407</v>
      </c>
      <c r="O114" s="39" t="s">
        <v>509</v>
      </c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>
        <v>1</v>
      </c>
      <c r="AD114" s="16" t="s">
        <v>510</v>
      </c>
      <c r="AE114" s="16"/>
      <c r="AF114" s="16" t="s">
        <v>1008</v>
      </c>
      <c r="AG114" s="16" t="s">
        <v>1059</v>
      </c>
      <c r="AH114" s="1"/>
      <c r="AI114" s="1"/>
      <c r="AJ114" t="str">
        <f>IFERROR(IF(INDEX('WBS2'!$I$2:$I$25,MATCH($C114,'WBS2'!$F$2:$F$25,0))="","",INDEX('WBS2'!$I$2:$I$25,MATCH($C114,'WBS2'!$F$2:$F$25,0))),"")</f>
        <v/>
      </c>
      <c r="AK114" t="str">
        <f>IFERROR(IF(INDEX('WBS2'!$I$27:$I$162,MATCH($C114,'WBS2'!$F$27:$F$162,0))="","",INDEX('WBS2'!$I$27:$I$162,MATCH($C114,'WBS2'!$F$27:$F$162,0))),"")</f>
        <v>Sẵn sàng</v>
      </c>
      <c r="AL114" s="92">
        <f>IFERROR(IF(OR($AK114="Chưa hoàn thành",$AK114="Sẵn sàng"),INDEX('WBS2'!$H$27:$H$162,MATCH($C114,'WBS2'!$F$27:$F$162,0)),""),"")</f>
        <v>46418</v>
      </c>
      <c r="AM114" t="str">
        <f>IFERROR(IF(INDEX('WBS2'!$J$27:$J$162,MATCH($C114,'WBS2'!$F$27:$F$162,0))="","",INDEX('WBS2'!$J$27:$J$162,MATCH($C114,'WBS2'!$F$27:$F$162,0))),"")</f>
        <v>iam (thoadon)</v>
      </c>
      <c r="AN114" t="str">
        <f>IFERROR(IF(INDEX('WBS2'!$I$163:$I$298,MATCH($C114,'WBS2'!$F$163:$F$298,0))="","",INDEX('WBS2'!$I$163:$I$298,MATCH($C114,'WBS2'!$F$163:$F$298,0))),"")</f>
        <v>Sẵn sàng</v>
      </c>
      <c r="AO114" s="92">
        <f>IFERROR(IF(OR($AN114="Chưa hoàn thành",$AN114="Sẵn sàng"),INDEX('WBS2'!$H$163:$H$298,MATCH($C114,'WBS2'!$F$163:$F$298,0)),""),"")</f>
        <v>46418</v>
      </c>
      <c r="AP114" t="str">
        <f>IFERROR(IF(INDEX('WBS2'!$J$163:$J$298,MATCH($C114,'WBS2'!$F$163:$F$298,0))="","",INDEX('WBS2'!$J$163:$J$298,MATCH($C114,'WBS2'!$F$163:$F$298,0))),"")</f>
        <v/>
      </c>
    </row>
    <row r="115" spans="1:42" ht="14.25" hidden="1" customHeight="1" x14ac:dyDescent="0.35">
      <c r="A115" s="13">
        <v>114</v>
      </c>
      <c r="B115" s="71" t="s">
        <v>314</v>
      </c>
      <c r="C115" s="14" t="s">
        <v>315</v>
      </c>
      <c r="D115" s="13" t="s">
        <v>1060</v>
      </c>
      <c r="E115" s="83" t="s">
        <v>1061</v>
      </c>
      <c r="F115" s="20" t="s">
        <v>381</v>
      </c>
      <c r="G115" s="66" t="s">
        <v>1062</v>
      </c>
      <c r="H115" s="35" t="str">
        <f t="shared" si="3"/>
        <v>Mã tra cứu</v>
      </c>
      <c r="I115" s="17"/>
      <c r="J115" s="17"/>
      <c r="K115" s="17"/>
      <c r="L115" s="17"/>
      <c r="M115" s="37"/>
      <c r="N115" s="38" t="s">
        <v>407</v>
      </c>
      <c r="O115" s="39" t="s">
        <v>509</v>
      </c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>
        <v>1</v>
      </c>
      <c r="AD115" s="16" t="s">
        <v>510</v>
      </c>
      <c r="AE115" s="16"/>
      <c r="AF115" s="16" t="s">
        <v>1063</v>
      </c>
      <c r="AG115" s="16" t="s">
        <v>1064</v>
      </c>
      <c r="AH115" s="1"/>
      <c r="AI115" s="1"/>
      <c r="AJ115" t="str">
        <f>IFERROR(IF(INDEX('WBS2'!$I$2:$I$25,MATCH($C115,'WBS2'!$F$2:$F$25,0))="","",INDEX('WBS2'!$I$2:$I$25,MATCH($C115,'WBS2'!$F$2:$F$25,0))),"")</f>
        <v/>
      </c>
      <c r="AK115" t="str">
        <f>IFERROR(IF(INDEX('WBS2'!$I$27:$I$162,MATCH($C115,'WBS2'!$F$27:$F$162,0))="","",INDEX('WBS2'!$I$27:$I$162,MATCH($C115,'WBS2'!$F$27:$F$162,0))),"")</f>
        <v>Sẵn sàng</v>
      </c>
      <c r="AL115" s="92">
        <f>IFERROR(IF(OR($AK115="Chưa hoàn thành",$AK115="Sẵn sàng"),INDEX('WBS2'!$H$27:$H$162,MATCH($C115,'WBS2'!$F$27:$F$162,0)),""),"")</f>
        <v>46418</v>
      </c>
      <c r="AM115" t="str">
        <f>IFERROR(IF(INDEX('WBS2'!$J$27:$J$162,MATCH($C115,'WBS2'!$F$27:$F$162,0))="","",INDEX('WBS2'!$J$27:$J$162,MATCH($C115,'WBS2'!$F$27:$F$162,0))),"")</f>
        <v>iam (iamsoftware)</v>
      </c>
      <c r="AN115" t="str">
        <f>IFERROR(IF(INDEX('WBS2'!$I$163:$I$298,MATCH($C115,'WBS2'!$F$163:$F$298,0))="","",INDEX('WBS2'!$I$163:$I$298,MATCH($C115,'WBS2'!$F$163:$F$298,0))),"")</f>
        <v>Sẵn sàng</v>
      </c>
      <c r="AO115" s="92">
        <f>IFERROR(IF(OR($AN115="Chưa hoàn thành",$AN115="Sẵn sàng"),INDEX('WBS2'!$H$163:$H$298,MATCH($C115,'WBS2'!$F$163:$F$298,0)),""),"")</f>
        <v>46418</v>
      </c>
      <c r="AP115" t="str">
        <f>IFERROR(IF(INDEX('WBS2'!$J$163:$J$298,MATCH($C115,'WBS2'!$F$163:$F$298,0))="","",INDEX('WBS2'!$J$163:$J$298,MATCH($C115,'WBS2'!$F$163:$F$298,0))),"")</f>
        <v/>
      </c>
    </row>
    <row r="116" spans="1:42" ht="14.25" hidden="1" customHeight="1" x14ac:dyDescent="0.35">
      <c r="A116" s="13">
        <v>115</v>
      </c>
      <c r="B116" s="71" t="s">
        <v>317</v>
      </c>
      <c r="C116" s="14" t="s">
        <v>318</v>
      </c>
      <c r="D116" s="13" t="s">
        <v>1065</v>
      </c>
      <c r="E116" s="83" t="s">
        <v>1066</v>
      </c>
      <c r="F116" s="20" t="s">
        <v>577</v>
      </c>
      <c r="G116" s="20"/>
      <c r="H116" s="35" t="str">
        <f t="shared" si="3"/>
        <v/>
      </c>
      <c r="I116" s="17"/>
      <c r="J116" s="17"/>
      <c r="K116" s="17"/>
      <c r="L116" s="17"/>
      <c r="M116" s="37"/>
      <c r="N116" s="38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1"/>
      <c r="AI116" s="1"/>
      <c r="AJ116" t="str">
        <f>IFERROR(IF(INDEX('WBS2'!$I$2:$I$25,MATCH($C116,'WBS2'!$F$2:$F$25,0))="","",INDEX('WBS2'!$I$2:$I$25,MATCH($C116,'WBS2'!$F$2:$F$25,0))),"")</f>
        <v/>
      </c>
      <c r="AK116" t="str">
        <f>IFERROR(IF(INDEX('WBS2'!$I$27:$I$162,MATCH($C116,'WBS2'!$F$27:$F$162,0))="","",INDEX('WBS2'!$I$27:$I$162,MATCH($C116,'WBS2'!$F$27:$F$162,0))),"")</f>
        <v>Chưa hoàn thành</v>
      </c>
      <c r="AL116" s="92">
        <f>IFERROR(IF(OR($AK116="Chưa hoàn thành",$AK116="Sẵn sàng"),INDEX('WBS2'!$H$27:$H$162,MATCH($C116,'WBS2'!$F$27:$F$162,0)),""),"")</f>
        <v>46538</v>
      </c>
      <c r="AM116" t="str">
        <f>IFERROR(IF(INDEX('WBS2'!$J$27:$J$162,MATCH($C116,'WBS2'!$F$27:$F$162,0))="","",INDEX('WBS2'!$J$27:$J$162,MATCH($C116,'WBS2'!$F$27:$F$162,0))),"")</f>
        <v>Chưa làm</v>
      </c>
      <c r="AN116" t="str">
        <f>IFERROR(IF(INDEX('WBS2'!$I$163:$I$298,MATCH($C116,'WBS2'!$F$163:$F$298,0))="","",INDEX('WBS2'!$I$163:$I$298,MATCH($C116,'WBS2'!$F$163:$F$298,0))),"")</f>
        <v>Chưa hoàn thành</v>
      </c>
      <c r="AO116" s="92">
        <f>IFERROR(IF(OR($AN116="Chưa hoàn thành",$AN116="Sẵn sàng"),INDEX('WBS2'!$H$163:$H$298,MATCH($C116,'WBS2'!$F$163:$F$298,0)),""),"")</f>
        <v>46538</v>
      </c>
      <c r="AP116" t="str">
        <f>IFERROR(IF(INDEX('WBS2'!$J$163:$J$298,MATCH($C116,'WBS2'!$F$163:$F$298,0))="","",INDEX('WBS2'!$J$163:$J$298,MATCH($C116,'WBS2'!$F$163:$F$298,0))),"")</f>
        <v>Chưa có thông tin</v>
      </c>
    </row>
    <row r="117" spans="1:42" ht="14.25" hidden="1" customHeight="1" x14ac:dyDescent="0.35">
      <c r="A117" s="13">
        <v>116</v>
      </c>
      <c r="B117" s="28" t="s">
        <v>319</v>
      </c>
      <c r="C117" s="14" t="s">
        <v>320</v>
      </c>
      <c r="D117" s="13" t="s">
        <v>1067</v>
      </c>
      <c r="E117" s="84" t="s">
        <v>1068</v>
      </c>
      <c r="F117" s="20" t="s">
        <v>381</v>
      </c>
      <c r="G117" s="66" t="s">
        <v>1069</v>
      </c>
      <c r="H117" s="35" t="str">
        <f t="shared" si="3"/>
        <v>Mã tra cứu</v>
      </c>
      <c r="I117" s="17"/>
      <c r="J117" s="17"/>
      <c r="K117" s="17"/>
      <c r="L117" s="17"/>
      <c r="M117" s="37"/>
      <c r="N117" s="38" t="s">
        <v>407</v>
      </c>
      <c r="O117" s="39" t="s">
        <v>509</v>
      </c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>
        <v>1</v>
      </c>
      <c r="AD117" s="16" t="s">
        <v>510</v>
      </c>
      <c r="AE117" s="16" t="s">
        <v>1070</v>
      </c>
      <c r="AF117" s="16" t="s">
        <v>1071</v>
      </c>
      <c r="AG117" s="16" t="s">
        <v>1069</v>
      </c>
      <c r="AH117" s="1"/>
      <c r="AI117" s="1"/>
      <c r="AJ117" t="str">
        <f>IFERROR(IF(INDEX('WBS2'!$I$2:$I$25,MATCH($C117,'WBS2'!$F$2:$F$25,0))="","",INDEX('WBS2'!$I$2:$I$25,MATCH($C117,'WBS2'!$F$2:$F$25,0))),"")</f>
        <v/>
      </c>
      <c r="AK117" t="str">
        <f>IFERROR(IF(INDEX('WBS2'!$I$27:$I$162,MATCH($C117,'WBS2'!$F$27:$F$162,0))="","",INDEX('WBS2'!$I$27:$I$162,MATCH($C117,'WBS2'!$F$27:$F$162,0))),"")</f>
        <v>Sẵn sàng</v>
      </c>
      <c r="AL117" s="92">
        <f>IFERROR(IF(OR($AK117="Chưa hoàn thành",$AK117="Sẵn sàng"),INDEX('WBS2'!$H$27:$H$162,MATCH($C117,'WBS2'!$F$27:$F$162,0)),""),"")</f>
        <v>46418</v>
      </c>
      <c r="AM117" t="str">
        <f>IFERROR(IF(INDEX('WBS2'!$J$27:$J$162,MATCH($C117,'WBS2'!$F$27:$F$162,0))="","",INDEX('WBS2'!$J$27:$J$162,MATCH($C117,'WBS2'!$F$27:$F$162,0))),"")</f>
        <v>sctv – số bảo mật</v>
      </c>
      <c r="AN117" t="str">
        <f>IFERROR(IF(INDEX('WBS2'!$I$163:$I$298,MATCH($C117,'WBS2'!$F$163:$F$298,0))="","",INDEX('WBS2'!$I$163:$I$298,MATCH($C117,'WBS2'!$F$163:$F$298,0))),"")</f>
        <v>Sẵn sàng</v>
      </c>
      <c r="AO117" s="92">
        <f>IFERROR(IF(OR($AN117="Chưa hoàn thành",$AN117="Sẵn sàng"),INDEX('WBS2'!$H$163:$H$298,MATCH($C117,'WBS2'!$F$163:$F$298,0)),""),"")</f>
        <v>46418</v>
      </c>
      <c r="AP117" t="str">
        <f>IFERROR(IF(INDEX('WBS2'!$J$163:$J$298,MATCH($C117,'WBS2'!$F$163:$F$298,0))="","",INDEX('WBS2'!$J$163:$J$298,MATCH($C117,'WBS2'!$F$163:$F$298,0))),"")</f>
        <v/>
      </c>
    </row>
    <row r="118" spans="1:42" ht="14.25" hidden="1" customHeight="1" x14ac:dyDescent="0.35">
      <c r="A118" s="13">
        <v>117</v>
      </c>
      <c r="B118" s="28" t="s">
        <v>322</v>
      </c>
      <c r="C118" s="14" t="s">
        <v>323</v>
      </c>
      <c r="D118" s="13" t="s">
        <v>1072</v>
      </c>
      <c r="E118" s="83" t="s">
        <v>1073</v>
      </c>
      <c r="F118" s="20" t="s">
        <v>381</v>
      </c>
      <c r="G118" s="66" t="s">
        <v>1074</v>
      </c>
      <c r="H118" s="35" t="str">
        <f t="shared" si="3"/>
        <v>Mã tra cứu</v>
      </c>
      <c r="I118" s="17"/>
      <c r="J118" s="17"/>
      <c r="K118" s="17"/>
      <c r="L118" s="17"/>
      <c r="M118" s="37"/>
      <c r="N118" s="38" t="s">
        <v>407</v>
      </c>
      <c r="O118" s="39" t="s">
        <v>509</v>
      </c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>
        <v>1</v>
      </c>
      <c r="AD118" s="16" t="s">
        <v>510</v>
      </c>
      <c r="AE118" s="16" t="s">
        <v>1075</v>
      </c>
      <c r="AF118" s="16" t="s">
        <v>1076</v>
      </c>
      <c r="AG118" s="16" t="s">
        <v>1074</v>
      </c>
      <c r="AH118" s="1"/>
      <c r="AI118" s="1"/>
      <c r="AJ118" t="str">
        <f>IFERROR(IF(INDEX('WBS2'!$I$2:$I$25,MATCH($C118,'WBS2'!$F$2:$F$25,0))="","",INDEX('WBS2'!$I$2:$I$25,MATCH($C118,'WBS2'!$F$2:$F$25,0))),"")</f>
        <v/>
      </c>
      <c r="AK118" t="str">
        <f>IFERROR(IF(INDEX('WBS2'!$I$27:$I$162,MATCH($C118,'WBS2'!$F$27:$F$162,0))="","",INDEX('WBS2'!$I$27:$I$162,MATCH($C118,'WBS2'!$F$27:$F$162,0))),"")</f>
        <v>Sẵn sàng</v>
      </c>
      <c r="AL118" s="92">
        <f>IFERROR(IF(OR($AK118="Chưa hoàn thành",$AK118="Sẵn sàng"),INDEX('WBS2'!$H$27:$H$162,MATCH($C118,'WBS2'!$F$27:$F$162,0)),""),"")</f>
        <v>46418</v>
      </c>
      <c r="AM118" t="str">
        <f>IFERROR(IF(INDEX('WBS2'!$J$27:$J$162,MATCH($C118,'WBS2'!$F$27:$F$162,0))="","",INDEX('WBS2'!$J$27:$J$162,MATCH($C118,'WBS2'!$F$27:$F$162,0))),"")</f>
        <v>mmhoadon</v>
      </c>
      <c r="AN118" t="str">
        <f>IFERROR(IF(INDEX('WBS2'!$I$163:$I$298,MATCH($C118,'WBS2'!$F$163:$F$298,0))="","",INDEX('WBS2'!$I$163:$I$298,MATCH($C118,'WBS2'!$F$163:$F$298,0))),"")</f>
        <v>Sẵn sàng</v>
      </c>
      <c r="AO118" s="92">
        <f>IFERROR(IF(OR($AN118="Chưa hoàn thành",$AN118="Sẵn sàng"),INDEX('WBS2'!$H$163:$H$298,MATCH($C118,'WBS2'!$F$163:$F$298,0)),""),"")</f>
        <v>46418</v>
      </c>
      <c r="AP118" t="str">
        <f>IFERROR(IF(INDEX('WBS2'!$J$163:$J$298,MATCH($C118,'WBS2'!$F$163:$F$298,0))="","",INDEX('WBS2'!$J$163:$J$298,MATCH($C118,'WBS2'!$F$163:$F$298,0))),"")</f>
        <v/>
      </c>
    </row>
    <row r="119" spans="1:42" ht="14.25" hidden="1" customHeight="1" x14ac:dyDescent="0.35">
      <c r="A119" s="13">
        <v>118</v>
      </c>
      <c r="B119" s="28" t="s">
        <v>325</v>
      </c>
      <c r="C119" s="14" t="s">
        <v>326</v>
      </c>
      <c r="D119" s="13" t="s">
        <v>1077</v>
      </c>
      <c r="E119" s="83" t="s">
        <v>1078</v>
      </c>
      <c r="F119" s="20" t="s">
        <v>381</v>
      </c>
      <c r="G119" s="23" t="s">
        <v>1079</v>
      </c>
      <c r="H119" s="35" t="str">
        <f t="shared" si="3"/>
        <v>Mã tra cứu</v>
      </c>
      <c r="I119" s="17"/>
      <c r="J119" s="17"/>
      <c r="K119" s="17"/>
      <c r="L119" s="17"/>
      <c r="M119" s="37"/>
      <c r="N119" s="38" t="s">
        <v>407</v>
      </c>
      <c r="O119" s="39" t="s">
        <v>509</v>
      </c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>
        <v>1</v>
      </c>
      <c r="AD119" s="16" t="s">
        <v>510</v>
      </c>
      <c r="AE119" s="16"/>
      <c r="AF119" s="16" t="s">
        <v>1080</v>
      </c>
      <c r="AG119" s="16" t="s">
        <v>1079</v>
      </c>
      <c r="AH119" s="1"/>
      <c r="AI119" s="1"/>
      <c r="AJ119" t="str">
        <f>IFERROR(IF(INDEX('WBS2'!$I$2:$I$25,MATCH($C119,'WBS2'!$F$2:$F$25,0))="","",INDEX('WBS2'!$I$2:$I$25,MATCH($C119,'WBS2'!$F$2:$F$25,0))),"")</f>
        <v/>
      </c>
      <c r="AK119" t="str">
        <f>IFERROR(IF(INDEX('WBS2'!$I$27:$I$162,MATCH($C119,'WBS2'!$F$27:$F$162,0))="","",INDEX('WBS2'!$I$27:$I$162,MATCH($C119,'WBS2'!$F$27:$F$162,0))),"")</f>
        <v>Sẵn sàng</v>
      </c>
      <c r="AL119" s="92">
        <f>IFERROR(IF(OR($AK119="Chưa hoàn thành",$AK119="Sẵn sàng"),INDEX('WBS2'!$H$27:$H$162,MATCH($C119,'WBS2'!$F$27:$F$162,0)),""),"")</f>
        <v>46418</v>
      </c>
      <c r="AM119" t="str">
        <f>IFERROR(IF(INDEX('WBS2'!$J$27:$J$162,MATCH($C119,'WBS2'!$F$27:$F$162,0))="","",INDEX('WBS2'!$J$27:$J$162,MATCH($C119,'WBS2'!$F$27:$F$162,0))),"")</f>
        <v>gohoadon</v>
      </c>
      <c r="AN119" t="str">
        <f>IFERROR(IF(INDEX('WBS2'!$I$163:$I$298,MATCH($C119,'WBS2'!$F$163:$F$298,0))="","",INDEX('WBS2'!$I$163:$I$298,MATCH($C119,'WBS2'!$F$163:$F$298,0))),"")</f>
        <v>Sẵn sàng</v>
      </c>
      <c r="AO119" s="92">
        <f>IFERROR(IF(OR($AN119="Chưa hoàn thành",$AN119="Sẵn sàng"),INDEX('WBS2'!$H$163:$H$298,MATCH($C119,'WBS2'!$F$163:$F$298,0)),""),"")</f>
        <v>46418</v>
      </c>
      <c r="AP119" t="str">
        <f>IFERROR(IF(INDEX('WBS2'!$J$163:$J$298,MATCH($C119,'WBS2'!$F$163:$F$298,0))="","",INDEX('WBS2'!$J$163:$J$298,MATCH($C119,'WBS2'!$F$163:$F$298,0))),"")</f>
        <v/>
      </c>
    </row>
    <row r="120" spans="1:42" ht="14.25" hidden="1" customHeight="1" x14ac:dyDescent="0.35">
      <c r="A120" s="13">
        <v>119</v>
      </c>
      <c r="B120" s="28" t="s">
        <v>328</v>
      </c>
      <c r="C120" s="14" t="s">
        <v>329</v>
      </c>
      <c r="D120" s="13" t="s">
        <v>1081</v>
      </c>
      <c r="E120" s="83" t="s">
        <v>1082</v>
      </c>
      <c r="F120" s="20" t="s">
        <v>381</v>
      </c>
      <c r="G120" s="66" t="s">
        <v>1083</v>
      </c>
      <c r="H120" s="35" t="str">
        <f t="shared" si="3"/>
        <v>Mã tra cứu</v>
      </c>
      <c r="I120" s="17"/>
      <c r="J120" s="17"/>
      <c r="K120" s="17"/>
      <c r="L120" s="17"/>
      <c r="M120" s="37"/>
      <c r="N120" s="38" t="s">
        <v>407</v>
      </c>
      <c r="O120" s="39" t="s">
        <v>509</v>
      </c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>
        <v>1</v>
      </c>
      <c r="AD120" s="16" t="s">
        <v>1084</v>
      </c>
      <c r="AE120" s="16" t="s">
        <v>1085</v>
      </c>
      <c r="AF120" s="16" t="s">
        <v>1086</v>
      </c>
      <c r="AG120" s="16" t="s">
        <v>1083</v>
      </c>
      <c r="AH120" s="1"/>
      <c r="AI120" s="1"/>
      <c r="AJ120" t="str">
        <f>IFERROR(IF(INDEX('WBS2'!$I$2:$I$25,MATCH($C120,'WBS2'!$F$2:$F$25,0))="","",INDEX('WBS2'!$I$2:$I$25,MATCH($C120,'WBS2'!$F$2:$F$25,0))),"")</f>
        <v/>
      </c>
      <c r="AK120" t="str">
        <f>IFERROR(IF(INDEX('WBS2'!$I$27:$I$162,MATCH($C120,'WBS2'!$F$27:$F$162,0))="","",INDEX('WBS2'!$I$27:$I$162,MATCH($C120,'WBS2'!$F$27:$F$162,0))),"")</f>
        <v>Chưa hoàn thành</v>
      </c>
      <c r="AL120" s="92">
        <f>IFERROR(IF(OR($AK120="Chưa hoàn thành",$AK120="Sẵn sàng"),INDEX('WBS2'!$H$27:$H$162,MATCH($C120,'WBS2'!$F$27:$F$162,0)),""),"")</f>
        <v>46538</v>
      </c>
      <c r="AM120" t="str">
        <f>IFERROR(IF(INDEX('WBS2'!$J$27:$J$162,MATCH($C120,'WBS2'!$F$27:$F$162,0))="","",INDEX('WBS2'!$J$27:$J$162,MATCH($C120,'WBS2'!$F$27:$F$162,0))),"")</f>
        <v>Không làm được qua link tra cứu – reCAPTCHA v3 (khảo sát 14/10), lấy qua mail. tracuuhoadon.taxnet.vn</v>
      </c>
      <c r="AN120" t="str">
        <f>IFERROR(IF(INDEX('WBS2'!$I$163:$I$298,MATCH($C120,'WBS2'!$F$163:$F$298,0))="","",INDEX('WBS2'!$I$163:$I$298,MATCH($C120,'WBS2'!$F$163:$F$298,0))),"")</f>
        <v>Chưa hoàn thành</v>
      </c>
      <c r="AO120" s="92">
        <f>IFERROR(IF(OR($AN120="Chưa hoàn thành",$AN120="Sẵn sàng"),INDEX('WBS2'!$H$163:$H$298,MATCH($C120,'WBS2'!$F$163:$F$298,0)),""),"")</f>
        <v>46538</v>
      </c>
      <c r="AP120" t="str">
        <f>IFERROR(IF(INDEX('WBS2'!$J$163:$J$298,MATCH($C120,'WBS2'!$F$163:$F$298,0))="","",INDEX('WBS2'!$J$163:$J$298,MATCH($C120,'WBS2'!$F$163:$F$298,0))),"")</f>
        <v>Chưa có thông tin</v>
      </c>
    </row>
    <row r="121" spans="1:42" ht="14.25" hidden="1" customHeight="1" x14ac:dyDescent="0.35">
      <c r="A121" s="13">
        <v>120</v>
      </c>
      <c r="B121" s="28" t="s">
        <v>331</v>
      </c>
      <c r="C121" s="14" t="s">
        <v>332</v>
      </c>
      <c r="D121" s="13" t="s">
        <v>1087</v>
      </c>
      <c r="E121" s="83" t="s">
        <v>1088</v>
      </c>
      <c r="F121" s="20" t="s">
        <v>577</v>
      </c>
      <c r="G121" s="20"/>
      <c r="H121" s="35" t="str">
        <f t="shared" si="3"/>
        <v/>
      </c>
      <c r="I121" s="17"/>
      <c r="J121" s="17"/>
      <c r="K121" s="17"/>
      <c r="L121" s="17"/>
      <c r="M121" s="37"/>
      <c r="N121" s="38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1"/>
      <c r="AI121" s="1"/>
      <c r="AJ121" t="str">
        <f>IFERROR(IF(INDEX('WBS2'!$I$2:$I$25,MATCH($C121,'WBS2'!$F$2:$F$25,0))="","",INDEX('WBS2'!$I$2:$I$25,MATCH($C121,'WBS2'!$F$2:$F$25,0))),"")</f>
        <v/>
      </c>
      <c r="AK121" t="str">
        <f>IFERROR(IF(INDEX('WBS2'!$I$27:$I$162,MATCH($C121,'WBS2'!$F$27:$F$162,0))="","",INDEX('WBS2'!$I$27:$I$162,MATCH($C121,'WBS2'!$F$27:$F$162,0))),"")</f>
        <v>Chưa hoàn thành</v>
      </c>
      <c r="AL121" s="92">
        <f>IFERROR(IF(OR($AK121="Chưa hoàn thành",$AK121="Sẵn sàng"),INDEX('WBS2'!$H$27:$H$162,MATCH($C121,'WBS2'!$F$27:$F$162,0)),""),"")</f>
        <v>46538</v>
      </c>
      <c r="AM121" t="str">
        <f>IFERROR(IF(INDEX('WBS2'!$J$27:$J$162,MATCH($C121,'WBS2'!$F$27:$F$162,0))="","",INDEX('WBS2'!$J$27:$J$162,MATCH($C121,'WBS2'!$F$27:$F$162,0))),"")</f>
        <v>Chưa làm – danh sách chưa có link tra cứu, chưa có HĐ thật</v>
      </c>
      <c r="AN121" t="str">
        <f>IFERROR(IF(INDEX('WBS2'!$I$163:$I$298,MATCH($C121,'WBS2'!$F$163:$F$298,0))="","",INDEX('WBS2'!$I$163:$I$298,MATCH($C121,'WBS2'!$F$163:$F$298,0))),"")</f>
        <v>Chưa hoàn thành</v>
      </c>
      <c r="AO121" s="92">
        <f>IFERROR(IF(OR($AN121="Chưa hoàn thành",$AN121="Sẵn sàng"),INDEX('WBS2'!$H$163:$H$298,MATCH($C121,'WBS2'!$F$163:$F$298,0)),""),"")</f>
        <v>46538</v>
      </c>
      <c r="AP121" t="str">
        <f>IFERROR(IF(INDEX('WBS2'!$J$163:$J$298,MATCH($C121,'WBS2'!$F$163:$F$298,0))="","",INDEX('WBS2'!$J$163:$J$298,MATCH($C121,'WBS2'!$F$163:$F$298,0))),"")</f>
        <v>Chưa có thông tin</v>
      </c>
    </row>
    <row r="122" spans="1:42" ht="14.25" hidden="1" customHeight="1" x14ac:dyDescent="0.35">
      <c r="A122" s="13">
        <v>121</v>
      </c>
      <c r="B122" s="28" t="s">
        <v>333</v>
      </c>
      <c r="C122" s="14" t="s">
        <v>334</v>
      </c>
      <c r="D122" s="13" t="s">
        <v>1089</v>
      </c>
      <c r="E122" s="83" t="s">
        <v>1090</v>
      </c>
      <c r="F122" s="20" t="s">
        <v>577</v>
      </c>
      <c r="G122" s="20"/>
      <c r="H122" s="35" t="str">
        <f t="shared" si="3"/>
        <v/>
      </c>
      <c r="I122" s="17"/>
      <c r="J122" s="17"/>
      <c r="K122" s="17"/>
      <c r="L122" s="17"/>
      <c r="M122" s="37"/>
      <c r="N122" s="38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1"/>
      <c r="AI122" s="1"/>
      <c r="AJ122" t="str">
        <f>IFERROR(IF(INDEX('WBS2'!$I$2:$I$25,MATCH($C122,'WBS2'!$F$2:$F$25,0))="","",INDEX('WBS2'!$I$2:$I$25,MATCH($C122,'WBS2'!$F$2:$F$25,0))),"")</f>
        <v/>
      </c>
      <c r="AK122" t="str">
        <f>IFERROR(IF(INDEX('WBS2'!$I$27:$I$162,MATCH($C122,'WBS2'!$F$27:$F$162,0))="","",INDEX('WBS2'!$I$27:$I$162,MATCH($C122,'WBS2'!$F$27:$F$162,0))),"")</f>
        <v>Chưa hoàn thành</v>
      </c>
      <c r="AL122" s="92">
        <f>IFERROR(IF(OR($AK122="Chưa hoàn thành",$AK122="Sẵn sàng"),INDEX('WBS2'!$H$27:$H$162,MATCH($C122,'WBS2'!$F$27:$F$162,0)),""),"")</f>
        <v>46538</v>
      </c>
      <c r="AM122" t="str">
        <f>IFERROR(IF(INDEX('WBS2'!$J$27:$J$162,MATCH($C122,'WBS2'!$F$27:$F$162,0))="","",INDEX('WBS2'!$J$27:$J$162,MATCH($C122,'WBS2'!$F$27:$F$162,0))),"")</f>
        <v>Chưa làm – danh sách chưa có link tra cứu, chưa có HĐ thật</v>
      </c>
      <c r="AN122" t="str">
        <f>IFERROR(IF(INDEX('WBS2'!$I$163:$I$298,MATCH($C122,'WBS2'!$F$163:$F$298,0))="","",INDEX('WBS2'!$I$163:$I$298,MATCH($C122,'WBS2'!$F$163:$F$298,0))),"")</f>
        <v>Chưa hoàn thành</v>
      </c>
      <c r="AO122" s="92">
        <f>IFERROR(IF(OR($AN122="Chưa hoàn thành",$AN122="Sẵn sàng"),INDEX('WBS2'!$H$163:$H$298,MATCH($C122,'WBS2'!$F$163:$F$298,0)),""),"")</f>
        <v>46538</v>
      </c>
      <c r="AP122" t="str">
        <f>IFERROR(IF(INDEX('WBS2'!$J$163:$J$298,MATCH($C122,'WBS2'!$F$163:$F$298,0))="","",INDEX('WBS2'!$J$163:$J$298,MATCH($C122,'WBS2'!$F$163:$F$298,0))),"")</f>
        <v>Chưa có thông tin</v>
      </c>
    </row>
    <row r="123" spans="1:42" ht="14.25" hidden="1" customHeight="1" x14ac:dyDescent="0.35">
      <c r="A123" s="13">
        <v>122</v>
      </c>
      <c r="B123" s="28" t="s">
        <v>335</v>
      </c>
      <c r="C123" s="14" t="s">
        <v>336</v>
      </c>
      <c r="D123" s="13" t="s">
        <v>1091</v>
      </c>
      <c r="E123" s="83" t="s">
        <v>1092</v>
      </c>
      <c r="F123" s="20" t="s">
        <v>577</v>
      </c>
      <c r="G123" s="66" t="s">
        <v>1093</v>
      </c>
      <c r="H123" s="35" t="str">
        <f t="shared" si="3"/>
        <v/>
      </c>
      <c r="I123" s="17"/>
      <c r="J123" s="17"/>
      <c r="K123" s="17"/>
      <c r="L123" s="17"/>
      <c r="M123" s="37"/>
      <c r="N123" s="38" t="s">
        <v>408</v>
      </c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 t="s">
        <v>509</v>
      </c>
      <c r="AB123" s="39"/>
      <c r="AC123" s="39"/>
      <c r="AD123" s="16" t="s">
        <v>1094</v>
      </c>
      <c r="AE123" s="16"/>
      <c r="AF123" s="16" t="s">
        <v>1095</v>
      </c>
      <c r="AG123" s="16" t="s">
        <v>1096</v>
      </c>
      <c r="AH123" s="1"/>
      <c r="AI123" s="1"/>
      <c r="AJ123" t="str">
        <f>IFERROR(IF(INDEX('WBS2'!$I$2:$I$25,MATCH($C123,'WBS2'!$F$2:$F$25,0))="","",INDEX('WBS2'!$I$2:$I$25,MATCH($C123,'WBS2'!$F$2:$F$25,0))),"")</f>
        <v/>
      </c>
      <c r="AK123" t="str">
        <f>IFERROR(IF(INDEX('WBS2'!$I$27:$I$162,MATCH($C123,'WBS2'!$F$27:$F$162,0))="","",INDEX('WBS2'!$I$27:$I$162,MATCH($C123,'WBS2'!$F$27:$F$162,0))),"")</f>
        <v>Chưa hoàn thành</v>
      </c>
      <c r="AL123" s="92">
        <f>IFERROR(IF(OR($AK123="Chưa hoàn thành",$AK123="Sẵn sàng"),INDEX('WBS2'!$H$27:$H$162,MATCH($C123,'WBS2'!$F$27:$F$162,0)),""),"")</f>
        <v>46538</v>
      </c>
      <c r="AM123" t="str">
        <f>IFERROR(IF(INDEX('WBS2'!$J$27:$J$162,MATCH($C123,'WBS2'!$F$27:$F$162,0))="","",INDEX('WBS2'!$J$27:$J$162,MATCH($C123,'WBS2'!$F$27:$F$162,0))),"")</f>
        <v>Không làm được qua link tra cứu – phải đăng nhập. hddt.hddt-nc.vn</v>
      </c>
      <c r="AN123" t="str">
        <f>IFERROR(IF(INDEX('WBS2'!$I$163:$I$298,MATCH($C123,'WBS2'!$F$163:$F$298,0))="","",INDEX('WBS2'!$I$163:$I$298,MATCH($C123,'WBS2'!$F$163:$F$298,0))),"")</f>
        <v>Chưa hoàn thành</v>
      </c>
      <c r="AO123" s="92">
        <f>IFERROR(IF(OR($AN123="Chưa hoàn thành",$AN123="Sẵn sàng"),INDEX('WBS2'!$H$163:$H$298,MATCH($C123,'WBS2'!$F$163:$F$298,0)),""),"")</f>
        <v>46538</v>
      </c>
      <c r="AP123" t="str">
        <f>IFERROR(IF(INDEX('WBS2'!$J$163:$J$298,MATCH($C123,'WBS2'!$F$163:$F$298,0))="","",INDEX('WBS2'!$J$163:$J$298,MATCH($C123,'WBS2'!$F$163:$F$298,0))),"")</f>
        <v>Chưa có thông tin</v>
      </c>
    </row>
    <row r="124" spans="1:42" ht="14.25" hidden="1" customHeight="1" x14ac:dyDescent="0.35">
      <c r="A124" s="13">
        <v>123</v>
      </c>
      <c r="B124" s="28" t="s">
        <v>338</v>
      </c>
      <c r="C124" s="14" t="s">
        <v>339</v>
      </c>
      <c r="D124" s="13" t="s">
        <v>1097</v>
      </c>
      <c r="E124" s="83" t="s">
        <v>1098</v>
      </c>
      <c r="F124" s="20" t="s">
        <v>577</v>
      </c>
      <c r="G124" s="66" t="s">
        <v>1099</v>
      </c>
      <c r="H124" s="35" t="str">
        <f t="shared" si="3"/>
        <v/>
      </c>
      <c r="I124" s="17"/>
      <c r="J124" s="17"/>
      <c r="K124" s="17"/>
      <c r="L124" s="17"/>
      <c r="M124" s="37"/>
      <c r="N124" s="38" t="s">
        <v>410</v>
      </c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16"/>
      <c r="AE124" s="16"/>
      <c r="AF124" s="16" t="s">
        <v>1100</v>
      </c>
      <c r="AG124" s="16" t="s">
        <v>1099</v>
      </c>
      <c r="AH124" s="1"/>
      <c r="AI124" s="1"/>
      <c r="AJ124" t="str">
        <f>IFERROR(IF(INDEX('WBS2'!$I$2:$I$25,MATCH($C124,'WBS2'!$F$2:$F$25,0))="","",INDEX('WBS2'!$I$2:$I$25,MATCH($C124,'WBS2'!$F$2:$F$25,0))),"")</f>
        <v/>
      </c>
      <c r="AK124" t="str">
        <f>IFERROR(IF(INDEX('WBS2'!$I$27:$I$162,MATCH($C124,'WBS2'!$F$27:$F$162,0))="","",INDEX('WBS2'!$I$27:$I$162,MATCH($C124,'WBS2'!$F$27:$F$162,0))),"")</f>
        <v>Chưa hoàn thành</v>
      </c>
      <c r="AL124" s="92">
        <f>IFERROR(IF(OR($AK124="Chưa hoàn thành",$AK124="Sẵn sàng"),INDEX('WBS2'!$H$27:$H$162,MATCH($C124,'WBS2'!$F$27:$F$162,0)),""),"")</f>
        <v>46538</v>
      </c>
      <c r="AM124" t="str">
        <f>IFERROR(IF(INDEX('WBS2'!$J$27:$J$162,MATCH($C124,'WBS2'!$F$27:$F$162,0))="","",INDEX('WBS2'!$J$27:$J$162,MATCH($C124,'WBS2'!$F$27:$F$162,0))),"")</f>
        <v>Không làm được qua link tra cứu – cổng lỗi. hoadon.vuhai.co</v>
      </c>
      <c r="AN124" t="str">
        <f>IFERROR(IF(INDEX('WBS2'!$I$163:$I$298,MATCH($C124,'WBS2'!$F$163:$F$298,0))="","",INDEX('WBS2'!$I$163:$I$298,MATCH($C124,'WBS2'!$F$163:$F$298,0))),"")</f>
        <v>Chưa hoàn thành</v>
      </c>
      <c r="AO124" s="92">
        <f>IFERROR(IF(OR($AN124="Chưa hoàn thành",$AN124="Sẵn sàng"),INDEX('WBS2'!$H$163:$H$298,MATCH($C124,'WBS2'!$F$163:$F$298,0)),""),"")</f>
        <v>46538</v>
      </c>
      <c r="AP124" t="str">
        <f>IFERROR(IF(INDEX('WBS2'!$J$163:$J$298,MATCH($C124,'WBS2'!$F$163:$F$298,0))="","",INDEX('WBS2'!$J$163:$J$298,MATCH($C124,'WBS2'!$F$163:$F$298,0))),"")</f>
        <v>Chưa có thông tin</v>
      </c>
    </row>
    <row r="125" spans="1:42" ht="14.25" hidden="1" customHeight="1" x14ac:dyDescent="0.35">
      <c r="A125" s="13">
        <v>124</v>
      </c>
      <c r="B125" s="28" t="s">
        <v>341</v>
      </c>
      <c r="C125" s="14" t="s">
        <v>342</v>
      </c>
      <c r="D125" s="13" t="s">
        <v>1101</v>
      </c>
      <c r="E125" s="83" t="s">
        <v>1102</v>
      </c>
      <c r="F125" s="20" t="s">
        <v>381</v>
      </c>
      <c r="G125" s="23" t="s">
        <v>613</v>
      </c>
      <c r="H125" s="35" t="str">
        <f t="shared" si="3"/>
        <v>Mã tra cứu</v>
      </c>
      <c r="I125" s="17"/>
      <c r="J125" s="17"/>
      <c r="K125" s="17"/>
      <c r="L125" s="17"/>
      <c r="M125" s="37"/>
      <c r="N125" s="38" t="s">
        <v>407</v>
      </c>
      <c r="O125" s="39" t="s">
        <v>509</v>
      </c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>
        <v>1</v>
      </c>
      <c r="AD125" s="16" t="s">
        <v>1103</v>
      </c>
      <c r="AE125" s="16" t="s">
        <v>1104</v>
      </c>
      <c r="AF125" s="16" t="s">
        <v>1105</v>
      </c>
      <c r="AG125" s="16" t="s">
        <v>613</v>
      </c>
      <c r="AH125" s="1"/>
      <c r="AI125" s="1"/>
      <c r="AJ125" t="str">
        <f>IFERROR(IF(INDEX('WBS2'!$I$2:$I$25,MATCH($C125,'WBS2'!$F$2:$F$25,0))="","",INDEX('WBS2'!$I$2:$I$25,MATCH($C125,'WBS2'!$F$2:$F$25,0))),"")</f>
        <v/>
      </c>
      <c r="AK125" t="str">
        <f>IFERROR(IF(INDEX('WBS2'!$I$27:$I$162,MATCH($C125,'WBS2'!$F$27:$F$162,0))="","",INDEX('WBS2'!$I$27:$I$162,MATCH($C125,'WBS2'!$F$27:$F$162,0))),"")</f>
        <v>Sẵn sàng</v>
      </c>
      <c r="AL125" s="92">
        <f>IFERROR(IF(OR($AK125="Chưa hoàn thành",$AK125="Sẵn sàng"),INDEX('WBS2'!$H$27:$H$162,MATCH($C125,'WBS2'!$F$27:$F$162,0)),""),"")</f>
        <v>46418</v>
      </c>
      <c r="AM125" t="str">
        <f>IFERROR(IF(INDEX('WBS2'!$J$27:$J$162,MATCH($C125,'WBS2'!$F$27:$F$162,0))="","",INDEX('WBS2'!$J$27:$J$162,MATCH($C125,'WBS2'!$F$27:$F$162,0))),"")</f>
        <v/>
      </c>
      <c r="AN125" t="str">
        <f>IFERROR(IF(INDEX('WBS2'!$I$163:$I$298,MATCH($C125,'WBS2'!$F$163:$F$298,0))="","",INDEX('WBS2'!$I$163:$I$298,MATCH($C125,'WBS2'!$F$163:$F$298,0))),"")</f>
        <v>Sẵn sàng</v>
      </c>
      <c r="AO125" s="92">
        <f>IFERROR(IF(OR($AN125="Chưa hoàn thành",$AN125="Sẵn sàng"),INDEX('WBS2'!$H$163:$H$298,MATCH($C125,'WBS2'!$F$163:$F$298,0)),""),"")</f>
        <v>46418</v>
      </c>
      <c r="AP125" t="str">
        <f>IFERROR(IF(INDEX('WBS2'!$J$163:$J$298,MATCH($C125,'WBS2'!$F$163:$F$298,0))="","",INDEX('WBS2'!$J$163:$J$298,MATCH($C125,'WBS2'!$F$163:$F$298,0))),"")</f>
        <v/>
      </c>
    </row>
    <row r="126" spans="1:42" ht="14.25" hidden="1" customHeight="1" x14ac:dyDescent="0.35">
      <c r="A126" s="13">
        <v>125</v>
      </c>
      <c r="B126" s="28" t="s">
        <v>343</v>
      </c>
      <c r="C126" s="14" t="s">
        <v>344</v>
      </c>
      <c r="D126" s="13" t="s">
        <v>1106</v>
      </c>
      <c r="E126" s="83" t="s">
        <v>1107</v>
      </c>
      <c r="F126" s="20" t="s">
        <v>577</v>
      </c>
      <c r="G126" s="20"/>
      <c r="H126" s="35" t="str">
        <f t="shared" si="3"/>
        <v/>
      </c>
      <c r="I126" s="17"/>
      <c r="J126" s="17"/>
      <c r="K126" s="17"/>
      <c r="L126" s="17"/>
      <c r="M126" s="37"/>
      <c r="N126" s="38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1"/>
      <c r="AI126" s="1"/>
      <c r="AJ126" t="str">
        <f>IFERROR(IF(INDEX('WBS2'!$I$2:$I$25,MATCH($C126,'WBS2'!$F$2:$F$25,0))="","",INDEX('WBS2'!$I$2:$I$25,MATCH($C126,'WBS2'!$F$2:$F$25,0))),"")</f>
        <v/>
      </c>
      <c r="AK126" t="str">
        <f>IFERROR(IF(INDEX('WBS2'!$I$27:$I$162,MATCH($C126,'WBS2'!$F$27:$F$162,0))="","",INDEX('WBS2'!$I$27:$I$162,MATCH($C126,'WBS2'!$F$27:$F$162,0))),"")</f>
        <v>Chưa hoàn thành</v>
      </c>
      <c r="AL126" s="92">
        <f>IFERROR(IF(OR($AK126="Chưa hoàn thành",$AK126="Sẵn sàng"),INDEX('WBS2'!$H$27:$H$162,MATCH($C126,'WBS2'!$F$27:$F$162,0)),""),"")</f>
        <v>46538</v>
      </c>
      <c r="AM126" t="str">
        <f>IFERROR(IF(INDEX('WBS2'!$J$27:$J$162,MATCH($C126,'WBS2'!$F$27:$F$162,0))="","",INDEX('WBS2'!$J$27:$J$162,MATCH($C126,'WBS2'!$F$27:$F$162,0))),"")</f>
        <v>Chưa làm</v>
      </c>
      <c r="AN126" t="str">
        <f>IFERROR(IF(INDEX('WBS2'!$I$163:$I$298,MATCH($C126,'WBS2'!$F$163:$F$298,0))="","",INDEX('WBS2'!$I$163:$I$298,MATCH($C126,'WBS2'!$F$163:$F$298,0))),"")</f>
        <v>Chưa hoàn thành</v>
      </c>
      <c r="AO126" s="92">
        <f>IFERROR(IF(OR($AN126="Chưa hoàn thành",$AN126="Sẵn sàng"),INDEX('WBS2'!$H$163:$H$298,MATCH($C126,'WBS2'!$F$163:$F$298,0)),""),"")</f>
        <v>46538</v>
      </c>
      <c r="AP126" t="str">
        <f>IFERROR(IF(INDEX('WBS2'!$J$163:$J$298,MATCH($C126,'WBS2'!$F$163:$F$298,0))="","",INDEX('WBS2'!$J$163:$J$298,MATCH($C126,'WBS2'!$F$163:$F$298,0))),"")</f>
        <v>Chưa có thông tin</v>
      </c>
    </row>
    <row r="127" spans="1:42" ht="14.25" hidden="1" customHeight="1" x14ac:dyDescent="0.35">
      <c r="A127" s="13">
        <v>126</v>
      </c>
      <c r="B127" s="28" t="s">
        <v>345</v>
      </c>
      <c r="C127" s="14" t="s">
        <v>346</v>
      </c>
      <c r="D127" s="13" t="s">
        <v>1108</v>
      </c>
      <c r="E127" s="83" t="s">
        <v>1109</v>
      </c>
      <c r="F127" s="20" t="s">
        <v>577</v>
      </c>
      <c r="G127" s="66" t="s">
        <v>1110</v>
      </c>
      <c r="H127" s="35" t="str">
        <f t="shared" si="3"/>
        <v>Mã tra cứu + MST người bán</v>
      </c>
      <c r="I127" s="17"/>
      <c r="J127" s="17"/>
      <c r="K127" s="17"/>
      <c r="L127" s="17"/>
      <c r="M127" s="37"/>
      <c r="N127" s="38" t="s">
        <v>407</v>
      </c>
      <c r="O127" s="39" t="s">
        <v>509</v>
      </c>
      <c r="P127" s="39" t="s">
        <v>509</v>
      </c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>
        <v>2</v>
      </c>
      <c r="AD127" s="16" t="s">
        <v>510</v>
      </c>
      <c r="AE127" s="16" t="s">
        <v>1111</v>
      </c>
      <c r="AF127" s="16" t="s">
        <v>1112</v>
      </c>
      <c r="AG127" s="16" t="s">
        <v>1113</v>
      </c>
      <c r="AH127" s="1"/>
      <c r="AI127" s="1"/>
      <c r="AJ127" t="str">
        <f>IFERROR(IF(INDEX('WBS2'!$I$2:$I$25,MATCH($C127,'WBS2'!$F$2:$F$25,0))="","",INDEX('WBS2'!$I$2:$I$25,MATCH($C127,'WBS2'!$F$2:$F$25,0))),"")</f>
        <v/>
      </c>
      <c r="AK127" t="str">
        <f>IFERROR(IF(INDEX('WBS2'!$I$27:$I$162,MATCH($C127,'WBS2'!$F$27:$F$162,0))="","",INDEX('WBS2'!$I$27:$I$162,MATCH($C127,'WBS2'!$F$27:$F$162,0))),"")</f>
        <v>Sẵn sàng</v>
      </c>
      <c r="AL127" s="92">
        <f>IFERROR(IF(OR($AK127="Chưa hoàn thành",$AK127="Sẵn sàng"),INDEX('WBS2'!$H$27:$H$162,MATCH($C127,'WBS2'!$F$27:$F$162,0)),""),"")</f>
        <v>46418</v>
      </c>
      <c r="AM127" t="str">
        <f>IFERROR(IF(INDEX('WBS2'!$J$27:$J$162,MATCH($C127,'WBS2'!$F$27:$F$162,0))="","",INDEX('WBS2'!$J$27:$J$162,MATCH($C127,'WBS2'!$F$27:$F$162,0))),"")</f>
        <v/>
      </c>
      <c r="AN127" t="str">
        <f>IFERROR(IF(INDEX('WBS2'!$I$163:$I$298,MATCH($C127,'WBS2'!$F$163:$F$298,0))="","",INDEX('WBS2'!$I$163:$I$298,MATCH($C127,'WBS2'!$F$163:$F$298,0))),"")</f>
        <v>Sẵn sàng</v>
      </c>
      <c r="AO127" s="92">
        <f>IFERROR(IF(OR($AN127="Chưa hoàn thành",$AN127="Sẵn sàng"),INDEX('WBS2'!$H$163:$H$298,MATCH($C127,'WBS2'!$F$163:$F$298,0)),""),"")</f>
        <v>46418</v>
      </c>
      <c r="AP127" t="str">
        <f>IFERROR(IF(INDEX('WBS2'!$J$163:$J$298,MATCH($C127,'WBS2'!$F$163:$F$298,0))="","",INDEX('WBS2'!$J$163:$J$298,MATCH($C127,'WBS2'!$F$163:$F$298,0))),"")</f>
        <v/>
      </c>
    </row>
    <row r="128" spans="1:42" ht="14.25" hidden="1" customHeight="1" x14ac:dyDescent="0.35">
      <c r="A128" s="13">
        <v>127</v>
      </c>
      <c r="B128" s="28" t="s">
        <v>347</v>
      </c>
      <c r="C128" s="14" t="s">
        <v>348</v>
      </c>
      <c r="D128" s="13" t="s">
        <v>1114</v>
      </c>
      <c r="E128" s="83" t="s">
        <v>1115</v>
      </c>
      <c r="F128" s="20" t="s">
        <v>381</v>
      </c>
      <c r="G128" s="23" t="s">
        <v>1116</v>
      </c>
      <c r="H128" s="35" t="str">
        <f t="shared" si="3"/>
        <v>Mã tra cứu + MST người bán</v>
      </c>
      <c r="I128" s="17"/>
      <c r="J128" s="17"/>
      <c r="K128" s="17"/>
      <c r="L128" s="17"/>
      <c r="M128" s="37"/>
      <c r="N128" s="38" t="s">
        <v>407</v>
      </c>
      <c r="O128" s="39" t="s">
        <v>509</v>
      </c>
      <c r="P128" s="39" t="s">
        <v>509</v>
      </c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>
        <v>2</v>
      </c>
      <c r="AD128" s="16" t="s">
        <v>510</v>
      </c>
      <c r="AE128" s="16"/>
      <c r="AF128" s="16" t="s">
        <v>1117</v>
      </c>
      <c r="AG128" s="16" t="s">
        <v>1116</v>
      </c>
      <c r="AH128" s="1"/>
      <c r="AI128" s="1"/>
      <c r="AJ128" t="str">
        <f>IFERROR(IF(INDEX('WBS2'!$I$2:$I$25,MATCH($C128,'WBS2'!$F$2:$F$25,0))="","",INDEX('WBS2'!$I$2:$I$25,MATCH($C128,'WBS2'!$F$2:$F$25,0))),"")</f>
        <v/>
      </c>
      <c r="AK128" t="str">
        <f>IFERROR(IF(INDEX('WBS2'!$I$27:$I$162,MATCH($C128,'WBS2'!$F$27:$F$162,0))="","",INDEX('WBS2'!$I$27:$I$162,MATCH($C128,'WBS2'!$F$27:$F$162,0))),"")</f>
        <v>Sẵn sàng</v>
      </c>
      <c r="AL128" s="92">
        <f>IFERROR(IF(OR($AK128="Chưa hoàn thành",$AK128="Sẵn sàng"),INDEX('WBS2'!$H$27:$H$162,MATCH($C128,'WBS2'!$F$27:$F$162,0)),""),"")</f>
        <v>46418</v>
      </c>
      <c r="AM128" t="str">
        <f>IFERROR(IF(INDEX('WBS2'!$J$27:$J$162,MATCH($C128,'WBS2'!$F$27:$F$162,0))="","",INDEX('WBS2'!$J$27:$J$162,MATCH($C128,'WBS2'!$F$27:$F$162,0))),"")</f>
        <v/>
      </c>
      <c r="AN128" t="str">
        <f>IFERROR(IF(INDEX('WBS2'!$I$163:$I$298,MATCH($C128,'WBS2'!$F$163:$F$298,0))="","",INDEX('WBS2'!$I$163:$I$298,MATCH($C128,'WBS2'!$F$163:$F$298,0))),"")</f>
        <v>Sẵn sàng</v>
      </c>
      <c r="AO128" s="92">
        <f>IFERROR(IF(OR($AN128="Chưa hoàn thành",$AN128="Sẵn sàng"),INDEX('WBS2'!$H$163:$H$298,MATCH($C128,'WBS2'!$F$163:$F$298,0)),""),"")</f>
        <v>46418</v>
      </c>
      <c r="AP128" t="str">
        <f>IFERROR(IF(INDEX('WBS2'!$J$163:$J$298,MATCH($C128,'WBS2'!$F$163:$F$298,0))="","",INDEX('WBS2'!$J$163:$J$298,MATCH($C128,'WBS2'!$F$163:$F$298,0))),"")</f>
        <v/>
      </c>
    </row>
    <row r="129" spans="1:42" ht="14.25" hidden="1" customHeight="1" x14ac:dyDescent="0.35">
      <c r="A129" s="13">
        <v>128</v>
      </c>
      <c r="B129" s="28" t="s">
        <v>349</v>
      </c>
      <c r="C129" s="14" t="s">
        <v>350</v>
      </c>
      <c r="D129" s="13" t="s">
        <v>1118</v>
      </c>
      <c r="E129" s="83" t="s">
        <v>1119</v>
      </c>
      <c r="F129" s="20" t="s">
        <v>577</v>
      </c>
      <c r="G129" s="66" t="s">
        <v>1120</v>
      </c>
      <c r="H129" s="35" t="str">
        <f t="shared" si="3"/>
        <v>Mã tra cứu</v>
      </c>
      <c r="I129" s="17"/>
      <c r="J129" s="17"/>
      <c r="K129" s="17"/>
      <c r="L129" s="17"/>
      <c r="M129" s="37"/>
      <c r="N129" s="38" t="s">
        <v>407</v>
      </c>
      <c r="O129" s="39" t="s">
        <v>509</v>
      </c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>
        <v>1</v>
      </c>
      <c r="AD129" s="16" t="s">
        <v>1084</v>
      </c>
      <c r="AE129" s="16" t="s">
        <v>1121</v>
      </c>
      <c r="AF129" s="16" t="s">
        <v>1122</v>
      </c>
      <c r="AG129" s="16" t="s">
        <v>1120</v>
      </c>
      <c r="AH129" s="1"/>
      <c r="AI129" s="1"/>
      <c r="AJ129" t="str">
        <f>IFERROR(IF(INDEX('WBS2'!$I$2:$I$25,MATCH($C129,'WBS2'!$F$2:$F$25,0))="","",INDEX('WBS2'!$I$2:$I$25,MATCH($C129,'WBS2'!$F$2:$F$25,0))),"")</f>
        <v/>
      </c>
      <c r="AK129" t="str">
        <f>IFERROR(IF(INDEX('WBS2'!$I$27:$I$162,MATCH($C129,'WBS2'!$F$27:$F$162,0))="","",INDEX('WBS2'!$I$27:$I$162,MATCH($C129,'WBS2'!$F$27:$F$162,0))),"")</f>
        <v>Chưa hoàn thành</v>
      </c>
      <c r="AL129" s="92">
        <f>IFERROR(IF(OR($AK129="Chưa hoàn thành",$AK129="Sẵn sàng"),INDEX('WBS2'!$H$27:$H$162,MATCH($C129,'WBS2'!$F$27:$F$162,0)),""),"")</f>
        <v>46538</v>
      </c>
      <c r="AM129" t="str">
        <f>IFERROR(IF(INDEX('WBS2'!$J$27:$J$162,MATCH($C129,'WBS2'!$F$27:$F$162,0))="","",INDEX('WBS2'!$J$27:$J$162,MATCH($C129,'WBS2'!$F$27:$F$162,0))),"")</f>
        <v>Không làm được qua link tra cứu – reCAPTCHA v3 (khảo sát 14/10), lấy qua mail. tracuu.bado.vn</v>
      </c>
      <c r="AN129" t="str">
        <f>IFERROR(IF(INDEX('WBS2'!$I$163:$I$298,MATCH($C129,'WBS2'!$F$163:$F$298,0))="","",INDEX('WBS2'!$I$163:$I$298,MATCH($C129,'WBS2'!$F$163:$F$298,0))),"")</f>
        <v>Chưa hoàn thành</v>
      </c>
      <c r="AO129" s="92">
        <f>IFERROR(IF(OR($AN129="Chưa hoàn thành",$AN129="Sẵn sàng"),INDEX('WBS2'!$H$163:$H$298,MATCH($C129,'WBS2'!$F$163:$F$298,0)),""),"")</f>
        <v>46538</v>
      </c>
      <c r="AP129" t="str">
        <f>IFERROR(IF(INDEX('WBS2'!$J$163:$J$298,MATCH($C129,'WBS2'!$F$163:$F$298,0))="","",INDEX('WBS2'!$J$163:$J$298,MATCH($C129,'WBS2'!$F$163:$F$298,0))),"")</f>
        <v>Chưa có thông tin</v>
      </c>
    </row>
    <row r="130" spans="1:42" ht="14.25" hidden="1" customHeight="1" x14ac:dyDescent="0.35">
      <c r="A130" s="13">
        <v>129</v>
      </c>
      <c r="B130" s="28" t="s">
        <v>352</v>
      </c>
      <c r="C130" s="14" t="s">
        <v>353</v>
      </c>
      <c r="D130" s="13" t="s">
        <v>1123</v>
      </c>
      <c r="E130" s="83" t="s">
        <v>1124</v>
      </c>
      <c r="F130" s="20" t="s">
        <v>577</v>
      </c>
      <c r="G130" s="66" t="s">
        <v>1125</v>
      </c>
      <c r="H130" s="35" t="str">
        <f t="shared" ref="H130:H137" si="4">IF(N130&lt;&gt;"OK","",IF(IF(O130="✓","Mã tra cứu|","")&amp;IF(P130="✓","MST người bán|","")&amp;IF(Q130="✓","MST người mua|","")&amp;IF(R130="✓","Mẫu số / Ký hiệu|","")&amp;IF(S130="✓","Số HĐ|","")&amp;IF(T130="✓","Ngày lập|","")&amp;IF(U130="✓","Tổng tiền|","")&amp;IF(V130="✓","Mã CQT|","")&amp;IF(W130="✓","Upload XML|","")&amp;IF(X130="✓","Captcha ảnh|","")&amp;IF(Y130="✓","Captcha dạng tích|","")&amp;IF(Z130="✓","Captcha khác (slider/hình)|","")&amp;IF(AA130="✓","Đăng nhập|","")&amp;IF(AB130="✓","Email/SĐT/OTP|","")="","(không có tham số)",SUBSTITUTE(LEFT(IF(O130="✓","Mã tra cứu|","")&amp;IF(P130="✓","MST người bán|","")&amp;IF(Q130="✓","MST người mua|","")&amp;IF(R130="✓","Mẫu số / Ký hiệu|","")&amp;IF(S130="✓","Số HĐ|","")&amp;IF(T130="✓","Ngày lập|","")&amp;IF(U130="✓","Tổng tiền|","")&amp;IF(V130="✓","Mã CQT|","")&amp;IF(W130="✓","Upload XML|","")&amp;IF(X130="✓","Captcha ảnh|","")&amp;IF(Y130="✓","Captcha dạng tích|","")&amp;IF(Z130="✓","Captcha khác (slider/hình)|","")&amp;IF(AA130="✓","Đăng nhập|","")&amp;IF(AB130="✓","Email/SĐT/OTP|",""),LEN(IF(O130="✓","Mã tra cứu|","")&amp;IF(P130="✓","MST người bán|","")&amp;IF(Q130="✓","MST người mua|","")&amp;IF(R130="✓","Mẫu số / Ký hiệu|","")&amp;IF(S130="✓","Số HĐ|","")&amp;IF(T130="✓","Ngày lập|","")&amp;IF(U130="✓","Tổng tiền|","")&amp;IF(V130="✓","Mã CQT|","")&amp;IF(W130="✓","Upload XML|","")&amp;IF(X130="✓","Captcha ảnh|","")&amp;IF(Y130="✓","Captcha dạng tích|","")&amp;IF(Z130="✓","Captcha khác (slider/hình)|","")&amp;IF(AA130="✓","Đăng nhập|","")&amp;IF(AB130="✓","Email/SĐT/OTP|",""))-1),"|"," + ")))</f>
        <v>Mã tra cứu + Captcha khác (slider/hình)</v>
      </c>
      <c r="I130" s="17"/>
      <c r="J130" s="17"/>
      <c r="K130" s="17"/>
      <c r="L130" s="17"/>
      <c r="M130" s="37"/>
      <c r="N130" s="38" t="s">
        <v>407</v>
      </c>
      <c r="O130" s="39" t="s">
        <v>509</v>
      </c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 t="s">
        <v>509</v>
      </c>
      <c r="AA130" s="39"/>
      <c r="AB130" s="39"/>
      <c r="AC130" s="39">
        <v>2</v>
      </c>
      <c r="AD130" s="16" t="s">
        <v>1126</v>
      </c>
      <c r="AE130" s="16" t="s">
        <v>1127</v>
      </c>
      <c r="AF130" s="16" t="s">
        <v>1128</v>
      </c>
      <c r="AG130" s="16" t="s">
        <v>1125</v>
      </c>
      <c r="AH130" s="1"/>
      <c r="AI130" s="1"/>
      <c r="AJ130" t="str">
        <f>IFERROR(IF(INDEX('WBS2'!$I$2:$I$25,MATCH($C130,'WBS2'!$F$2:$F$25,0))="","",INDEX('WBS2'!$I$2:$I$25,MATCH($C130,'WBS2'!$F$2:$F$25,0))),"")</f>
        <v/>
      </c>
      <c r="AK130" t="str">
        <f>IFERROR(IF(INDEX('WBS2'!$I$27:$I$162,MATCH($C130,'WBS2'!$F$27:$F$162,0))="","",INDEX('WBS2'!$I$27:$I$162,MATCH($C130,'WBS2'!$F$27:$F$162,0))),"")</f>
        <v>Sẵn sàng</v>
      </c>
      <c r="AL130" s="92">
        <f>IFERROR(IF(OR($AK130="Chưa hoàn thành",$AK130="Sẵn sàng"),INDEX('WBS2'!$H$27:$H$162,MATCH($C130,'WBS2'!$F$27:$F$162,0)),""),"")</f>
        <v>46418</v>
      </c>
      <c r="AM130" t="str">
        <f>IFERROR(IF(INDEX('WBS2'!$J$27:$J$162,MATCH($C130,'WBS2'!$F$27:$F$162,0))="","",INDEX('WBS2'!$J$27:$J$162,MATCH($C130,'WBS2'!$F$27:$F$162,0))),"")</f>
        <v>vnpost – mã xác thực chỉ kiểm ở trình duyệt</v>
      </c>
      <c r="AN130" t="str">
        <f>IFERROR(IF(INDEX('WBS2'!$I$163:$I$298,MATCH($C130,'WBS2'!$F$163:$F$298,0))="","",INDEX('WBS2'!$I$163:$I$298,MATCH($C130,'WBS2'!$F$163:$F$298,0))),"")</f>
        <v>Sẵn sàng</v>
      </c>
      <c r="AO130" s="92">
        <f>IFERROR(IF(OR($AN130="Chưa hoàn thành",$AN130="Sẵn sàng"),INDEX('WBS2'!$H$163:$H$298,MATCH($C130,'WBS2'!$F$163:$F$298,0)),""),"")</f>
        <v>46418</v>
      </c>
      <c r="AP130" t="str">
        <f>IFERROR(IF(INDEX('WBS2'!$J$163:$J$298,MATCH($C130,'WBS2'!$F$163:$F$298,0))="","",INDEX('WBS2'!$J$163:$J$298,MATCH($C130,'WBS2'!$F$163:$F$298,0))),"")</f>
        <v/>
      </c>
    </row>
    <row r="131" spans="1:42" ht="14.25" hidden="1" customHeight="1" x14ac:dyDescent="0.35">
      <c r="A131" s="13">
        <v>130</v>
      </c>
      <c r="B131" s="28" t="s">
        <v>355</v>
      </c>
      <c r="C131" s="14" t="s">
        <v>356</v>
      </c>
      <c r="D131" s="13" t="s">
        <v>1129</v>
      </c>
      <c r="E131" s="83" t="s">
        <v>1130</v>
      </c>
      <c r="F131" s="20" t="s">
        <v>577</v>
      </c>
      <c r="G131" s="66" t="s">
        <v>1131</v>
      </c>
      <c r="H131" s="35" t="str">
        <f t="shared" si="4"/>
        <v/>
      </c>
      <c r="I131" s="17"/>
      <c r="J131" s="17"/>
      <c r="K131" s="17"/>
      <c r="L131" s="17"/>
      <c r="M131" s="37"/>
      <c r="N131" s="38" t="s">
        <v>408</v>
      </c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 t="s">
        <v>509</v>
      </c>
      <c r="AB131" s="39"/>
      <c r="AC131" s="39"/>
      <c r="AD131" s="16" t="s">
        <v>1094</v>
      </c>
      <c r="AE131" s="16"/>
      <c r="AF131" s="16" t="s">
        <v>1132</v>
      </c>
      <c r="AG131" s="16" t="s">
        <v>1133</v>
      </c>
      <c r="AH131" s="1"/>
      <c r="AI131" s="1"/>
      <c r="AJ131" t="str">
        <f>IFERROR(IF(INDEX('WBS2'!$I$2:$I$25,MATCH($C131,'WBS2'!$F$2:$F$25,0))="","",INDEX('WBS2'!$I$2:$I$25,MATCH($C131,'WBS2'!$F$2:$F$25,0))),"")</f>
        <v/>
      </c>
      <c r="AK131" t="str">
        <f>IFERROR(IF(INDEX('WBS2'!$I$27:$I$162,MATCH($C131,'WBS2'!$F$27:$F$162,0))="","",INDEX('WBS2'!$I$27:$I$162,MATCH($C131,'WBS2'!$F$27:$F$162,0))),"")</f>
        <v>Chưa hoàn thành</v>
      </c>
      <c r="AL131" s="92">
        <f>IFERROR(IF(OR($AK131="Chưa hoàn thành",$AK131="Sẵn sàng"),INDEX('WBS2'!$H$27:$H$162,MATCH($C131,'WBS2'!$F$27:$F$162,0)),""),"")</f>
        <v>46538</v>
      </c>
      <c r="AM131" t="str">
        <f>IFERROR(IF(INDEX('WBS2'!$J$27:$J$162,MATCH($C131,'WBS2'!$F$27:$F$162,0))="","",INDEX('WBS2'!$J$27:$J$162,MATCH($C131,'WBS2'!$F$27:$F$162,0))),"")</f>
        <v>Không làm được qua link tra cứu – phải đăng nhập. hoadon.ontik.vn</v>
      </c>
      <c r="AN131" t="str">
        <f>IFERROR(IF(INDEX('WBS2'!$I$163:$I$298,MATCH($C131,'WBS2'!$F$163:$F$298,0))="","",INDEX('WBS2'!$I$163:$I$298,MATCH($C131,'WBS2'!$F$163:$F$298,0))),"")</f>
        <v>Chưa hoàn thành</v>
      </c>
      <c r="AO131" s="92">
        <f>IFERROR(IF(OR($AN131="Chưa hoàn thành",$AN131="Sẵn sàng"),INDEX('WBS2'!$H$163:$H$298,MATCH($C131,'WBS2'!$F$163:$F$298,0)),""),"")</f>
        <v>46538</v>
      </c>
      <c r="AP131" t="str">
        <f>IFERROR(IF(INDEX('WBS2'!$J$163:$J$298,MATCH($C131,'WBS2'!$F$163:$F$298,0))="","",INDEX('WBS2'!$J$163:$J$298,MATCH($C131,'WBS2'!$F$163:$F$298,0))),"")</f>
        <v>Chưa có thông tin</v>
      </c>
    </row>
    <row r="132" spans="1:42" ht="14.25" hidden="1" customHeight="1" x14ac:dyDescent="0.35">
      <c r="A132" s="13">
        <v>131</v>
      </c>
      <c r="B132" s="28" t="s">
        <v>358</v>
      </c>
      <c r="C132" s="14" t="s">
        <v>359</v>
      </c>
      <c r="D132" s="13" t="s">
        <v>1134</v>
      </c>
      <c r="E132" s="83" t="s">
        <v>1135</v>
      </c>
      <c r="F132" s="20" t="s">
        <v>383</v>
      </c>
      <c r="G132" s="23" t="s">
        <v>1136</v>
      </c>
      <c r="H132" s="35" t="str">
        <f t="shared" si="4"/>
        <v>Mã tra cứu + Captcha dạng tích</v>
      </c>
      <c r="I132" s="17"/>
      <c r="J132" s="17"/>
      <c r="K132" s="17"/>
      <c r="L132" s="17"/>
      <c r="M132" s="37"/>
      <c r="N132" s="38" t="s">
        <v>407</v>
      </c>
      <c r="O132" s="39" t="s">
        <v>509</v>
      </c>
      <c r="P132" s="39"/>
      <c r="Q132" s="39"/>
      <c r="R132" s="39"/>
      <c r="S132" s="39"/>
      <c r="T132" s="39"/>
      <c r="U132" s="39"/>
      <c r="V132" s="39"/>
      <c r="W132" s="39"/>
      <c r="X132" s="39"/>
      <c r="Y132" s="39" t="s">
        <v>509</v>
      </c>
      <c r="Z132" s="39"/>
      <c r="AA132" s="39"/>
      <c r="AB132" s="39"/>
      <c r="AC132" s="39">
        <v>2</v>
      </c>
      <c r="AD132" s="16" t="s">
        <v>1137</v>
      </c>
      <c r="AE132" s="16" t="s">
        <v>1138</v>
      </c>
      <c r="AF132" s="16" t="s">
        <v>1139</v>
      </c>
      <c r="AG132" s="16" t="s">
        <v>1136</v>
      </c>
      <c r="AH132" s="1"/>
      <c r="AI132" s="1"/>
      <c r="AJ132" t="str">
        <f>IFERROR(IF(INDEX('WBS2'!$I$2:$I$25,MATCH($C132,'WBS2'!$F$2:$F$25,0))="","",INDEX('WBS2'!$I$2:$I$25,MATCH($C132,'WBS2'!$F$2:$F$25,0))),"")</f>
        <v/>
      </c>
      <c r="AK132" t="str">
        <f>IFERROR(IF(INDEX('WBS2'!$I$27:$I$162,MATCH($C132,'WBS2'!$F$27:$F$162,0))="","",INDEX('WBS2'!$I$27:$I$162,MATCH($C132,'WBS2'!$F$27:$F$162,0))),"")</f>
        <v>Chưa hoàn thành</v>
      </c>
      <c r="AL132" s="92">
        <f>IFERROR(IF(OR($AK132="Chưa hoàn thành",$AK132="Sẵn sàng"),INDEX('WBS2'!$H$27:$H$162,MATCH($C132,'WBS2'!$F$27:$F$162,0)),""),"")</f>
        <v>46538</v>
      </c>
      <c r="AM132" t="str">
        <f>IFERROR(IF(INDEX('WBS2'!$J$27:$J$162,MATCH($C132,'WBS2'!$F$27:$F$162,0))="","",INDEX('WBS2'!$J$27:$J$162,MATCH($C132,'WBS2'!$F$27:$F$162,0))),"")</f>
        <v>Không làm được qua link tra cứu – bị chặn bởi reCAPTCHA v2 (server kiểm), lấy qua mail. trustedbilling.mobile-id.vn</v>
      </c>
      <c r="AN132" t="str">
        <f>IFERROR(IF(INDEX('WBS2'!$I$163:$I$298,MATCH($C132,'WBS2'!$F$163:$F$298,0))="","",INDEX('WBS2'!$I$163:$I$298,MATCH($C132,'WBS2'!$F$163:$F$298,0))),"")</f>
        <v>Chưa hoàn thành</v>
      </c>
      <c r="AO132" s="92">
        <f>IFERROR(IF(OR($AN132="Chưa hoàn thành",$AN132="Sẵn sàng"),INDEX('WBS2'!$H$163:$H$298,MATCH($C132,'WBS2'!$F$163:$F$298,0)),""),"")</f>
        <v>46538</v>
      </c>
      <c r="AP132" t="str">
        <f>IFERROR(IF(INDEX('WBS2'!$J$163:$J$298,MATCH($C132,'WBS2'!$F$163:$F$298,0))="","",INDEX('WBS2'!$J$163:$J$298,MATCH($C132,'WBS2'!$F$163:$F$298,0))),"")</f>
        <v>Chưa có thông tin</v>
      </c>
    </row>
    <row r="133" spans="1:42" ht="14.25" hidden="1" customHeight="1" x14ac:dyDescent="0.35">
      <c r="A133" s="13">
        <v>132</v>
      </c>
      <c r="B133" s="28" t="s">
        <v>361</v>
      </c>
      <c r="C133" s="14" t="s">
        <v>362</v>
      </c>
      <c r="D133" s="13" t="s">
        <v>1140</v>
      </c>
      <c r="E133" s="83" t="s">
        <v>1141</v>
      </c>
      <c r="F133" s="20" t="s">
        <v>381</v>
      </c>
      <c r="G133" s="66" t="s">
        <v>1142</v>
      </c>
      <c r="H133" s="35" t="str">
        <f t="shared" si="4"/>
        <v>Mã tra cứu</v>
      </c>
      <c r="I133" s="17"/>
      <c r="J133" s="17"/>
      <c r="K133" s="17"/>
      <c r="L133" s="17"/>
      <c r="M133" s="37"/>
      <c r="N133" s="38" t="s">
        <v>407</v>
      </c>
      <c r="O133" s="39" t="s">
        <v>509</v>
      </c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>
        <v>1</v>
      </c>
      <c r="AD133" s="16" t="s">
        <v>510</v>
      </c>
      <c r="AE133" s="16"/>
      <c r="AF133" s="16" t="s">
        <v>1143</v>
      </c>
      <c r="AG133" s="16" t="s">
        <v>1144</v>
      </c>
      <c r="AH133" s="1"/>
      <c r="AI133" s="1"/>
      <c r="AJ133" t="str">
        <f>IFERROR(IF(INDEX('WBS2'!$I$2:$I$25,MATCH($C133,'WBS2'!$F$2:$F$25,0))="","",INDEX('WBS2'!$I$2:$I$25,MATCH($C133,'WBS2'!$F$2:$F$25,0))),"")</f>
        <v/>
      </c>
      <c r="AK133" t="str">
        <f>IFERROR(IF(INDEX('WBS2'!$I$27:$I$162,MATCH($C133,'WBS2'!$F$27:$F$162,0))="","",INDEX('WBS2'!$I$27:$I$162,MATCH($C133,'WBS2'!$F$27:$F$162,0))),"")</f>
        <v>Sẵn sàng</v>
      </c>
      <c r="AL133" s="92">
        <f>IFERROR(IF(OR($AK133="Chưa hoàn thành",$AK133="Sẵn sàng"),INDEX('WBS2'!$H$27:$H$162,MATCH($C133,'WBS2'!$F$27:$F$162,0)),""),"")</f>
        <v>46418</v>
      </c>
      <c r="AM133" t="str">
        <f>IFERROR(IF(INDEX('WBS2'!$J$27:$J$162,MATCH($C133,'WBS2'!$F$27:$F$162,0))="","",INDEX('WBS2'!$J$27:$J$162,MATCH($C133,'WBS2'!$F$27:$F$162,0))),"")</f>
        <v/>
      </c>
      <c r="AN133" t="str">
        <f>IFERROR(IF(INDEX('WBS2'!$I$163:$I$298,MATCH($C133,'WBS2'!$F$163:$F$298,0))="","",INDEX('WBS2'!$I$163:$I$298,MATCH($C133,'WBS2'!$F$163:$F$298,0))),"")</f>
        <v>Sẵn sàng</v>
      </c>
      <c r="AO133" s="92">
        <f>IFERROR(IF(OR($AN133="Chưa hoàn thành",$AN133="Sẵn sàng"),INDEX('WBS2'!$H$163:$H$298,MATCH($C133,'WBS2'!$F$163:$F$298,0)),""),"")</f>
        <v>46418</v>
      </c>
      <c r="AP133" t="str">
        <f>IFERROR(IF(INDEX('WBS2'!$J$163:$J$298,MATCH($C133,'WBS2'!$F$163:$F$298,0))="","",INDEX('WBS2'!$J$163:$J$298,MATCH($C133,'WBS2'!$F$163:$F$298,0))),"")</f>
        <v/>
      </c>
    </row>
    <row r="134" spans="1:42" ht="14.25" hidden="1" customHeight="1" x14ac:dyDescent="0.35">
      <c r="A134" s="13">
        <v>133</v>
      </c>
      <c r="B134" s="28" t="s">
        <v>363</v>
      </c>
      <c r="C134" s="14" t="s">
        <v>364</v>
      </c>
      <c r="D134" s="13" t="s">
        <v>1145</v>
      </c>
      <c r="E134" s="83" t="s">
        <v>1146</v>
      </c>
      <c r="F134" s="20" t="s">
        <v>577</v>
      </c>
      <c r="G134" s="20"/>
      <c r="H134" s="35" t="str">
        <f t="shared" si="4"/>
        <v/>
      </c>
      <c r="I134" s="17"/>
      <c r="J134" s="17"/>
      <c r="K134" s="17"/>
      <c r="L134" s="17"/>
      <c r="M134" s="37"/>
      <c r="N134" s="38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1"/>
      <c r="AI134" s="1"/>
      <c r="AJ134" t="str">
        <f>IFERROR(IF(INDEX('WBS2'!$I$2:$I$25,MATCH($C134,'WBS2'!$F$2:$F$25,0))="","",INDEX('WBS2'!$I$2:$I$25,MATCH($C134,'WBS2'!$F$2:$F$25,0))),"")</f>
        <v/>
      </c>
      <c r="AK134" t="str">
        <f>IFERROR(IF(INDEX('WBS2'!$I$27:$I$162,MATCH($C134,'WBS2'!$F$27:$F$162,0))="","",INDEX('WBS2'!$I$27:$I$162,MATCH($C134,'WBS2'!$F$27:$F$162,0))),"")</f>
        <v>Chưa hoàn thành</v>
      </c>
      <c r="AL134" s="92">
        <f>IFERROR(IF(OR($AK134="Chưa hoàn thành",$AK134="Sẵn sàng"),INDEX('WBS2'!$H$27:$H$162,MATCH($C134,'WBS2'!$F$27:$F$162,0)),""),"")</f>
        <v>46538</v>
      </c>
      <c r="AM134" t="str">
        <f>IFERROR(IF(INDEX('WBS2'!$J$27:$J$162,MATCH($C134,'WBS2'!$F$27:$F$162,0))="","",INDEX('WBS2'!$J$27:$J$162,MATCH($C134,'WBS2'!$F$27:$F$162,0))),"")</f>
        <v>Chưa làm</v>
      </c>
      <c r="AN134" t="str">
        <f>IFERROR(IF(INDEX('WBS2'!$I$163:$I$298,MATCH($C134,'WBS2'!$F$163:$F$298,0))="","",INDEX('WBS2'!$I$163:$I$298,MATCH($C134,'WBS2'!$F$163:$F$298,0))),"")</f>
        <v>Chưa hoàn thành</v>
      </c>
      <c r="AO134" s="92">
        <f>IFERROR(IF(OR($AN134="Chưa hoàn thành",$AN134="Sẵn sàng"),INDEX('WBS2'!$H$163:$H$298,MATCH($C134,'WBS2'!$F$163:$F$298,0)),""),"")</f>
        <v>46538</v>
      </c>
      <c r="AP134" t="str">
        <f>IFERROR(IF(INDEX('WBS2'!$J$163:$J$298,MATCH($C134,'WBS2'!$F$163:$F$298,0))="","",INDEX('WBS2'!$J$163:$J$298,MATCH($C134,'WBS2'!$F$163:$F$298,0))),"")</f>
        <v>Chưa có thông tin</v>
      </c>
    </row>
    <row r="135" spans="1:42" ht="14.25" hidden="1" customHeight="1" x14ac:dyDescent="0.35">
      <c r="A135" s="13">
        <v>134</v>
      </c>
      <c r="B135" s="28" t="s">
        <v>365</v>
      </c>
      <c r="C135" s="14" t="s">
        <v>366</v>
      </c>
      <c r="D135" s="13" t="s">
        <v>1147</v>
      </c>
      <c r="E135" s="83" t="s">
        <v>1148</v>
      </c>
      <c r="F135" s="20" t="s">
        <v>381</v>
      </c>
      <c r="G135" s="23" t="s">
        <v>1149</v>
      </c>
      <c r="H135" s="35" t="str">
        <f t="shared" si="4"/>
        <v>Mã tra cứu</v>
      </c>
      <c r="I135" s="17"/>
      <c r="J135" s="17"/>
      <c r="K135" s="17"/>
      <c r="L135" s="17"/>
      <c r="M135" s="37"/>
      <c r="N135" s="38" t="s">
        <v>407</v>
      </c>
      <c r="O135" s="39" t="s">
        <v>509</v>
      </c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>
        <v>1</v>
      </c>
      <c r="AD135" s="16" t="s">
        <v>1150</v>
      </c>
      <c r="AE135" s="16" t="s">
        <v>1151</v>
      </c>
      <c r="AF135" s="16" t="s">
        <v>1152</v>
      </c>
      <c r="AG135" s="16" t="s">
        <v>1149</v>
      </c>
      <c r="AH135" s="1"/>
      <c r="AI135" s="1"/>
      <c r="AJ135" t="str">
        <f>IFERROR(IF(INDEX('WBS2'!$I$2:$I$25,MATCH($C135,'WBS2'!$F$2:$F$25,0))="","",INDEX('WBS2'!$I$2:$I$25,MATCH($C135,'WBS2'!$F$2:$F$25,0))),"")</f>
        <v/>
      </c>
      <c r="AK135" t="str">
        <f>IFERROR(IF(INDEX('WBS2'!$I$27:$I$162,MATCH($C135,'WBS2'!$F$27:$F$162,0))="","",INDEX('WBS2'!$I$27:$I$162,MATCH($C135,'WBS2'!$F$27:$F$162,0))),"")</f>
        <v>Sẵn sàng</v>
      </c>
      <c r="AL135" s="92">
        <f>IFERROR(IF(OR($AK135="Chưa hoàn thành",$AK135="Sẵn sàng"),INDEX('WBS2'!$H$27:$H$162,MATCH($C135,'WBS2'!$F$27:$F$162,0)),""),"")</f>
        <v>46418</v>
      </c>
      <c r="AM135" t="str">
        <f>IFERROR(IF(INDEX('WBS2'!$J$27:$J$162,MATCH($C135,'WBS2'!$F$27:$F$162,0))="","",INDEX('WBS2'!$J$27:$J$162,MATCH($C135,'WBS2'!$F$27:$F$162,0))),"")</f>
        <v/>
      </c>
      <c r="AN135" t="str">
        <f>IFERROR(IF(INDEX('WBS2'!$I$163:$I$298,MATCH($C135,'WBS2'!$F$163:$F$298,0))="","",INDEX('WBS2'!$I$163:$I$298,MATCH($C135,'WBS2'!$F$163:$F$298,0))),"")</f>
        <v>Sẵn sàng</v>
      </c>
      <c r="AO135" s="92">
        <f>IFERROR(IF(OR($AN135="Chưa hoàn thành",$AN135="Sẵn sàng"),INDEX('WBS2'!$H$163:$H$298,MATCH($C135,'WBS2'!$F$163:$F$298,0)),""),"")</f>
        <v>46418</v>
      </c>
      <c r="AP135" t="str">
        <f>IFERROR(IF(INDEX('WBS2'!$J$163:$J$298,MATCH($C135,'WBS2'!$F$163:$F$298,0))="","",INDEX('WBS2'!$J$163:$J$298,MATCH($C135,'WBS2'!$F$163:$F$298,0))),"")</f>
        <v/>
      </c>
    </row>
    <row r="136" spans="1:42" ht="14.25" hidden="1" customHeight="1" x14ac:dyDescent="0.35">
      <c r="A136" s="13">
        <v>135</v>
      </c>
      <c r="B136" s="28" t="s">
        <v>367</v>
      </c>
      <c r="C136" s="14" t="s">
        <v>368</v>
      </c>
      <c r="D136" s="13" t="s">
        <v>1153</v>
      </c>
      <c r="E136" s="83" t="s">
        <v>1154</v>
      </c>
      <c r="F136" s="20" t="s">
        <v>577</v>
      </c>
      <c r="G136" s="20"/>
      <c r="H136" s="35" t="str">
        <f t="shared" si="4"/>
        <v/>
      </c>
      <c r="I136" s="17"/>
      <c r="J136" s="17"/>
      <c r="K136" s="17"/>
      <c r="L136" s="17"/>
      <c r="M136" s="37"/>
      <c r="N136" s="38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1"/>
      <c r="AI136" s="1"/>
      <c r="AJ136" t="str">
        <f>IFERROR(IF(INDEX('WBS2'!$I$2:$I$25,MATCH($C136,'WBS2'!$F$2:$F$25,0))="","",INDEX('WBS2'!$I$2:$I$25,MATCH($C136,'WBS2'!$F$2:$F$25,0))),"")</f>
        <v/>
      </c>
      <c r="AK136" t="str">
        <f>IFERROR(IF(INDEX('WBS2'!$I$27:$I$162,MATCH($C136,'WBS2'!$F$27:$F$162,0))="","",INDEX('WBS2'!$I$27:$I$162,MATCH($C136,'WBS2'!$F$27:$F$162,0))),"")</f>
        <v>Chưa hoàn thành</v>
      </c>
      <c r="AL136" s="92">
        <f>IFERROR(IF(OR($AK136="Chưa hoàn thành",$AK136="Sẵn sàng"),INDEX('WBS2'!$H$27:$H$162,MATCH($C136,'WBS2'!$F$27:$F$162,0)),""),"")</f>
        <v>46538</v>
      </c>
      <c r="AM136" t="str">
        <f>IFERROR(IF(INDEX('WBS2'!$J$27:$J$162,MATCH($C136,'WBS2'!$F$27:$F$162,0))="","",INDEX('WBS2'!$J$27:$J$162,MATCH($C136,'WBS2'!$F$27:$F$162,0))),"")</f>
        <v>Chưa làm</v>
      </c>
      <c r="AN136" t="str">
        <f>IFERROR(IF(INDEX('WBS2'!$I$163:$I$298,MATCH($C136,'WBS2'!$F$163:$F$298,0))="","",INDEX('WBS2'!$I$163:$I$298,MATCH($C136,'WBS2'!$F$163:$F$298,0))),"")</f>
        <v>Chưa hoàn thành</v>
      </c>
      <c r="AO136" s="92">
        <f>IFERROR(IF(OR($AN136="Chưa hoàn thành",$AN136="Sẵn sàng"),INDEX('WBS2'!$H$163:$H$298,MATCH($C136,'WBS2'!$F$163:$F$298,0)),""),"")</f>
        <v>46538</v>
      </c>
      <c r="AP136" t="str">
        <f>IFERROR(IF(INDEX('WBS2'!$J$163:$J$298,MATCH($C136,'WBS2'!$F$163:$F$298,0))="","",INDEX('WBS2'!$J$163:$J$298,MATCH($C136,'WBS2'!$F$163:$F$298,0))),"")</f>
        <v>Chưa có thông tin</v>
      </c>
    </row>
    <row r="137" spans="1:42" ht="14.25" customHeight="1" x14ac:dyDescent="0.35">
      <c r="A137" s="13">
        <v>136</v>
      </c>
      <c r="B137" s="28" t="s">
        <v>57</v>
      </c>
      <c r="C137" s="14" t="s">
        <v>58</v>
      </c>
      <c r="D137" s="17"/>
      <c r="E137" s="65" t="s">
        <v>1155</v>
      </c>
      <c r="F137" s="20" t="s">
        <v>382</v>
      </c>
      <c r="G137" s="23" t="s">
        <v>1156</v>
      </c>
      <c r="H137" s="35" t="str">
        <f t="shared" si="4"/>
        <v>Mã tra cứu + Captcha ảnh</v>
      </c>
      <c r="I137" s="20" t="s">
        <v>528</v>
      </c>
      <c r="J137" s="17"/>
      <c r="K137" s="60">
        <v>0.91800000000000004</v>
      </c>
      <c r="L137" s="20" t="s">
        <v>1157</v>
      </c>
      <c r="M137" s="37"/>
      <c r="N137" s="38" t="s">
        <v>407</v>
      </c>
      <c r="O137" s="39" t="s">
        <v>509</v>
      </c>
      <c r="P137" s="39"/>
      <c r="Q137" s="39"/>
      <c r="R137" s="39"/>
      <c r="S137" s="39"/>
      <c r="T137" s="39"/>
      <c r="U137" s="39"/>
      <c r="V137" s="39"/>
      <c r="W137" s="39"/>
      <c r="X137" s="39" t="s">
        <v>509</v>
      </c>
      <c r="Y137" s="39"/>
      <c r="Z137" s="39"/>
      <c r="AA137" s="39"/>
      <c r="AB137" s="39"/>
      <c r="AC137" s="39">
        <v>2</v>
      </c>
      <c r="AD137" s="16" t="s">
        <v>1158</v>
      </c>
      <c r="AE137" s="16" t="s">
        <v>1159</v>
      </c>
      <c r="AF137" s="16" t="s">
        <v>1160</v>
      </c>
      <c r="AG137" s="16" t="s">
        <v>1161</v>
      </c>
      <c r="AH137" s="1"/>
      <c r="AI137" s="1"/>
      <c r="AJ137" t="str">
        <f>IFERROR(IF(INDEX('WBS2'!$I$2:$I$25,MATCH($C137,'WBS2'!$F$2:$F$25,0))="","",INDEX('WBS2'!$I$2:$I$25,MATCH($C137,'WBS2'!$F$2:$F$25,0))),"")</f>
        <v>Hoàn thành</v>
      </c>
      <c r="AK137" t="str">
        <f>IFERROR(IF(INDEX('WBS2'!$I$27:$I$162,MATCH($C137,'WBS2'!$F$27:$F$162,0))="","",INDEX('WBS2'!$I$27:$I$162,MATCH($C137,'WBS2'!$F$27:$F$162,0))),"")</f>
        <v>Sẵn sàng</v>
      </c>
      <c r="AL137" s="92">
        <f>IFERROR(IF(OR($AK137="Chưa hoàn thành",$AK137="Sẵn sàng"),INDEX('WBS2'!$H$27:$H$162,MATCH($C137,'WBS2'!$F$27:$F$162,0)),""),"")</f>
        <v>46418</v>
      </c>
      <c r="AM137" t="str">
        <f>IFERROR(IF(INDEX('WBS2'!$J$27:$J$162,MATCH($C137,'WBS2'!$F$27:$F$162,0))="","",INDEX('WBS2'!$J$27:$J$162,MATCH($C137,'WBS2'!$F$27:$F$162,0))),"")</f>
        <v/>
      </c>
      <c r="AN137" t="str">
        <f>IFERROR(IF(INDEX('WBS2'!$I$163:$I$298,MATCH($C137,'WBS2'!$F$163:$F$298,0))="","",INDEX('WBS2'!$I$163:$I$298,MATCH($C137,'WBS2'!$F$163:$F$298,0))),"")</f>
        <v>Sẵn sàng</v>
      </c>
      <c r="AO137" s="92">
        <f>IFERROR(IF(OR($AN137="Chưa hoàn thành",$AN137="Sẵn sàng"),INDEX('WBS2'!$H$163:$H$298,MATCH($C137,'WBS2'!$F$163:$F$298,0)),""),"")</f>
        <v>46418</v>
      </c>
      <c r="AP137" t="str">
        <f>IFERROR(IF(INDEX('WBS2'!$J$163:$J$298,MATCH($C137,'WBS2'!$F$163:$F$298,0))="","",INDEX('WBS2'!$J$163:$J$298,MATCH($C137,'WBS2'!$F$163:$F$298,0))),"")</f>
        <v/>
      </c>
    </row>
    <row r="138" spans="1:42" ht="14.25" hidden="1" customHeight="1" x14ac:dyDescent="0.35">
      <c r="A138" s="13">
        <v>137</v>
      </c>
      <c r="B138" s="17"/>
      <c r="C138" s="14"/>
      <c r="D138" s="17"/>
      <c r="E138" s="85"/>
      <c r="F138" s="20"/>
      <c r="G138" s="20"/>
      <c r="H138" s="35"/>
      <c r="I138" s="20"/>
      <c r="J138" s="17"/>
      <c r="K138" s="67"/>
      <c r="L138" s="20"/>
      <c r="M138" s="37"/>
      <c r="N138" s="38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16"/>
      <c r="AE138" s="16"/>
      <c r="AF138" s="16"/>
      <c r="AG138" s="16"/>
      <c r="AH138" s="1"/>
      <c r="AI138" s="1"/>
    </row>
    <row r="139" spans="1:42" ht="14.25" customHeight="1" x14ac:dyDescent="0.35">
      <c r="A139" s="13">
        <v>138</v>
      </c>
      <c r="B139" s="17" t="s">
        <v>59</v>
      </c>
      <c r="C139" s="14"/>
      <c r="D139" s="65" t="s">
        <v>544</v>
      </c>
      <c r="E139" s="20" t="s">
        <v>1162</v>
      </c>
      <c r="F139" s="20" t="s">
        <v>382</v>
      </c>
      <c r="G139" s="66" t="s">
        <v>1162</v>
      </c>
      <c r="H139" s="35" t="str">
        <f>IF(N139&lt;&gt;"OK","",IF(IF(O139="✓","Mã tra cứu|","")&amp;IF(P139="✓","MST người bán|","")&amp;IF(Q139="✓","MST người mua|","")&amp;IF(R139="✓","Mẫu số / Ký hiệu|","")&amp;IF(S139="✓","Số HĐ|","")&amp;IF(T139="✓","Ngày lập|","")&amp;IF(U139="✓","Tổng tiền|","")&amp;IF(V139="✓","Mã CQT|","")&amp;IF(W139="✓","Upload XML|","")&amp;IF(X139="✓","Captcha ảnh|","")&amp;IF(Y139="✓","Captcha dạng tích|","")&amp;IF(Z139="✓","Captcha khác (slider/hình)|","")&amp;IF(AA139="✓","Đăng nhập|","")&amp;IF(AB139="✓","Email/SĐT/OTP|","")="","(không có tham số)",SUBSTITUTE(LEFT(IF(O139="✓","Mã tra cứu|","")&amp;IF(P139="✓","MST người bán|","")&amp;IF(Q139="✓","MST người mua|","")&amp;IF(R139="✓","Mẫu số / Ký hiệu|","")&amp;IF(S139="✓","Số HĐ|","")&amp;IF(T139="✓","Ngày lập|","")&amp;IF(U139="✓","Tổng tiền|","")&amp;IF(V139="✓","Mã CQT|","")&amp;IF(W139="✓","Upload XML|","")&amp;IF(X139="✓","Captcha ảnh|","")&amp;IF(Y139="✓","Captcha dạng tích|","")&amp;IF(Z139="✓","Captcha khác (slider/hình)|","")&amp;IF(AA139="✓","Đăng nhập|","")&amp;IF(AB139="✓","Email/SĐT/OTP|",""),LEN(IF(O139="✓","Mã tra cứu|","")&amp;IF(P139="✓","MST người bán|","")&amp;IF(Q139="✓","MST người mua|","")&amp;IF(R139="✓","Mẫu số / Ký hiệu|","")&amp;IF(S139="✓","Số HĐ|","")&amp;IF(T139="✓","Ngày lập|","")&amp;IF(U139="✓","Tổng tiền|","")&amp;IF(V139="✓","Mã CQT|","")&amp;IF(W139="✓","Upload XML|","")&amp;IF(X139="✓","Captcha ảnh|","")&amp;IF(Y139="✓","Captcha dạng tích|","")&amp;IF(Z139="✓","Captcha khác (slider/hình)|","")&amp;IF(AA139="✓","Đăng nhập|","")&amp;IF(AB139="✓","Email/SĐT/OTP|",""))-1),"|"," + ")))</f>
        <v>MST người bán + Mẫu số / Ký hiệu + Số HĐ + Tổng tiền + Captcha ảnh</v>
      </c>
      <c r="I139" s="20" t="s">
        <v>528</v>
      </c>
      <c r="J139" s="20" t="s">
        <v>545</v>
      </c>
      <c r="K139" s="86">
        <v>0.89</v>
      </c>
      <c r="L139" s="39" t="s">
        <v>1163</v>
      </c>
      <c r="M139" s="37"/>
      <c r="N139" s="38" t="s">
        <v>407</v>
      </c>
      <c r="O139" s="39"/>
      <c r="P139" s="39" t="s">
        <v>509</v>
      </c>
      <c r="Q139" s="39"/>
      <c r="R139" s="39" t="s">
        <v>509</v>
      </c>
      <c r="S139" s="39" t="s">
        <v>509</v>
      </c>
      <c r="T139" s="39"/>
      <c r="U139" s="39" t="s">
        <v>509</v>
      </c>
      <c r="V139" s="39"/>
      <c r="W139" s="39"/>
      <c r="X139" s="39" t="s">
        <v>509</v>
      </c>
      <c r="Y139" s="39"/>
      <c r="Z139" s="39"/>
      <c r="AA139" s="39"/>
      <c r="AB139" s="39"/>
      <c r="AC139" s="39">
        <v>5</v>
      </c>
      <c r="AD139" s="16" t="s">
        <v>1164</v>
      </c>
      <c r="AE139" s="16" t="s">
        <v>1165</v>
      </c>
      <c r="AF139" s="16" t="s">
        <v>1166</v>
      </c>
      <c r="AG139" s="16" t="s">
        <v>1162</v>
      </c>
      <c r="AH139" s="1"/>
      <c r="AI139" s="1"/>
    </row>
    <row r="140" spans="1:42" ht="14.25" customHeight="1" x14ac:dyDescent="0.35">
      <c r="A140" s="13">
        <v>135</v>
      </c>
      <c r="B140" s="28" t="s">
        <v>60</v>
      </c>
      <c r="C140" s="14"/>
      <c r="D140" s="13" t="s">
        <v>1153</v>
      </c>
      <c r="E140" s="84" t="s">
        <v>1167</v>
      </c>
      <c r="F140" s="20" t="s">
        <v>382</v>
      </c>
      <c r="G140" s="68" t="s">
        <v>1168</v>
      </c>
      <c r="H140" s="35" t="str">
        <f>IF(N140&lt;&gt;"OK","",IF(IF(O140="✓","Mã tra cứu|","")&amp;IF(P140="✓","MST người bán|","")&amp;IF(Q140="✓","MST người mua|","")&amp;IF(R140="✓","Mẫu số / Ký hiệu|","")&amp;IF(S140="✓","Số HĐ|","")&amp;IF(T140="✓","Ngày lập|","")&amp;IF(U140="✓","Tổng tiền|","")&amp;IF(V140="✓","Mã CQT|","")&amp;IF(W140="✓","Upload XML|","")&amp;IF(X140="✓","Captcha ảnh|","")&amp;IF(Y140="✓","Captcha dạng tích|","")&amp;IF(Z140="✓","Captcha khác (slider/hình)|","")&amp;IF(AA140="✓","Đăng nhập|","")&amp;IF(AB140="✓","Email/SĐT/OTP|","")="","(không có tham số)",SUBSTITUTE(LEFT(IF(O140="✓","Mã tra cứu|","")&amp;IF(P140="✓","MST người bán|","")&amp;IF(Q140="✓","MST người mua|","")&amp;IF(R140="✓","Mẫu số / Ký hiệu|","")&amp;IF(S140="✓","Số HĐ|","")&amp;IF(T140="✓","Ngày lập|","")&amp;IF(U140="✓","Tổng tiền|","")&amp;IF(V140="✓","Mã CQT|","")&amp;IF(W140="✓","Upload XML|","")&amp;IF(X140="✓","Captcha ảnh|","")&amp;IF(Y140="✓","Captcha dạng tích|","")&amp;IF(Z140="✓","Captcha khác (slider/hình)|","")&amp;IF(AA140="✓","Đăng nhập|","")&amp;IF(AB140="✓","Email/SĐT/OTP|",""),LEN(IF(O140="✓","Mã tra cứu|","")&amp;IF(P140="✓","MST người bán|","")&amp;IF(Q140="✓","MST người mua|","")&amp;IF(R140="✓","Mẫu số / Ký hiệu|","")&amp;IF(S140="✓","Số HĐ|","")&amp;IF(T140="✓","Ngày lập|","")&amp;IF(U140="✓","Tổng tiền|","")&amp;IF(V140="✓","Mã CQT|","")&amp;IF(W140="✓","Upload XML|","")&amp;IF(X140="✓","Captcha ảnh|","")&amp;IF(Y140="✓","Captcha dạng tích|","")&amp;IF(Z140="✓","Captcha khác (slider/hình)|","")&amp;IF(AA140="✓","Đăng nhập|","")&amp;IF(AB140="✓","Email/SĐT/OTP|",""))-1),"|"," + ")))</f>
        <v/>
      </c>
      <c r="I140" s="17"/>
      <c r="J140" s="17"/>
      <c r="K140" s="17"/>
      <c r="L140" s="17"/>
      <c r="M140" s="37"/>
      <c r="N140" s="38" t="s">
        <v>408</v>
      </c>
      <c r="O140" s="39"/>
      <c r="P140" s="39"/>
      <c r="Q140" s="39"/>
      <c r="R140" s="39"/>
      <c r="S140" s="39"/>
      <c r="T140" s="39"/>
      <c r="U140" s="39"/>
      <c r="V140" s="39"/>
      <c r="W140" s="39"/>
      <c r="X140" s="39" t="s">
        <v>509</v>
      </c>
      <c r="Y140" s="39"/>
      <c r="Z140" s="39"/>
      <c r="AA140" s="39" t="s">
        <v>509</v>
      </c>
      <c r="AB140" s="39"/>
      <c r="AC140" s="39"/>
      <c r="AD140" s="16" t="s">
        <v>1169</v>
      </c>
      <c r="AE140" s="16" t="s">
        <v>1170</v>
      </c>
      <c r="AF140" s="16" t="s">
        <v>1171</v>
      </c>
      <c r="AG140" s="16" t="s">
        <v>1167</v>
      </c>
      <c r="AH140" s="1"/>
      <c r="AI140" s="1"/>
    </row>
    <row r="141" spans="1:42" ht="14.25" hidden="1" customHeight="1" x14ac:dyDescent="0.35">
      <c r="H141" s="1" t="s">
        <v>1172</v>
      </c>
      <c r="AH141" s="1"/>
      <c r="AI141" s="1"/>
    </row>
    <row r="142" spans="1:42" ht="14.25" customHeight="1" x14ac:dyDescent="0.35">
      <c r="AH142" s="1"/>
      <c r="AI142" s="1"/>
    </row>
    <row r="143" spans="1:42" ht="14.25" customHeight="1" x14ac:dyDescent="0.35">
      <c r="AH143" s="1"/>
      <c r="AI143" s="1"/>
    </row>
    <row r="144" spans="1:42" ht="14.25" customHeight="1" x14ac:dyDescent="0.35">
      <c r="B144" s="1"/>
      <c r="AH144" s="1"/>
      <c r="AI144" s="1"/>
    </row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Z141" xr:uid="{00000000-0009-0000-0000-000001000000}">
    <filterColumn colId="5">
      <filters>
        <filter val="không có captcha"/>
        <filter val="có captcha"/>
      </filters>
    </filterColumn>
  </autoFilter>
  <dataValidations count="1">
    <dataValidation type="list" allowBlank="1" showErrorMessage="1" sqref="H141" xr:uid="{00000000-0002-0000-0100-000000000000}">
      <formula1>"1. Mã tra cứu,2. Mã tra cứu + Captcha ảnh,3. Mã tra cứu + MST người bán,4. Mã tra cứu + Captcha dạng tích,5. Mã tra cứu + MST người bán + Captcha ảnh,6. Mã tra cứu + MST người bán + Captcha dạng tích,7. Mã tra cứu + MST người bán + Ngày lập + Captcha ảnh,"&amp;"8. Upload XML,9. Mã tra cứu + Captcha khác (slider/hình),10. Mã tra cứu + MST người mua,11. Mã tra cứu + Ngày lập,12. Mã tra cứu + MST người bán + Captcha khác (slider/hình),13. Mã tra cứu + MST người bán + Số HĐ,14. Mã tra cứu + Mã CQT + Captcha ảnh,15. "&amp;"Mã tra cứu + Số HĐ + Captcha dạng tích,16. Mã tra cứu + Mẫu số / Ký hiệu + Số HĐ + Captcha dạng tích,17. MST người bán + Mẫu số / Ký hiệu + Số HĐ + Tổng tiền + Captcha ảnh"</formula1>
    </dataValidation>
  </dataValidations>
  <hyperlinks>
    <hyperlink ref="E2" r:id="rId1" xr:uid="{00000000-0004-0000-0100-000000000000}"/>
    <hyperlink ref="G2" r:id="rId2" xr:uid="{00000000-0004-0000-0100-000001000000}"/>
    <hyperlink ref="E3" r:id="rId3" xr:uid="{00000000-0004-0000-0100-000002000000}"/>
    <hyperlink ref="G3" r:id="rId4" xr:uid="{00000000-0004-0000-0100-000003000000}"/>
    <hyperlink ref="E4" r:id="rId5" xr:uid="{00000000-0004-0000-0100-000004000000}"/>
    <hyperlink ref="G4" r:id="rId6" xr:uid="{00000000-0004-0000-0100-000005000000}"/>
    <hyperlink ref="E5" r:id="rId7" xr:uid="{00000000-0004-0000-0100-000006000000}"/>
    <hyperlink ref="G5" r:id="rId8" xr:uid="{00000000-0004-0000-0100-000007000000}"/>
    <hyperlink ref="M5" r:id="rId9" xr:uid="{00000000-0004-0000-0100-000008000000}"/>
    <hyperlink ref="E6" r:id="rId10" xr:uid="{00000000-0004-0000-0100-000009000000}"/>
    <hyperlink ref="G6" r:id="rId11" location="/login" xr:uid="{00000000-0004-0000-0100-00000A000000}"/>
    <hyperlink ref="E7" r:id="rId12" xr:uid="{00000000-0004-0000-0100-00000B000000}"/>
    <hyperlink ref="G7" r:id="rId13" xr:uid="{00000000-0004-0000-0100-00000C000000}"/>
    <hyperlink ref="E8" r:id="rId14" location="/tracuuhoadon/tracuu" xr:uid="{00000000-0004-0000-0100-00000D000000}"/>
    <hyperlink ref="G8" r:id="rId15" location="/tracuuhoadon/tracuu" xr:uid="{00000000-0004-0000-0100-00000E000000}"/>
    <hyperlink ref="E9" r:id="rId16" xr:uid="{00000000-0004-0000-0100-00000F000000}"/>
    <hyperlink ref="G9" r:id="rId17" xr:uid="{00000000-0004-0000-0100-000010000000}"/>
    <hyperlink ref="M9" r:id="rId18" xr:uid="{00000000-0004-0000-0100-000011000000}"/>
    <hyperlink ref="E10" r:id="rId19" xr:uid="{00000000-0004-0000-0100-000012000000}"/>
    <hyperlink ref="G10" r:id="rId20" xr:uid="{00000000-0004-0000-0100-000013000000}"/>
    <hyperlink ref="E11" r:id="rId21" xr:uid="{00000000-0004-0000-0100-000014000000}"/>
    <hyperlink ref="G11" r:id="rId22" xr:uid="{00000000-0004-0000-0100-000015000000}"/>
    <hyperlink ref="E12" r:id="rId23" xr:uid="{00000000-0004-0000-0100-000016000000}"/>
    <hyperlink ref="G12" r:id="rId24" xr:uid="{00000000-0004-0000-0100-000017000000}"/>
    <hyperlink ref="E13" r:id="rId25" xr:uid="{00000000-0004-0000-0100-000018000000}"/>
    <hyperlink ref="G13" r:id="rId26" location="/search-xml" xr:uid="{00000000-0004-0000-0100-000019000000}"/>
    <hyperlink ref="E14" r:id="rId27" xr:uid="{00000000-0004-0000-0100-00001A000000}"/>
    <hyperlink ref="G14" r:id="rId28" xr:uid="{00000000-0004-0000-0100-00001B000000}"/>
    <hyperlink ref="E15" r:id="rId29" xr:uid="{00000000-0004-0000-0100-00001C000000}"/>
    <hyperlink ref="G15" r:id="rId30" xr:uid="{00000000-0004-0000-0100-00001D000000}"/>
    <hyperlink ref="E16" r:id="rId31" xr:uid="{00000000-0004-0000-0100-00001E000000}"/>
    <hyperlink ref="E17" r:id="rId32" xr:uid="{00000000-0004-0000-0100-00001F000000}"/>
    <hyperlink ref="G17" r:id="rId33" xr:uid="{00000000-0004-0000-0100-000020000000}"/>
    <hyperlink ref="E18" r:id="rId34" xr:uid="{00000000-0004-0000-0100-000021000000}"/>
    <hyperlink ref="E19" r:id="rId35" xr:uid="{00000000-0004-0000-0100-000022000000}"/>
    <hyperlink ref="E20" r:id="rId36" xr:uid="{00000000-0004-0000-0100-000023000000}"/>
    <hyperlink ref="G20" r:id="rId37" xr:uid="{00000000-0004-0000-0100-000024000000}"/>
    <hyperlink ref="E21" r:id="rId38" xr:uid="{00000000-0004-0000-0100-000025000000}"/>
    <hyperlink ref="G21" r:id="rId39" xr:uid="{00000000-0004-0000-0100-000026000000}"/>
    <hyperlink ref="E22" r:id="rId40" xr:uid="{00000000-0004-0000-0100-000027000000}"/>
    <hyperlink ref="G22" r:id="rId41" xr:uid="{00000000-0004-0000-0100-000028000000}"/>
    <hyperlink ref="E23" r:id="rId42" xr:uid="{00000000-0004-0000-0100-000029000000}"/>
    <hyperlink ref="E24" r:id="rId43" xr:uid="{00000000-0004-0000-0100-00002A000000}"/>
    <hyperlink ref="G24" r:id="rId44" xr:uid="{00000000-0004-0000-0100-00002B000000}"/>
    <hyperlink ref="E25" r:id="rId45" xr:uid="{00000000-0004-0000-0100-00002C000000}"/>
    <hyperlink ref="E26" r:id="rId46" xr:uid="{00000000-0004-0000-0100-00002D000000}"/>
    <hyperlink ref="E27" r:id="rId47" xr:uid="{00000000-0004-0000-0100-00002E000000}"/>
    <hyperlink ref="G27" r:id="rId48" xr:uid="{00000000-0004-0000-0100-00002F000000}"/>
    <hyperlink ref="E28" r:id="rId49" xr:uid="{00000000-0004-0000-0100-000030000000}"/>
    <hyperlink ref="G28" r:id="rId50" xr:uid="{00000000-0004-0000-0100-000031000000}"/>
    <hyperlink ref="E29" r:id="rId51" xr:uid="{00000000-0004-0000-0100-000032000000}"/>
    <hyperlink ref="G29" r:id="rId52" xr:uid="{00000000-0004-0000-0100-000033000000}"/>
    <hyperlink ref="E30" r:id="rId53" xr:uid="{00000000-0004-0000-0100-000034000000}"/>
    <hyperlink ref="G30" r:id="rId54" xr:uid="{00000000-0004-0000-0100-000035000000}"/>
    <hyperlink ref="AH30" r:id="rId55" xr:uid="{00000000-0004-0000-0100-000036000000}"/>
    <hyperlink ref="E31" r:id="rId56" xr:uid="{00000000-0004-0000-0100-000037000000}"/>
    <hyperlink ref="G31" r:id="rId57" xr:uid="{00000000-0004-0000-0100-000038000000}"/>
    <hyperlink ref="E32" r:id="rId58" xr:uid="{00000000-0004-0000-0100-000039000000}"/>
    <hyperlink ref="G32" r:id="rId59" xr:uid="{00000000-0004-0000-0100-00003A000000}"/>
    <hyperlink ref="E33" r:id="rId60" xr:uid="{00000000-0004-0000-0100-00003B000000}"/>
    <hyperlink ref="G33" r:id="rId61" xr:uid="{00000000-0004-0000-0100-00003C000000}"/>
    <hyperlink ref="E34" r:id="rId62" xr:uid="{00000000-0004-0000-0100-00003D000000}"/>
    <hyperlink ref="G34" r:id="rId63" xr:uid="{00000000-0004-0000-0100-00003E000000}"/>
    <hyperlink ref="E35" r:id="rId64" xr:uid="{00000000-0004-0000-0100-00003F000000}"/>
    <hyperlink ref="G35" r:id="rId65" location="/" xr:uid="{00000000-0004-0000-0100-000040000000}"/>
    <hyperlink ref="E36" r:id="rId66" xr:uid="{00000000-0004-0000-0100-000041000000}"/>
    <hyperlink ref="G36" r:id="rId67" xr:uid="{00000000-0004-0000-0100-000042000000}"/>
    <hyperlink ref="E37" r:id="rId68" xr:uid="{00000000-0004-0000-0100-000043000000}"/>
    <hyperlink ref="G37" r:id="rId69" xr:uid="{00000000-0004-0000-0100-000044000000}"/>
    <hyperlink ref="J37" r:id="rId70" xr:uid="{00000000-0004-0000-0100-000045000000}"/>
    <hyperlink ref="E38" r:id="rId71" xr:uid="{00000000-0004-0000-0100-000046000000}"/>
    <hyperlink ref="G38" r:id="rId72" xr:uid="{00000000-0004-0000-0100-000047000000}"/>
    <hyperlink ref="E39" r:id="rId73" xr:uid="{00000000-0004-0000-0100-000048000000}"/>
    <hyperlink ref="E40" r:id="rId74" xr:uid="{00000000-0004-0000-0100-000049000000}"/>
    <hyperlink ref="E41" r:id="rId75" xr:uid="{00000000-0004-0000-0100-00004A000000}"/>
    <hyperlink ref="G41" r:id="rId76" xr:uid="{00000000-0004-0000-0100-00004B000000}"/>
    <hyperlink ref="E42" r:id="rId77" xr:uid="{00000000-0004-0000-0100-00004C000000}"/>
    <hyperlink ref="G42" r:id="rId78" xr:uid="{00000000-0004-0000-0100-00004D000000}"/>
    <hyperlink ref="E43" r:id="rId79" xr:uid="{00000000-0004-0000-0100-00004E000000}"/>
    <hyperlink ref="G43" r:id="rId80" xr:uid="{00000000-0004-0000-0100-00004F000000}"/>
    <hyperlink ref="E44" r:id="rId81" xr:uid="{00000000-0004-0000-0100-000050000000}"/>
    <hyperlink ref="G44" r:id="rId82" xr:uid="{00000000-0004-0000-0100-000051000000}"/>
    <hyperlink ref="E45" r:id="rId83" xr:uid="{00000000-0004-0000-0100-000052000000}"/>
    <hyperlink ref="G45" r:id="rId84" xr:uid="{00000000-0004-0000-0100-000053000000}"/>
    <hyperlink ref="E46" r:id="rId85" xr:uid="{00000000-0004-0000-0100-000054000000}"/>
    <hyperlink ref="G46" r:id="rId86" xr:uid="{00000000-0004-0000-0100-000055000000}"/>
    <hyperlink ref="M46" r:id="rId87" xr:uid="{00000000-0004-0000-0100-000056000000}"/>
    <hyperlink ref="E47" r:id="rId88" xr:uid="{00000000-0004-0000-0100-000057000000}"/>
    <hyperlink ref="G47" r:id="rId89" location="/tracuuhoadon/tracuu" xr:uid="{00000000-0004-0000-0100-000058000000}"/>
    <hyperlink ref="J47" r:id="rId90" xr:uid="{00000000-0004-0000-0100-000059000000}"/>
    <hyperlink ref="E48" r:id="rId91" xr:uid="{00000000-0004-0000-0100-00005A000000}"/>
    <hyperlink ref="G48" r:id="rId92" xr:uid="{00000000-0004-0000-0100-00005B000000}"/>
    <hyperlink ref="E49" r:id="rId93" xr:uid="{00000000-0004-0000-0100-00005C000000}"/>
    <hyperlink ref="G49" r:id="rId94" xr:uid="{00000000-0004-0000-0100-00005D000000}"/>
    <hyperlink ref="E50" r:id="rId95" xr:uid="{00000000-0004-0000-0100-00005E000000}"/>
    <hyperlink ref="G50" r:id="rId96" location="/tracuuhoadon/tracuu" xr:uid="{00000000-0004-0000-0100-00005F000000}"/>
    <hyperlink ref="E51" r:id="rId97" xr:uid="{00000000-0004-0000-0100-000060000000}"/>
    <hyperlink ref="E52" r:id="rId98" xr:uid="{00000000-0004-0000-0100-000061000000}"/>
    <hyperlink ref="G52" r:id="rId99" xr:uid="{00000000-0004-0000-0100-000062000000}"/>
    <hyperlink ref="E53" r:id="rId100" xr:uid="{00000000-0004-0000-0100-000063000000}"/>
    <hyperlink ref="E54" r:id="rId101" xr:uid="{00000000-0004-0000-0100-000064000000}"/>
    <hyperlink ref="E55" r:id="rId102" xr:uid="{00000000-0004-0000-0100-000065000000}"/>
    <hyperlink ref="G55" r:id="rId103" xr:uid="{00000000-0004-0000-0100-000066000000}"/>
    <hyperlink ref="E56" r:id="rId104" xr:uid="{00000000-0004-0000-0100-000067000000}"/>
    <hyperlink ref="G56" r:id="rId105" xr:uid="{00000000-0004-0000-0100-000068000000}"/>
    <hyperlink ref="E57" r:id="rId106" xr:uid="{00000000-0004-0000-0100-000069000000}"/>
    <hyperlink ref="G57" r:id="rId107" xr:uid="{00000000-0004-0000-0100-00006A000000}"/>
    <hyperlink ref="E58" r:id="rId108" xr:uid="{00000000-0004-0000-0100-00006B000000}"/>
    <hyperlink ref="G58" r:id="rId109" xr:uid="{00000000-0004-0000-0100-00006C000000}"/>
    <hyperlink ref="E59" r:id="rId110" xr:uid="{00000000-0004-0000-0100-00006D000000}"/>
    <hyperlink ref="E60" r:id="rId111" xr:uid="{00000000-0004-0000-0100-00006E000000}"/>
    <hyperlink ref="G60" r:id="rId112" xr:uid="{00000000-0004-0000-0100-00006F000000}"/>
    <hyperlink ref="E61" r:id="rId113" xr:uid="{00000000-0004-0000-0100-000070000000}"/>
    <hyperlink ref="G61" r:id="rId114" xr:uid="{00000000-0004-0000-0100-000071000000}"/>
    <hyperlink ref="E62" r:id="rId115" xr:uid="{00000000-0004-0000-0100-000072000000}"/>
    <hyperlink ref="E63" r:id="rId116" xr:uid="{00000000-0004-0000-0100-000073000000}"/>
    <hyperlink ref="G63" r:id="rId117" xr:uid="{00000000-0004-0000-0100-000074000000}"/>
    <hyperlink ref="E64" r:id="rId118" xr:uid="{00000000-0004-0000-0100-000075000000}"/>
    <hyperlink ref="E65" r:id="rId119" xr:uid="{00000000-0004-0000-0100-000076000000}"/>
    <hyperlink ref="G65" r:id="rId120" xr:uid="{00000000-0004-0000-0100-000077000000}"/>
    <hyperlink ref="E66" r:id="rId121" xr:uid="{00000000-0004-0000-0100-000078000000}"/>
    <hyperlink ref="G66" r:id="rId122" xr:uid="{00000000-0004-0000-0100-000079000000}"/>
    <hyperlink ref="E67" r:id="rId123" xr:uid="{00000000-0004-0000-0100-00007A000000}"/>
    <hyperlink ref="G67" r:id="rId124" xr:uid="{00000000-0004-0000-0100-00007B000000}"/>
    <hyperlink ref="E68" r:id="rId125" xr:uid="{00000000-0004-0000-0100-00007C000000}"/>
    <hyperlink ref="G68" r:id="rId126" xr:uid="{00000000-0004-0000-0100-00007D000000}"/>
    <hyperlink ref="E69" r:id="rId127" xr:uid="{00000000-0004-0000-0100-00007E000000}"/>
    <hyperlink ref="G69" r:id="rId128" xr:uid="{00000000-0004-0000-0100-00007F000000}"/>
    <hyperlink ref="E70" r:id="rId129" xr:uid="{00000000-0004-0000-0100-000080000000}"/>
    <hyperlink ref="E71" r:id="rId130" xr:uid="{00000000-0004-0000-0100-000081000000}"/>
    <hyperlink ref="G71" r:id="rId131" xr:uid="{00000000-0004-0000-0100-000082000000}"/>
    <hyperlink ref="E72" r:id="rId132" xr:uid="{00000000-0004-0000-0100-000083000000}"/>
    <hyperlink ref="G72" r:id="rId133" xr:uid="{00000000-0004-0000-0100-000084000000}"/>
    <hyperlink ref="E73" r:id="rId134" xr:uid="{00000000-0004-0000-0100-000085000000}"/>
    <hyperlink ref="G73" r:id="rId135" xr:uid="{00000000-0004-0000-0100-000086000000}"/>
    <hyperlink ref="E74" r:id="rId136" xr:uid="{00000000-0004-0000-0100-000087000000}"/>
    <hyperlink ref="G74" r:id="rId137" xr:uid="{00000000-0004-0000-0100-000088000000}"/>
    <hyperlink ref="E75" r:id="rId138" xr:uid="{00000000-0004-0000-0100-000089000000}"/>
    <hyperlink ref="E76" r:id="rId139" xr:uid="{00000000-0004-0000-0100-00008A000000}"/>
    <hyperlink ref="G76" r:id="rId140" location="TraCuu" xr:uid="{00000000-0004-0000-0100-00008B000000}"/>
    <hyperlink ref="E77" r:id="rId141" xr:uid="{00000000-0004-0000-0100-00008C000000}"/>
    <hyperlink ref="E78" r:id="rId142" xr:uid="{00000000-0004-0000-0100-00008D000000}"/>
    <hyperlink ref="E79" r:id="rId143" xr:uid="{00000000-0004-0000-0100-00008E000000}"/>
    <hyperlink ref="G79" r:id="rId144" xr:uid="{00000000-0004-0000-0100-00008F000000}"/>
    <hyperlink ref="E80" r:id="rId145" xr:uid="{00000000-0004-0000-0100-000090000000}"/>
    <hyperlink ref="G80" r:id="rId146" xr:uid="{00000000-0004-0000-0100-000091000000}"/>
    <hyperlink ref="J80" r:id="rId147" xr:uid="{00000000-0004-0000-0100-000092000000}"/>
    <hyperlink ref="E81" r:id="rId148" xr:uid="{00000000-0004-0000-0100-000093000000}"/>
    <hyperlink ref="G81" r:id="rId149" xr:uid="{00000000-0004-0000-0100-000094000000}"/>
    <hyperlink ref="E82" r:id="rId150" xr:uid="{00000000-0004-0000-0100-000095000000}"/>
    <hyperlink ref="E83" r:id="rId151" xr:uid="{00000000-0004-0000-0100-000096000000}"/>
    <hyperlink ref="G83" r:id="rId152" xr:uid="{00000000-0004-0000-0100-000097000000}"/>
    <hyperlink ref="E84" r:id="rId153" xr:uid="{00000000-0004-0000-0100-000098000000}"/>
    <hyperlink ref="G84" r:id="rId154" location="/" xr:uid="{00000000-0004-0000-0100-000099000000}"/>
    <hyperlink ref="E85" r:id="rId155" xr:uid="{00000000-0004-0000-0100-00009A000000}"/>
    <hyperlink ref="E86" r:id="rId156" xr:uid="{00000000-0004-0000-0100-00009B000000}"/>
    <hyperlink ref="G86" r:id="rId157" xr:uid="{00000000-0004-0000-0100-00009C000000}"/>
    <hyperlink ref="E87" r:id="rId158" xr:uid="{00000000-0004-0000-0100-00009D000000}"/>
    <hyperlink ref="G87" r:id="rId159" xr:uid="{00000000-0004-0000-0100-00009E000000}"/>
    <hyperlink ref="E88" r:id="rId160" xr:uid="{00000000-0004-0000-0100-00009F000000}"/>
    <hyperlink ref="E89" r:id="rId161" xr:uid="{00000000-0004-0000-0100-0000A0000000}"/>
    <hyperlink ref="G89" r:id="rId162" xr:uid="{00000000-0004-0000-0100-0000A1000000}"/>
    <hyperlink ref="E90" r:id="rId163" xr:uid="{00000000-0004-0000-0100-0000A2000000}"/>
    <hyperlink ref="G90" r:id="rId164" location="/" xr:uid="{00000000-0004-0000-0100-0000A3000000}"/>
    <hyperlink ref="E91" r:id="rId165" xr:uid="{00000000-0004-0000-0100-0000A4000000}"/>
    <hyperlink ref="E92" r:id="rId166" xr:uid="{00000000-0004-0000-0100-0000A5000000}"/>
    <hyperlink ref="G92" r:id="rId167" xr:uid="{00000000-0004-0000-0100-0000A6000000}"/>
    <hyperlink ref="E93" r:id="rId168" xr:uid="{00000000-0004-0000-0100-0000A7000000}"/>
    <hyperlink ref="G93" r:id="rId169" xr:uid="{00000000-0004-0000-0100-0000A8000000}"/>
    <hyperlink ref="E94" r:id="rId170" xr:uid="{00000000-0004-0000-0100-0000A9000000}"/>
    <hyperlink ref="E95" r:id="rId171" xr:uid="{00000000-0004-0000-0100-0000AA000000}"/>
    <hyperlink ref="E96" r:id="rId172" xr:uid="{00000000-0004-0000-0100-0000AB000000}"/>
    <hyperlink ref="G96" r:id="rId173" xr:uid="{00000000-0004-0000-0100-0000AC000000}"/>
    <hyperlink ref="E97" r:id="rId174" xr:uid="{00000000-0004-0000-0100-0000AD000000}"/>
    <hyperlink ref="G97" r:id="rId175" xr:uid="{00000000-0004-0000-0100-0000AE000000}"/>
    <hyperlink ref="E98" r:id="rId176" xr:uid="{00000000-0004-0000-0100-0000AF000000}"/>
    <hyperlink ref="E99" r:id="rId177" xr:uid="{00000000-0004-0000-0100-0000B0000000}"/>
    <hyperlink ref="G99" r:id="rId178" xr:uid="{00000000-0004-0000-0100-0000B1000000}"/>
    <hyperlink ref="E100" r:id="rId179" xr:uid="{00000000-0004-0000-0100-0000B2000000}"/>
    <hyperlink ref="E101" r:id="rId180" xr:uid="{00000000-0004-0000-0100-0000B3000000}"/>
    <hyperlink ref="E102" r:id="rId181" xr:uid="{00000000-0004-0000-0100-0000B4000000}"/>
    <hyperlink ref="G102" r:id="rId182" location="/" xr:uid="{00000000-0004-0000-0100-0000B5000000}"/>
    <hyperlink ref="E103" r:id="rId183" xr:uid="{00000000-0004-0000-0100-0000B6000000}"/>
    <hyperlink ref="G103" r:id="rId184" xr:uid="{00000000-0004-0000-0100-0000B7000000}"/>
    <hyperlink ref="E104" r:id="rId185" xr:uid="{00000000-0004-0000-0100-0000B8000000}"/>
    <hyperlink ref="G104" r:id="rId186" xr:uid="{00000000-0004-0000-0100-0000B9000000}"/>
    <hyperlink ref="E105" r:id="rId187" xr:uid="{00000000-0004-0000-0100-0000BA000000}"/>
    <hyperlink ref="G105" r:id="rId188" xr:uid="{00000000-0004-0000-0100-0000BB000000}"/>
    <hyperlink ref="E106" r:id="rId189" xr:uid="{00000000-0004-0000-0100-0000BC000000}"/>
    <hyperlink ref="G106" r:id="rId190" xr:uid="{00000000-0004-0000-0100-0000BD000000}"/>
    <hyperlink ref="E107" r:id="rId191" xr:uid="{00000000-0004-0000-0100-0000BE000000}"/>
    <hyperlink ref="G107" r:id="rId192" xr:uid="{00000000-0004-0000-0100-0000BF000000}"/>
    <hyperlink ref="E108" r:id="rId193" xr:uid="{00000000-0004-0000-0100-0000C0000000}"/>
    <hyperlink ref="G108" r:id="rId194" xr:uid="{00000000-0004-0000-0100-0000C1000000}"/>
    <hyperlink ref="E109" r:id="rId195" xr:uid="{00000000-0004-0000-0100-0000C2000000}"/>
    <hyperlink ref="G109" r:id="rId196" xr:uid="{00000000-0004-0000-0100-0000C3000000}"/>
    <hyperlink ref="E110" r:id="rId197" xr:uid="{00000000-0004-0000-0100-0000C4000000}"/>
    <hyperlink ref="G110" r:id="rId198" xr:uid="{00000000-0004-0000-0100-0000C5000000}"/>
    <hyperlink ref="E111" r:id="rId199" xr:uid="{00000000-0004-0000-0100-0000C6000000}"/>
    <hyperlink ref="G111" r:id="rId200" xr:uid="{00000000-0004-0000-0100-0000C7000000}"/>
    <hyperlink ref="E112" r:id="rId201" xr:uid="{00000000-0004-0000-0100-0000C8000000}"/>
    <hyperlink ref="G112" r:id="rId202" xr:uid="{00000000-0004-0000-0100-0000C9000000}"/>
    <hyperlink ref="E113" r:id="rId203" xr:uid="{00000000-0004-0000-0100-0000CA000000}"/>
    <hyperlink ref="E114" r:id="rId204" xr:uid="{00000000-0004-0000-0100-0000CB000000}"/>
    <hyperlink ref="G114" r:id="rId205" xr:uid="{00000000-0004-0000-0100-0000CC000000}"/>
    <hyperlink ref="E115" r:id="rId206" xr:uid="{00000000-0004-0000-0100-0000CD000000}"/>
    <hyperlink ref="G115" r:id="rId207" xr:uid="{00000000-0004-0000-0100-0000CE000000}"/>
    <hyperlink ref="E116" r:id="rId208" xr:uid="{00000000-0004-0000-0100-0000CF000000}"/>
    <hyperlink ref="E117" r:id="rId209" xr:uid="{00000000-0004-0000-0100-0000D0000000}"/>
    <hyperlink ref="G117" r:id="rId210" xr:uid="{00000000-0004-0000-0100-0000D1000000}"/>
    <hyperlink ref="E118" r:id="rId211" xr:uid="{00000000-0004-0000-0100-0000D2000000}"/>
    <hyperlink ref="G118" r:id="rId212" xr:uid="{00000000-0004-0000-0100-0000D3000000}"/>
    <hyperlink ref="E119" r:id="rId213" xr:uid="{00000000-0004-0000-0100-0000D4000000}"/>
    <hyperlink ref="G119" r:id="rId214" xr:uid="{00000000-0004-0000-0100-0000D5000000}"/>
    <hyperlink ref="E120" r:id="rId215" xr:uid="{00000000-0004-0000-0100-0000D6000000}"/>
    <hyperlink ref="G120" r:id="rId216" xr:uid="{00000000-0004-0000-0100-0000D7000000}"/>
    <hyperlink ref="E121" r:id="rId217" xr:uid="{00000000-0004-0000-0100-0000D8000000}"/>
    <hyperlink ref="E122" r:id="rId218" xr:uid="{00000000-0004-0000-0100-0000D9000000}"/>
    <hyperlink ref="E123" r:id="rId219" xr:uid="{00000000-0004-0000-0100-0000DA000000}"/>
    <hyperlink ref="G123" r:id="rId220" xr:uid="{00000000-0004-0000-0100-0000DB000000}"/>
    <hyperlink ref="E124" r:id="rId221" xr:uid="{00000000-0004-0000-0100-0000DC000000}"/>
    <hyperlink ref="G124" r:id="rId222" xr:uid="{00000000-0004-0000-0100-0000DD000000}"/>
    <hyperlink ref="E125" r:id="rId223" xr:uid="{00000000-0004-0000-0100-0000DE000000}"/>
    <hyperlink ref="G125" r:id="rId224" xr:uid="{00000000-0004-0000-0100-0000DF000000}"/>
    <hyperlink ref="E126" r:id="rId225" xr:uid="{00000000-0004-0000-0100-0000E0000000}"/>
    <hyperlink ref="E127" r:id="rId226" xr:uid="{00000000-0004-0000-0100-0000E1000000}"/>
    <hyperlink ref="G127" r:id="rId227" xr:uid="{00000000-0004-0000-0100-0000E2000000}"/>
    <hyperlink ref="E128" r:id="rId228" xr:uid="{00000000-0004-0000-0100-0000E3000000}"/>
    <hyperlink ref="G128" r:id="rId229" xr:uid="{00000000-0004-0000-0100-0000E4000000}"/>
    <hyperlink ref="E129" r:id="rId230" xr:uid="{00000000-0004-0000-0100-0000E5000000}"/>
    <hyperlink ref="G129" r:id="rId231" xr:uid="{00000000-0004-0000-0100-0000E6000000}"/>
    <hyperlink ref="E130" r:id="rId232" xr:uid="{00000000-0004-0000-0100-0000E7000000}"/>
    <hyperlink ref="G130" r:id="rId233" xr:uid="{00000000-0004-0000-0100-0000E8000000}"/>
    <hyperlink ref="E131" r:id="rId234" xr:uid="{00000000-0004-0000-0100-0000E9000000}"/>
    <hyperlink ref="G131" r:id="rId235" xr:uid="{00000000-0004-0000-0100-0000EA000000}"/>
    <hyperlink ref="E132" r:id="rId236" xr:uid="{00000000-0004-0000-0100-0000EB000000}"/>
    <hyperlink ref="G132" r:id="rId237" xr:uid="{00000000-0004-0000-0100-0000EC000000}"/>
    <hyperlink ref="E133" r:id="rId238" xr:uid="{00000000-0004-0000-0100-0000ED000000}"/>
    <hyperlink ref="G133" r:id="rId239" xr:uid="{00000000-0004-0000-0100-0000EE000000}"/>
    <hyperlink ref="E134" r:id="rId240" xr:uid="{00000000-0004-0000-0100-0000EF000000}"/>
    <hyperlink ref="E135" r:id="rId241" xr:uid="{00000000-0004-0000-0100-0000F0000000}"/>
    <hyperlink ref="G135" r:id="rId242" xr:uid="{00000000-0004-0000-0100-0000F1000000}"/>
    <hyperlink ref="E136" r:id="rId243" xr:uid="{00000000-0004-0000-0100-0000F2000000}"/>
    <hyperlink ref="E137" r:id="rId244" xr:uid="{00000000-0004-0000-0100-0000F3000000}"/>
    <hyperlink ref="G137" r:id="rId245" xr:uid="{00000000-0004-0000-0100-0000F4000000}"/>
    <hyperlink ref="D139" r:id="rId246" location="/tracuuhoadon/tracuu" xr:uid="{00000000-0004-0000-0100-0000F5000000}"/>
    <hyperlink ref="G139" r:id="rId247" xr:uid="{00000000-0004-0000-0100-0000F6000000}"/>
    <hyperlink ref="E140" r:id="rId248" xr:uid="{00000000-0004-0000-0100-0000F7000000}"/>
    <hyperlink ref="G140" r:id="rId249" xr:uid="{00000000-0004-0000-0100-0000F8000000}"/>
  </hyperlinks>
  <pageMargins left="0.7" right="0.7" top="0.75" bottom="0.75" header="0" footer="0"/>
  <pageSetup orientation="landscape"/>
  <legacyDrawing r:id="rId2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53125" defaultRowHeight="15" customHeight="1" x14ac:dyDescent="0.35"/>
  <cols>
    <col min="1" max="6" width="14.453125" customWidth="1"/>
  </cols>
  <sheetData>
    <row r="1" spans="1:1" ht="14.25" customHeight="1" x14ac:dyDescent="0.35">
      <c r="A1" s="1" t="s">
        <v>1173</v>
      </c>
    </row>
    <row r="2" spans="1:1" ht="14.25" customHeight="1" x14ac:dyDescent="0.35">
      <c r="A2" s="1" t="s">
        <v>1174</v>
      </c>
    </row>
    <row r="3" spans="1:1" ht="14.25" customHeight="1" x14ac:dyDescent="0.35">
      <c r="A3" s="1" t="s">
        <v>1175</v>
      </c>
    </row>
    <row r="4" spans="1:1" ht="14.25" customHeight="1" x14ac:dyDescent="0.35">
      <c r="A4" s="1" t="s">
        <v>1176</v>
      </c>
    </row>
    <row r="5" spans="1:1" ht="14.25" customHeight="1" x14ac:dyDescent="0.35">
      <c r="A5" s="1" t="s">
        <v>1177</v>
      </c>
    </row>
    <row r="6" spans="1:1" ht="14.25" customHeight="1" x14ac:dyDescent="0.35">
      <c r="A6" s="1" t="s">
        <v>1178</v>
      </c>
    </row>
    <row r="7" spans="1:1" ht="14.25" customHeight="1" x14ac:dyDescent="0.35">
      <c r="A7" s="1" t="s">
        <v>1179</v>
      </c>
    </row>
    <row r="8" spans="1:1" ht="14.25" customHeight="1" x14ac:dyDescent="0.35">
      <c r="A8" s="1" t="s">
        <v>1180</v>
      </c>
    </row>
    <row r="9" spans="1:1" ht="14.25" customHeight="1" x14ac:dyDescent="0.35">
      <c r="A9" s="1" t="s">
        <v>1181</v>
      </c>
    </row>
    <row r="10" spans="1:1" ht="14.25" customHeight="1" x14ac:dyDescent="0.35">
      <c r="A10" s="1" t="s">
        <v>1182</v>
      </c>
    </row>
    <row r="11" spans="1:1" ht="14.25" customHeight="1" x14ac:dyDescent="0.35">
      <c r="A11" s="1" t="s">
        <v>1183</v>
      </c>
    </row>
    <row r="12" spans="1:1" ht="14.25" customHeight="1" x14ac:dyDescent="0.35">
      <c r="A12" s="1" t="s">
        <v>1184</v>
      </c>
    </row>
    <row r="13" spans="1:1" ht="14.25" customHeight="1" x14ac:dyDescent="0.35">
      <c r="A13" s="1" t="s">
        <v>1185</v>
      </c>
    </row>
    <row r="14" spans="1:1" ht="14.25" customHeight="1" x14ac:dyDescent="0.35">
      <c r="A14" s="1" t="s">
        <v>1186</v>
      </c>
    </row>
    <row r="15" spans="1:1" ht="14.25" customHeight="1" x14ac:dyDescent="0.35">
      <c r="A15" s="1" t="s">
        <v>1187</v>
      </c>
    </row>
    <row r="16" spans="1:1" ht="14.25" customHeight="1" x14ac:dyDescent="0.35">
      <c r="A16" s="1" t="s">
        <v>1188</v>
      </c>
    </row>
    <row r="17" spans="1:1" ht="14.25" customHeight="1" x14ac:dyDescent="0.35">
      <c r="A17" s="1" t="s">
        <v>1189</v>
      </c>
    </row>
    <row r="18" spans="1:1" ht="14.25" customHeight="1" x14ac:dyDescent="0.35">
      <c r="A18" s="1" t="s">
        <v>1190</v>
      </c>
    </row>
    <row r="19" spans="1:1" ht="14.25" customHeight="1" x14ac:dyDescent="0.35">
      <c r="A19" s="1" t="s">
        <v>1191</v>
      </c>
    </row>
    <row r="20" spans="1:1" ht="14.25" customHeight="1" x14ac:dyDescent="0.35">
      <c r="A20" s="1" t="s">
        <v>1192</v>
      </c>
    </row>
    <row r="21" spans="1:1" ht="14.25" customHeight="1" x14ac:dyDescent="0.35">
      <c r="A21" s="1" t="s">
        <v>1193</v>
      </c>
    </row>
    <row r="22" spans="1:1" ht="14.25" customHeight="1" x14ac:dyDescent="0.35">
      <c r="A22" s="12" t="s">
        <v>1194</v>
      </c>
    </row>
    <row r="23" spans="1:1" ht="14.25" customHeight="1" x14ac:dyDescent="0.35">
      <c r="A23" s="1" t="s">
        <v>1195</v>
      </c>
    </row>
    <row r="24" spans="1:1" ht="14.25" customHeight="1" x14ac:dyDescent="0.35"/>
    <row r="25" spans="1:1" ht="14.25" customHeight="1" x14ac:dyDescent="0.35"/>
    <row r="26" spans="1:1" ht="14.25" customHeight="1" x14ac:dyDescent="0.35"/>
    <row r="27" spans="1:1" ht="14.25" customHeight="1" x14ac:dyDescent="0.35"/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A22" r:id="rId1" xr:uid="{00000000-0004-0000-0200-000000000000}"/>
  </hyperlink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workbookViewId="0"/>
  </sheetViews>
  <sheetFormatPr defaultColWidth="14.453125" defaultRowHeight="15" customHeight="1" x14ac:dyDescent="0.35"/>
  <cols>
    <col min="1" max="1" width="14.453125" customWidth="1"/>
    <col min="2" max="2" width="36.08984375" customWidth="1"/>
    <col min="3" max="3" width="47.453125" customWidth="1"/>
    <col min="4" max="4" width="48.08984375" customWidth="1"/>
    <col min="5" max="5" width="56.26953125" customWidth="1"/>
    <col min="6" max="6" width="11.54296875" customWidth="1"/>
    <col min="9" max="9" width="16.26953125" customWidth="1"/>
  </cols>
  <sheetData>
    <row r="1" spans="1:9" ht="14.5" customHeight="1" x14ac:dyDescent="0.35">
      <c r="A1" s="4" t="s">
        <v>0</v>
      </c>
      <c r="B1" s="4" t="s">
        <v>1</v>
      </c>
      <c r="C1" s="4" t="s">
        <v>1</v>
      </c>
      <c r="D1" s="4" t="s">
        <v>2</v>
      </c>
      <c r="E1" s="4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4.5" customHeight="1" x14ac:dyDescent="0.35">
      <c r="A2" s="110" t="s">
        <v>9</v>
      </c>
      <c r="B2" s="108" t="s">
        <v>10</v>
      </c>
      <c r="C2" s="108" t="s">
        <v>11</v>
      </c>
      <c r="D2" s="113" t="s">
        <v>1196</v>
      </c>
      <c r="E2" s="13" t="s">
        <v>13</v>
      </c>
      <c r="F2" s="14" t="s">
        <v>14</v>
      </c>
      <c r="G2" s="15">
        <v>46307</v>
      </c>
      <c r="H2" s="15">
        <v>46311</v>
      </c>
      <c r="I2" s="16" t="s">
        <v>15</v>
      </c>
    </row>
    <row r="3" spans="1:9" ht="14.5" customHeight="1" x14ac:dyDescent="0.35">
      <c r="A3" s="106"/>
      <c r="B3" s="106"/>
      <c r="C3" s="106"/>
      <c r="D3" s="106"/>
      <c r="E3" s="17" t="s">
        <v>16</v>
      </c>
      <c r="F3" s="14" t="s">
        <v>17</v>
      </c>
      <c r="G3" s="15">
        <v>46300</v>
      </c>
      <c r="H3" s="15">
        <v>46304</v>
      </c>
      <c r="I3" s="16" t="s">
        <v>15</v>
      </c>
    </row>
    <row r="4" spans="1:9" ht="14.5" customHeight="1" x14ac:dyDescent="0.35">
      <c r="A4" s="106"/>
      <c r="B4" s="106"/>
      <c r="C4" s="106"/>
      <c r="D4" s="106"/>
      <c r="E4" s="13" t="s">
        <v>18</v>
      </c>
      <c r="F4" s="14" t="s">
        <v>19</v>
      </c>
      <c r="G4" s="15">
        <v>46300</v>
      </c>
      <c r="H4" s="19">
        <v>46300</v>
      </c>
      <c r="I4" s="21">
        <v>46326</v>
      </c>
    </row>
    <row r="5" spans="1:9" ht="14.5" customHeight="1" x14ac:dyDescent="0.35">
      <c r="A5" s="106"/>
      <c r="B5" s="106"/>
      <c r="C5" s="106"/>
      <c r="D5" s="106"/>
      <c r="E5" s="13" t="s">
        <v>20</v>
      </c>
      <c r="F5" s="14" t="s">
        <v>21</v>
      </c>
      <c r="G5" s="15">
        <v>46300</v>
      </c>
      <c r="H5" s="15">
        <v>46304</v>
      </c>
      <c r="I5" s="16" t="s">
        <v>15</v>
      </c>
    </row>
    <row r="6" spans="1:9" ht="14.5" customHeight="1" x14ac:dyDescent="0.35">
      <c r="A6" s="106"/>
      <c r="B6" s="106"/>
      <c r="C6" s="106"/>
      <c r="D6" s="106"/>
      <c r="E6" s="13" t="s">
        <v>22</v>
      </c>
      <c r="F6" s="14" t="s">
        <v>23</v>
      </c>
      <c r="G6" s="22">
        <v>46314</v>
      </c>
      <c r="H6" s="24">
        <v>46318</v>
      </c>
      <c r="I6" s="25" t="s">
        <v>28</v>
      </c>
    </row>
    <row r="7" spans="1:9" ht="14.5" customHeight="1" x14ac:dyDescent="0.35">
      <c r="A7" s="106"/>
      <c r="B7" s="106"/>
      <c r="C7" s="106"/>
      <c r="D7" s="106"/>
      <c r="E7" s="13" t="s">
        <v>24</v>
      </c>
      <c r="F7" s="14" t="s">
        <v>25</v>
      </c>
      <c r="G7" s="15">
        <v>46307</v>
      </c>
      <c r="H7" s="15">
        <v>46311</v>
      </c>
      <c r="I7" s="16" t="s">
        <v>15</v>
      </c>
    </row>
    <row r="8" spans="1:9" ht="14.5" customHeight="1" x14ac:dyDescent="0.35">
      <c r="A8" s="106"/>
      <c r="B8" s="106"/>
      <c r="C8" s="106"/>
      <c r="D8" s="106"/>
      <c r="E8" s="13" t="s">
        <v>26</v>
      </c>
      <c r="F8" s="14" t="s">
        <v>27</v>
      </c>
      <c r="G8" s="15">
        <v>46300</v>
      </c>
      <c r="H8" s="19">
        <v>46300</v>
      </c>
      <c r="I8" s="21">
        <v>46326</v>
      </c>
    </row>
    <row r="9" spans="1:9" ht="14.5" customHeight="1" x14ac:dyDescent="0.35">
      <c r="A9" s="106"/>
      <c r="B9" s="106"/>
      <c r="C9" s="106"/>
      <c r="D9" s="106"/>
      <c r="E9" s="13" t="s">
        <v>29</v>
      </c>
      <c r="F9" s="14" t="s">
        <v>30</v>
      </c>
      <c r="G9" s="15">
        <v>46307</v>
      </c>
      <c r="H9" s="15">
        <v>46311</v>
      </c>
      <c r="I9" s="16" t="s">
        <v>15</v>
      </c>
    </row>
    <row r="10" spans="1:9" ht="14.5" customHeight="1" x14ac:dyDescent="0.35">
      <c r="A10" s="106"/>
      <c r="B10" s="106"/>
      <c r="C10" s="106"/>
      <c r="D10" s="106"/>
      <c r="E10" s="13" t="s">
        <v>31</v>
      </c>
      <c r="F10" s="14" t="s">
        <v>32</v>
      </c>
      <c r="G10" s="15">
        <v>46308</v>
      </c>
      <c r="H10" s="15">
        <v>46309</v>
      </c>
      <c r="I10" s="16" t="s">
        <v>15</v>
      </c>
    </row>
    <row r="11" spans="1:9" ht="14.5" customHeight="1" x14ac:dyDescent="0.35">
      <c r="A11" s="106"/>
      <c r="B11" s="106"/>
      <c r="C11" s="106"/>
      <c r="D11" s="106"/>
      <c r="E11" s="13" t="s">
        <v>33</v>
      </c>
      <c r="F11" s="14" t="s">
        <v>34</v>
      </c>
      <c r="G11" s="15">
        <v>46311</v>
      </c>
      <c r="H11" s="19">
        <v>46315</v>
      </c>
      <c r="I11" s="25" t="s">
        <v>28</v>
      </c>
    </row>
    <row r="12" spans="1:9" ht="14.5" customHeight="1" x14ac:dyDescent="0.35">
      <c r="A12" s="106"/>
      <c r="B12" s="106"/>
      <c r="C12" s="106"/>
      <c r="D12" s="106"/>
      <c r="E12" s="13" t="s">
        <v>35</v>
      </c>
      <c r="F12" s="14" t="s">
        <v>36</v>
      </c>
      <c r="G12" s="15">
        <v>46301</v>
      </c>
      <c r="H12" s="19">
        <v>46301</v>
      </c>
      <c r="I12" s="21">
        <v>46326</v>
      </c>
    </row>
    <row r="13" spans="1:9" ht="14.5" customHeight="1" x14ac:dyDescent="0.35">
      <c r="A13" s="106"/>
      <c r="B13" s="106"/>
      <c r="C13" s="106"/>
      <c r="D13" s="106"/>
      <c r="E13" s="13" t="s">
        <v>37</v>
      </c>
      <c r="F13" s="14" t="s">
        <v>38</v>
      </c>
      <c r="G13" s="15">
        <v>46301</v>
      </c>
      <c r="H13" s="19">
        <v>46301</v>
      </c>
      <c r="I13" s="21">
        <v>46326</v>
      </c>
    </row>
    <row r="14" spans="1:9" ht="14.5" customHeight="1" x14ac:dyDescent="0.35">
      <c r="A14" s="106"/>
      <c r="B14" s="106"/>
      <c r="C14" s="106"/>
      <c r="D14" s="106"/>
      <c r="E14" s="13" t="s">
        <v>39</v>
      </c>
      <c r="F14" s="14" t="s">
        <v>40</v>
      </c>
      <c r="G14" s="26"/>
      <c r="H14" s="26"/>
      <c r="I14" s="21">
        <v>46326</v>
      </c>
    </row>
    <row r="15" spans="1:9" ht="14.5" customHeight="1" x14ac:dyDescent="0.35">
      <c r="A15" s="106"/>
      <c r="B15" s="106"/>
      <c r="C15" s="106"/>
      <c r="D15" s="106"/>
      <c r="E15" s="13" t="s">
        <v>41</v>
      </c>
      <c r="F15" s="14" t="s">
        <v>42</v>
      </c>
      <c r="G15" s="15">
        <v>46300</v>
      </c>
      <c r="H15" s="15">
        <v>46304</v>
      </c>
      <c r="I15" s="16" t="s">
        <v>15</v>
      </c>
    </row>
    <row r="16" spans="1:9" ht="14.5" customHeight="1" x14ac:dyDescent="0.35">
      <c r="A16" s="106"/>
      <c r="B16" s="106"/>
      <c r="C16" s="106"/>
      <c r="D16" s="106"/>
      <c r="E16" s="13" t="s">
        <v>43</v>
      </c>
      <c r="F16" s="14" t="s">
        <v>44</v>
      </c>
      <c r="G16" s="15">
        <v>46300</v>
      </c>
      <c r="H16" s="15">
        <v>46304</v>
      </c>
      <c r="I16" s="16" t="s">
        <v>15</v>
      </c>
    </row>
    <row r="17" spans="1:9" ht="14.5" customHeight="1" x14ac:dyDescent="0.35">
      <c r="A17" s="106"/>
      <c r="B17" s="106"/>
      <c r="C17" s="106"/>
      <c r="D17" s="106"/>
      <c r="E17" s="13" t="s">
        <v>45</v>
      </c>
      <c r="F17" s="14" t="s">
        <v>46</v>
      </c>
      <c r="G17" s="15">
        <v>46300</v>
      </c>
      <c r="H17" s="19">
        <v>46301</v>
      </c>
      <c r="I17" s="21">
        <v>46326</v>
      </c>
    </row>
    <row r="18" spans="1:9" ht="14.5" customHeight="1" x14ac:dyDescent="0.35">
      <c r="A18" s="106"/>
      <c r="B18" s="106"/>
      <c r="C18" s="106"/>
      <c r="D18" s="106"/>
      <c r="E18" s="13" t="s">
        <v>47</v>
      </c>
      <c r="F18" s="14" t="s">
        <v>48</v>
      </c>
      <c r="G18" s="15">
        <v>46300</v>
      </c>
      <c r="H18" s="19">
        <v>46300</v>
      </c>
      <c r="I18" s="21">
        <v>46326</v>
      </c>
    </row>
    <row r="19" spans="1:9" ht="14.5" customHeight="1" x14ac:dyDescent="0.35">
      <c r="A19" s="106"/>
      <c r="B19" s="106"/>
      <c r="C19" s="106"/>
      <c r="D19" s="106"/>
      <c r="E19" s="13" t="s">
        <v>49</v>
      </c>
      <c r="F19" s="14" t="s">
        <v>50</v>
      </c>
      <c r="G19" s="26"/>
      <c r="H19" s="26"/>
      <c r="I19" s="21">
        <v>46326</v>
      </c>
    </row>
    <row r="20" spans="1:9" ht="14.5" customHeight="1" x14ac:dyDescent="0.35">
      <c r="A20" s="106"/>
      <c r="B20" s="106"/>
      <c r="C20" s="106"/>
      <c r="D20" s="106"/>
      <c r="E20" s="27" t="s">
        <v>51</v>
      </c>
      <c r="F20" s="14" t="s">
        <v>52</v>
      </c>
      <c r="G20" s="15">
        <v>46300</v>
      </c>
      <c r="H20" s="15">
        <v>46304</v>
      </c>
      <c r="I20" s="16" t="s">
        <v>15</v>
      </c>
    </row>
    <row r="21" spans="1:9" ht="15.75" customHeight="1" x14ac:dyDescent="0.35">
      <c r="A21" s="106"/>
      <c r="B21" s="106"/>
      <c r="C21" s="106"/>
      <c r="D21" s="106"/>
      <c r="E21" s="13" t="s">
        <v>53</v>
      </c>
      <c r="F21" s="14" t="s">
        <v>54</v>
      </c>
      <c r="G21" s="15">
        <v>46307</v>
      </c>
      <c r="H21" s="15">
        <v>46311</v>
      </c>
      <c r="I21" s="16" t="s">
        <v>15</v>
      </c>
    </row>
    <row r="22" spans="1:9" ht="15.75" customHeight="1" x14ac:dyDescent="0.35">
      <c r="A22" s="106"/>
      <c r="B22" s="106"/>
      <c r="C22" s="106"/>
      <c r="D22" s="106"/>
      <c r="E22" s="28" t="s">
        <v>55</v>
      </c>
      <c r="F22" s="14" t="s">
        <v>56</v>
      </c>
      <c r="G22" s="15">
        <v>46300</v>
      </c>
      <c r="H22" s="15">
        <v>46300</v>
      </c>
      <c r="I22" s="16" t="s">
        <v>15</v>
      </c>
    </row>
    <row r="23" spans="1:9" ht="15.75" customHeight="1" x14ac:dyDescent="0.35">
      <c r="A23" s="106"/>
      <c r="B23" s="106"/>
      <c r="C23" s="106"/>
      <c r="D23" s="106"/>
      <c r="E23" s="28" t="s">
        <v>57</v>
      </c>
      <c r="F23" s="14" t="s">
        <v>58</v>
      </c>
      <c r="G23" s="15">
        <v>46300</v>
      </c>
      <c r="H23" s="15">
        <v>46304</v>
      </c>
      <c r="I23" s="16" t="s">
        <v>15</v>
      </c>
    </row>
    <row r="24" spans="1:9" ht="15.75" customHeight="1" x14ac:dyDescent="0.35">
      <c r="A24" s="106"/>
      <c r="B24" s="106"/>
      <c r="C24" s="106"/>
      <c r="D24" s="106"/>
      <c r="E24" s="17" t="s">
        <v>59</v>
      </c>
      <c r="F24" s="14"/>
      <c r="G24" s="22">
        <v>46314</v>
      </c>
      <c r="H24" s="22">
        <v>46318</v>
      </c>
      <c r="I24" s="16" t="s">
        <v>15</v>
      </c>
    </row>
    <row r="25" spans="1:9" ht="15.75" customHeight="1" x14ac:dyDescent="0.35">
      <c r="A25" s="107"/>
      <c r="B25" s="107"/>
      <c r="C25" s="107"/>
      <c r="D25" s="107"/>
      <c r="E25" s="28" t="s">
        <v>60</v>
      </c>
      <c r="F25" s="14"/>
      <c r="G25" s="26"/>
      <c r="H25" s="26"/>
      <c r="I25" s="21">
        <v>46326</v>
      </c>
    </row>
    <row r="26" spans="1:9" ht="15.75" customHeight="1" x14ac:dyDescent="0.35">
      <c r="A26" s="29" t="s">
        <v>9</v>
      </c>
      <c r="B26" s="30" t="s">
        <v>61</v>
      </c>
      <c r="C26" s="31" t="s">
        <v>62</v>
      </c>
      <c r="D26" s="31" t="s">
        <v>63</v>
      </c>
      <c r="E26" s="32"/>
      <c r="F26" s="32"/>
      <c r="G26" s="15">
        <v>46307</v>
      </c>
      <c r="H26" s="15">
        <v>46315</v>
      </c>
      <c r="I26" s="16" t="s">
        <v>15</v>
      </c>
    </row>
    <row r="27" spans="1:9" ht="15.75" customHeight="1" x14ac:dyDescent="0.35">
      <c r="A27" s="109" t="s">
        <v>9</v>
      </c>
      <c r="B27" s="114" t="s">
        <v>64</v>
      </c>
      <c r="C27" s="114" t="s">
        <v>65</v>
      </c>
      <c r="D27" s="114" t="s">
        <v>1197</v>
      </c>
      <c r="E27" s="32" t="s">
        <v>88</v>
      </c>
      <c r="F27" s="36" t="s">
        <v>89</v>
      </c>
      <c r="G27" s="15">
        <v>46308</v>
      </c>
      <c r="H27" s="15">
        <v>46309</v>
      </c>
      <c r="I27" s="16" t="s">
        <v>15</v>
      </c>
    </row>
    <row r="28" spans="1:9" ht="15.75" customHeight="1" x14ac:dyDescent="0.35">
      <c r="A28" s="106"/>
      <c r="B28" s="106"/>
      <c r="C28" s="106"/>
      <c r="D28" s="106"/>
      <c r="E28" s="32" t="s">
        <v>13</v>
      </c>
      <c r="F28" s="36" t="s">
        <v>14</v>
      </c>
      <c r="G28" s="15">
        <v>46308</v>
      </c>
      <c r="H28" s="15">
        <v>46308</v>
      </c>
      <c r="I28" s="16" t="s">
        <v>15</v>
      </c>
    </row>
    <row r="29" spans="1:9" ht="15.75" customHeight="1" x14ac:dyDescent="0.35">
      <c r="A29" s="106"/>
      <c r="B29" s="106"/>
      <c r="C29" s="106"/>
      <c r="D29" s="106"/>
      <c r="E29" s="32" t="s">
        <v>115</v>
      </c>
      <c r="F29" s="36" t="s">
        <v>116</v>
      </c>
      <c r="G29" s="15">
        <v>46308</v>
      </c>
      <c r="H29" s="15">
        <v>46309</v>
      </c>
      <c r="I29" s="16" t="s">
        <v>15</v>
      </c>
    </row>
    <row r="30" spans="1:9" ht="15.75" customHeight="1" x14ac:dyDescent="0.35">
      <c r="A30" s="106"/>
      <c r="B30" s="106"/>
      <c r="C30" s="106"/>
      <c r="D30" s="106"/>
      <c r="E30" s="32" t="s">
        <v>104</v>
      </c>
      <c r="F30" s="36" t="s">
        <v>105</v>
      </c>
      <c r="G30" s="15">
        <v>46308</v>
      </c>
      <c r="H30" s="15">
        <v>46309</v>
      </c>
      <c r="I30" s="16" t="s">
        <v>15</v>
      </c>
    </row>
    <row r="31" spans="1:9" ht="15.75" customHeight="1" x14ac:dyDescent="0.35">
      <c r="A31" s="106"/>
      <c r="B31" s="106"/>
      <c r="C31" s="106"/>
      <c r="D31" s="106"/>
      <c r="E31" s="32" t="s">
        <v>90</v>
      </c>
      <c r="F31" s="36" t="s">
        <v>91</v>
      </c>
      <c r="G31" s="15">
        <v>46308</v>
      </c>
      <c r="H31" s="15">
        <v>46309</v>
      </c>
      <c r="I31" s="16" t="s">
        <v>15</v>
      </c>
    </row>
    <row r="32" spans="1:9" ht="15.75" customHeight="1" x14ac:dyDescent="0.35">
      <c r="A32" s="106"/>
      <c r="B32" s="106"/>
      <c r="C32" s="106"/>
      <c r="D32" s="106"/>
      <c r="E32" s="32" t="s">
        <v>121</v>
      </c>
      <c r="F32" s="36" t="s">
        <v>122</v>
      </c>
      <c r="G32" s="15">
        <v>46308</v>
      </c>
      <c r="H32" s="15">
        <v>46309</v>
      </c>
      <c r="I32" s="16" t="s">
        <v>15</v>
      </c>
    </row>
    <row r="33" spans="1:9" ht="15.75" customHeight="1" x14ac:dyDescent="0.35">
      <c r="A33" s="106"/>
      <c r="B33" s="106"/>
      <c r="C33" s="106"/>
      <c r="D33" s="106"/>
      <c r="E33" s="32" t="s">
        <v>31</v>
      </c>
      <c r="F33" s="36" t="s">
        <v>32</v>
      </c>
      <c r="G33" s="15">
        <v>46308</v>
      </c>
      <c r="H33" s="15">
        <v>46309</v>
      </c>
      <c r="I33" s="16" t="s">
        <v>15</v>
      </c>
    </row>
    <row r="34" spans="1:9" ht="15.75" customHeight="1" x14ac:dyDescent="0.35">
      <c r="A34" s="106"/>
      <c r="B34" s="106"/>
      <c r="C34" s="106"/>
      <c r="D34" s="106"/>
      <c r="E34" s="32" t="s">
        <v>1198</v>
      </c>
      <c r="F34" s="36" t="s">
        <v>1199</v>
      </c>
      <c r="G34" s="15">
        <v>46308</v>
      </c>
      <c r="H34" s="15">
        <v>46309</v>
      </c>
      <c r="I34" s="16" t="s">
        <v>15</v>
      </c>
    </row>
    <row r="35" spans="1:9" ht="15.75" customHeight="1" x14ac:dyDescent="0.35">
      <c r="A35" s="106"/>
      <c r="B35" s="106"/>
      <c r="C35" s="106"/>
      <c r="D35" s="106"/>
      <c r="E35" s="32" t="s">
        <v>29</v>
      </c>
      <c r="F35" s="36" t="s">
        <v>30</v>
      </c>
      <c r="G35" s="15">
        <v>46308</v>
      </c>
      <c r="H35" s="15">
        <v>46309</v>
      </c>
      <c r="I35" s="16" t="s">
        <v>15</v>
      </c>
    </row>
    <row r="36" spans="1:9" ht="15.75" customHeight="1" x14ac:dyDescent="0.35">
      <c r="A36" s="106"/>
      <c r="B36" s="106"/>
      <c r="C36" s="106"/>
      <c r="D36" s="106"/>
      <c r="E36" s="32" t="s">
        <v>248</v>
      </c>
      <c r="F36" s="36" t="s">
        <v>249</v>
      </c>
      <c r="G36" s="15">
        <v>46308</v>
      </c>
      <c r="H36" s="15">
        <v>46317</v>
      </c>
      <c r="I36" s="16" t="s">
        <v>15</v>
      </c>
    </row>
    <row r="37" spans="1:9" ht="15.75" customHeight="1" x14ac:dyDescent="0.35">
      <c r="A37" s="106"/>
      <c r="B37" s="106"/>
      <c r="C37" s="106"/>
      <c r="D37" s="106"/>
      <c r="E37" s="32" t="s">
        <v>293</v>
      </c>
      <c r="F37" s="36" t="s">
        <v>294</v>
      </c>
      <c r="G37" s="15">
        <v>46309</v>
      </c>
      <c r="H37" s="15">
        <v>46317</v>
      </c>
      <c r="I37" s="16" t="s">
        <v>15</v>
      </c>
    </row>
    <row r="38" spans="1:9" ht="15.75" customHeight="1" x14ac:dyDescent="0.35">
      <c r="A38" s="106"/>
      <c r="B38" s="106"/>
      <c r="C38" s="106"/>
      <c r="D38" s="106"/>
      <c r="E38" s="32" t="s">
        <v>22</v>
      </c>
      <c r="F38" s="36" t="s">
        <v>23</v>
      </c>
      <c r="G38" s="87">
        <v>46318</v>
      </c>
      <c r="H38" s="87">
        <v>46318</v>
      </c>
      <c r="I38" s="21" t="s">
        <v>1200</v>
      </c>
    </row>
    <row r="39" spans="1:9" ht="15.75" customHeight="1" x14ac:dyDescent="0.35">
      <c r="A39" s="106"/>
      <c r="B39" s="106"/>
      <c r="C39" s="106"/>
      <c r="D39" s="106"/>
      <c r="E39" s="32" t="s">
        <v>1201</v>
      </c>
      <c r="F39" s="32"/>
      <c r="G39" s="87">
        <v>46318</v>
      </c>
      <c r="H39" s="87">
        <v>46318</v>
      </c>
      <c r="I39" s="21" t="s">
        <v>15</v>
      </c>
    </row>
    <row r="40" spans="1:9" ht="15.75" customHeight="1" x14ac:dyDescent="0.35">
      <c r="A40" s="106"/>
      <c r="B40" s="106"/>
      <c r="C40" s="106"/>
      <c r="D40" s="106"/>
      <c r="E40" s="32" t="s">
        <v>39</v>
      </c>
      <c r="F40" s="36" t="s">
        <v>1202</v>
      </c>
      <c r="G40" s="87">
        <v>46318</v>
      </c>
      <c r="H40" s="87">
        <v>46318</v>
      </c>
      <c r="I40" s="21" t="s">
        <v>15</v>
      </c>
    </row>
    <row r="41" spans="1:9" ht="15.75" customHeight="1" x14ac:dyDescent="0.35">
      <c r="A41" s="106"/>
      <c r="B41" s="106"/>
      <c r="C41" s="106"/>
      <c r="D41" s="106"/>
      <c r="E41" s="32" t="s">
        <v>144</v>
      </c>
      <c r="F41" s="36" t="s">
        <v>145</v>
      </c>
      <c r="G41" s="87">
        <v>46318</v>
      </c>
      <c r="H41" s="87">
        <v>46318</v>
      </c>
      <c r="I41" s="21" t="s">
        <v>15</v>
      </c>
    </row>
    <row r="42" spans="1:9" ht="15.75" customHeight="1" x14ac:dyDescent="0.35">
      <c r="A42" s="106"/>
      <c r="B42" s="106"/>
      <c r="C42" s="106"/>
      <c r="D42" s="106"/>
      <c r="E42" s="32" t="s">
        <v>1203</v>
      </c>
      <c r="F42" s="36" t="s">
        <v>70</v>
      </c>
      <c r="G42" s="87">
        <v>46318</v>
      </c>
      <c r="H42" s="87">
        <v>46318</v>
      </c>
      <c r="I42" s="21" t="s">
        <v>1204</v>
      </c>
    </row>
    <row r="43" spans="1:9" ht="15.75" customHeight="1" x14ac:dyDescent="0.35">
      <c r="A43" s="106"/>
      <c r="B43" s="106"/>
      <c r="C43" s="106"/>
      <c r="D43" s="106"/>
      <c r="E43" s="32" t="s">
        <v>67</v>
      </c>
      <c r="F43" s="36" t="s">
        <v>68</v>
      </c>
      <c r="G43" s="87">
        <v>46318</v>
      </c>
      <c r="H43" s="87">
        <v>46318</v>
      </c>
      <c r="I43" s="21" t="s">
        <v>15</v>
      </c>
    </row>
    <row r="44" spans="1:9" ht="15.75" customHeight="1" x14ac:dyDescent="0.35">
      <c r="A44" s="106"/>
      <c r="B44" s="106"/>
      <c r="C44" s="106"/>
      <c r="D44" s="106"/>
      <c r="E44" s="32" t="s">
        <v>123</v>
      </c>
      <c r="F44" s="36" t="s">
        <v>124</v>
      </c>
      <c r="G44" s="87">
        <v>46318</v>
      </c>
      <c r="H44" s="87">
        <v>46318</v>
      </c>
      <c r="I44" s="21" t="s">
        <v>15</v>
      </c>
    </row>
    <row r="45" spans="1:9" ht="15.75" customHeight="1" x14ac:dyDescent="0.35">
      <c r="A45" s="106"/>
      <c r="B45" s="106"/>
      <c r="C45" s="106"/>
      <c r="D45" s="106"/>
      <c r="E45" s="32" t="s">
        <v>16</v>
      </c>
      <c r="F45" s="36" t="s">
        <v>17</v>
      </c>
      <c r="G45" s="87">
        <v>46318</v>
      </c>
      <c r="H45" s="87">
        <v>46318</v>
      </c>
      <c r="I45" s="21" t="s">
        <v>1205</v>
      </c>
    </row>
    <row r="46" spans="1:9" ht="15.75" customHeight="1" x14ac:dyDescent="0.35">
      <c r="A46" s="106"/>
      <c r="B46" s="106"/>
      <c r="C46" s="106"/>
      <c r="D46" s="106"/>
      <c r="E46" s="32" t="s">
        <v>1206</v>
      </c>
      <c r="F46" s="36" t="s">
        <v>1207</v>
      </c>
      <c r="G46" s="87">
        <v>46318</v>
      </c>
      <c r="H46" s="87">
        <v>46318</v>
      </c>
      <c r="I46" s="21" t="s">
        <v>15</v>
      </c>
    </row>
    <row r="47" spans="1:9" ht="15.75" customHeight="1" x14ac:dyDescent="0.35">
      <c r="A47" s="106"/>
      <c r="B47" s="106"/>
      <c r="C47" s="106"/>
      <c r="D47" s="106"/>
      <c r="E47" s="32" t="s">
        <v>35</v>
      </c>
      <c r="F47" s="36" t="s">
        <v>36</v>
      </c>
      <c r="G47" s="87">
        <v>46318</v>
      </c>
      <c r="H47" s="87">
        <v>46318</v>
      </c>
      <c r="I47" s="21" t="s">
        <v>15</v>
      </c>
    </row>
    <row r="48" spans="1:9" ht="15.75" customHeight="1" x14ac:dyDescent="0.35">
      <c r="A48" s="106"/>
      <c r="B48" s="106"/>
      <c r="C48" s="106"/>
      <c r="D48" s="106"/>
      <c r="E48" s="32" t="s">
        <v>37</v>
      </c>
      <c r="F48" s="36" t="s">
        <v>38</v>
      </c>
      <c r="G48" s="87">
        <v>46318</v>
      </c>
      <c r="H48" s="87">
        <v>46318</v>
      </c>
      <c r="I48" s="21" t="s">
        <v>1208</v>
      </c>
    </row>
    <row r="49" spans="1:9" ht="15.75" customHeight="1" x14ac:dyDescent="0.35">
      <c r="A49" s="106"/>
      <c r="B49" s="106"/>
      <c r="C49" s="106"/>
      <c r="D49" s="106"/>
      <c r="E49" s="32" t="s">
        <v>223</v>
      </c>
      <c r="F49" s="36" t="s">
        <v>224</v>
      </c>
      <c r="G49" s="87">
        <v>46321</v>
      </c>
      <c r="H49" s="87">
        <v>46321</v>
      </c>
      <c r="I49" s="21" t="s">
        <v>15</v>
      </c>
    </row>
    <row r="50" spans="1:9" ht="15.75" customHeight="1" x14ac:dyDescent="0.35">
      <c r="A50" s="106"/>
      <c r="B50" s="106"/>
      <c r="C50" s="106"/>
      <c r="D50" s="106"/>
      <c r="E50" s="32" t="s">
        <v>81</v>
      </c>
      <c r="F50" s="36" t="s">
        <v>82</v>
      </c>
      <c r="G50" s="87">
        <v>46321</v>
      </c>
      <c r="H50" s="87">
        <v>46321</v>
      </c>
      <c r="I50" s="21" t="s">
        <v>15</v>
      </c>
    </row>
    <row r="51" spans="1:9" ht="15.75" customHeight="1" x14ac:dyDescent="0.35">
      <c r="A51" s="106"/>
      <c r="B51" s="106"/>
      <c r="C51" s="106"/>
      <c r="D51" s="106"/>
      <c r="E51" s="32" t="s">
        <v>163</v>
      </c>
      <c r="F51" s="36" t="s">
        <v>164</v>
      </c>
      <c r="G51" s="87">
        <v>46321</v>
      </c>
      <c r="H51" s="87">
        <v>46321</v>
      </c>
      <c r="I51" s="21" t="s">
        <v>15</v>
      </c>
    </row>
    <row r="52" spans="1:9" ht="15.75" customHeight="1" x14ac:dyDescent="0.35">
      <c r="A52" s="106"/>
      <c r="B52" s="106"/>
      <c r="C52" s="106"/>
      <c r="D52" s="106"/>
      <c r="E52" s="32" t="s">
        <v>257</v>
      </c>
      <c r="F52" s="36" t="s">
        <v>258</v>
      </c>
      <c r="G52" s="87">
        <v>46321</v>
      </c>
      <c r="H52" s="87">
        <v>46321</v>
      </c>
      <c r="I52" s="21" t="s">
        <v>15</v>
      </c>
    </row>
    <row r="53" spans="1:9" ht="15.75" customHeight="1" x14ac:dyDescent="0.35">
      <c r="A53" s="106"/>
      <c r="B53" s="106"/>
      <c r="C53" s="106"/>
      <c r="D53" s="106"/>
      <c r="E53" s="32" t="s">
        <v>102</v>
      </c>
      <c r="F53" s="36" t="s">
        <v>103</v>
      </c>
      <c r="G53" s="87">
        <v>46321</v>
      </c>
      <c r="H53" s="87">
        <v>46321</v>
      </c>
      <c r="I53" s="21" t="s">
        <v>15</v>
      </c>
    </row>
    <row r="54" spans="1:9" ht="15.75" customHeight="1" x14ac:dyDescent="0.35">
      <c r="A54" s="106"/>
      <c r="B54" s="106"/>
      <c r="C54" s="106"/>
      <c r="D54" s="106"/>
      <c r="E54" s="32" t="s">
        <v>215</v>
      </c>
      <c r="F54" s="36" t="s">
        <v>216</v>
      </c>
      <c r="G54" s="87">
        <v>46321</v>
      </c>
      <c r="H54" s="87">
        <v>46321</v>
      </c>
      <c r="I54" s="21" t="s">
        <v>15</v>
      </c>
    </row>
    <row r="55" spans="1:9" ht="15.75" customHeight="1" x14ac:dyDescent="0.35">
      <c r="A55" s="106"/>
      <c r="B55" s="106"/>
      <c r="C55" s="106"/>
      <c r="D55" s="106"/>
      <c r="E55" s="32" t="s">
        <v>26</v>
      </c>
      <c r="F55" s="36" t="s">
        <v>27</v>
      </c>
      <c r="G55" s="87">
        <v>46321</v>
      </c>
      <c r="H55" s="87">
        <v>46321</v>
      </c>
      <c r="I55" s="21" t="s">
        <v>1208</v>
      </c>
    </row>
    <row r="56" spans="1:9" ht="15.75" customHeight="1" x14ac:dyDescent="0.35">
      <c r="A56" s="106"/>
      <c r="B56" s="106"/>
      <c r="C56" s="106"/>
      <c r="D56" s="106"/>
      <c r="E56" s="32" t="s">
        <v>1209</v>
      </c>
      <c r="F56" s="36" t="s">
        <v>1210</v>
      </c>
      <c r="G56" s="87">
        <v>46321</v>
      </c>
      <c r="H56" s="87">
        <v>46321</v>
      </c>
      <c r="I56" s="21" t="s">
        <v>1211</v>
      </c>
    </row>
    <row r="57" spans="1:9" ht="15.75" customHeight="1" x14ac:dyDescent="0.35">
      <c r="A57" s="106"/>
      <c r="B57" s="106"/>
      <c r="C57" s="106"/>
      <c r="D57" s="106"/>
      <c r="E57" s="32" t="s">
        <v>149</v>
      </c>
      <c r="F57" s="36" t="s">
        <v>150</v>
      </c>
      <c r="G57" s="87">
        <v>46318</v>
      </c>
      <c r="H57" s="87">
        <v>46318</v>
      </c>
      <c r="I57" s="21" t="s">
        <v>1204</v>
      </c>
    </row>
    <row r="58" spans="1:9" ht="15.75" customHeight="1" x14ac:dyDescent="0.35">
      <c r="A58" s="106"/>
      <c r="B58" s="106"/>
      <c r="C58" s="106"/>
      <c r="D58" s="106"/>
      <c r="E58" s="32" t="s">
        <v>73</v>
      </c>
      <c r="F58" s="36" t="s">
        <v>74</v>
      </c>
      <c r="G58" s="87">
        <v>46318</v>
      </c>
      <c r="H58" s="87">
        <v>46318</v>
      </c>
      <c r="I58" s="21" t="s">
        <v>1204</v>
      </c>
    </row>
    <row r="59" spans="1:9" ht="15.75" customHeight="1" x14ac:dyDescent="0.35">
      <c r="A59" s="107"/>
      <c r="B59" s="107"/>
      <c r="C59" s="107"/>
      <c r="D59" s="107"/>
      <c r="E59" s="32" t="s">
        <v>135</v>
      </c>
      <c r="F59" s="36" t="s">
        <v>136</v>
      </c>
      <c r="G59" s="87"/>
      <c r="H59" s="87"/>
      <c r="I59" s="21" t="s">
        <v>1212</v>
      </c>
    </row>
    <row r="60" spans="1:9" ht="15.75" customHeight="1" x14ac:dyDescent="0.35">
      <c r="A60" s="109" t="s">
        <v>9</v>
      </c>
      <c r="B60" s="114" t="s">
        <v>369</v>
      </c>
      <c r="C60" s="114" t="s">
        <v>370</v>
      </c>
      <c r="D60" s="114" t="s">
        <v>1213</v>
      </c>
      <c r="E60" s="44" t="s">
        <v>88</v>
      </c>
      <c r="F60" s="36" t="s">
        <v>89</v>
      </c>
      <c r="G60" s="15">
        <v>46317</v>
      </c>
      <c r="H60" s="15">
        <v>46317</v>
      </c>
      <c r="I60" s="16" t="s">
        <v>15</v>
      </c>
    </row>
    <row r="61" spans="1:9" ht="15.75" customHeight="1" x14ac:dyDescent="0.35">
      <c r="A61" s="106"/>
      <c r="B61" s="106"/>
      <c r="C61" s="106"/>
      <c r="D61" s="106"/>
      <c r="E61" s="44" t="s">
        <v>104</v>
      </c>
      <c r="F61" s="36" t="s">
        <v>105</v>
      </c>
      <c r="G61" s="15">
        <v>46309</v>
      </c>
      <c r="H61" s="15">
        <v>46309</v>
      </c>
      <c r="I61" s="16" t="s">
        <v>15</v>
      </c>
    </row>
    <row r="62" spans="1:9" ht="15.75" customHeight="1" x14ac:dyDescent="0.35">
      <c r="A62" s="106"/>
      <c r="B62" s="106"/>
      <c r="C62" s="106"/>
      <c r="D62" s="106"/>
      <c r="E62" s="44" t="s">
        <v>22</v>
      </c>
      <c r="F62" s="36" t="s">
        <v>23</v>
      </c>
      <c r="G62" s="15">
        <v>46309</v>
      </c>
      <c r="H62" s="15">
        <v>46309</v>
      </c>
      <c r="I62" s="16" t="s">
        <v>15</v>
      </c>
    </row>
    <row r="63" spans="1:9" ht="15.75" customHeight="1" x14ac:dyDescent="0.35">
      <c r="A63" s="106"/>
      <c r="B63" s="106"/>
      <c r="C63" s="106"/>
      <c r="D63" s="106"/>
      <c r="E63" s="44" t="s">
        <v>293</v>
      </c>
      <c r="F63" s="36" t="s">
        <v>294</v>
      </c>
      <c r="G63" s="15">
        <v>46315</v>
      </c>
      <c r="H63" s="15">
        <v>46317</v>
      </c>
      <c r="I63" s="16" t="s">
        <v>15</v>
      </c>
    </row>
    <row r="64" spans="1:9" ht="15.75" customHeight="1" x14ac:dyDescent="0.35">
      <c r="A64" s="106"/>
      <c r="B64" s="106"/>
      <c r="C64" s="106"/>
      <c r="D64" s="106"/>
      <c r="E64" s="44" t="s">
        <v>115</v>
      </c>
      <c r="F64" s="36" t="s">
        <v>116</v>
      </c>
      <c r="G64" s="15">
        <v>46317</v>
      </c>
      <c r="H64" s="15">
        <v>46317</v>
      </c>
      <c r="I64" s="16" t="s">
        <v>15</v>
      </c>
    </row>
    <row r="65" spans="1:9" ht="15.75" customHeight="1" x14ac:dyDescent="0.35">
      <c r="A65" s="106"/>
      <c r="B65" s="106"/>
      <c r="C65" s="106"/>
      <c r="D65" s="106"/>
      <c r="E65" s="44" t="s">
        <v>13</v>
      </c>
      <c r="F65" s="36" t="s">
        <v>14</v>
      </c>
      <c r="G65" s="15">
        <v>46315</v>
      </c>
      <c r="H65" s="15">
        <v>46315</v>
      </c>
      <c r="I65" s="16" t="s">
        <v>15</v>
      </c>
    </row>
    <row r="66" spans="1:9" ht="15.75" customHeight="1" x14ac:dyDescent="0.35">
      <c r="A66" s="106"/>
      <c r="B66" s="106"/>
      <c r="C66" s="106"/>
      <c r="D66" s="106"/>
      <c r="E66" s="44" t="s">
        <v>90</v>
      </c>
      <c r="F66" s="36" t="s">
        <v>91</v>
      </c>
      <c r="G66" s="15">
        <v>46309</v>
      </c>
      <c r="H66" s="15">
        <v>46309</v>
      </c>
      <c r="I66" s="16" t="s">
        <v>15</v>
      </c>
    </row>
    <row r="67" spans="1:9" ht="15.75" customHeight="1" x14ac:dyDescent="0.35">
      <c r="A67" s="106"/>
      <c r="B67" s="106"/>
      <c r="C67" s="106"/>
      <c r="D67" s="106"/>
      <c r="E67" s="34" t="s">
        <v>121</v>
      </c>
      <c r="F67" s="47" t="s">
        <v>122</v>
      </c>
      <c r="G67" s="48">
        <v>46309</v>
      </c>
      <c r="H67" s="48">
        <v>46309</v>
      </c>
      <c r="I67" s="49" t="s">
        <v>15</v>
      </c>
    </row>
    <row r="68" spans="1:9" ht="15.75" customHeight="1" x14ac:dyDescent="0.35">
      <c r="A68" s="106"/>
      <c r="B68" s="106"/>
      <c r="C68" s="106"/>
      <c r="D68" s="106"/>
      <c r="E68" s="37" t="s">
        <v>31</v>
      </c>
      <c r="F68" s="50" t="s">
        <v>32</v>
      </c>
      <c r="G68" s="15">
        <v>46309</v>
      </c>
      <c r="H68" s="15">
        <v>46309</v>
      </c>
      <c r="I68" s="37" t="s">
        <v>15</v>
      </c>
    </row>
    <row r="69" spans="1:9" ht="15.75" customHeight="1" x14ac:dyDescent="0.35">
      <c r="A69" s="106"/>
      <c r="B69" s="106"/>
      <c r="C69" s="106"/>
      <c r="D69" s="106"/>
      <c r="E69" s="37" t="s">
        <v>39</v>
      </c>
      <c r="F69" s="50" t="s">
        <v>1202</v>
      </c>
      <c r="G69" s="15">
        <v>46309</v>
      </c>
      <c r="H69" s="15">
        <v>46309</v>
      </c>
      <c r="I69" s="37" t="s">
        <v>15</v>
      </c>
    </row>
    <row r="70" spans="1:9" ht="15.75" customHeight="1" x14ac:dyDescent="0.35">
      <c r="A70" s="106"/>
      <c r="B70" s="106"/>
      <c r="C70" s="106"/>
      <c r="D70" s="106"/>
      <c r="E70" s="37" t="s">
        <v>1214</v>
      </c>
      <c r="F70" s="50" t="s">
        <v>145</v>
      </c>
      <c r="G70" s="15">
        <v>46318</v>
      </c>
      <c r="H70" s="15">
        <v>46318</v>
      </c>
      <c r="I70" s="37" t="s">
        <v>15</v>
      </c>
    </row>
    <row r="71" spans="1:9" ht="15.75" customHeight="1" x14ac:dyDescent="0.35">
      <c r="A71" s="106"/>
      <c r="B71" s="106"/>
      <c r="C71" s="106"/>
      <c r="D71" s="106"/>
      <c r="E71" s="37" t="s">
        <v>33</v>
      </c>
      <c r="F71" s="50" t="s">
        <v>34</v>
      </c>
      <c r="G71" s="15">
        <v>46318</v>
      </c>
      <c r="H71" s="15">
        <v>46318</v>
      </c>
      <c r="I71" s="37" t="s">
        <v>15</v>
      </c>
    </row>
    <row r="72" spans="1:9" ht="15.75" customHeight="1" x14ac:dyDescent="0.35">
      <c r="A72" s="106"/>
      <c r="B72" s="106"/>
      <c r="C72" s="106"/>
      <c r="D72" s="106"/>
      <c r="E72" s="37" t="s">
        <v>73</v>
      </c>
      <c r="F72" s="50" t="s">
        <v>74</v>
      </c>
      <c r="G72" s="15">
        <v>46318</v>
      </c>
      <c r="H72" s="15">
        <v>46318</v>
      </c>
      <c r="I72" s="37" t="s">
        <v>15</v>
      </c>
    </row>
    <row r="73" spans="1:9" ht="15.75" customHeight="1" x14ac:dyDescent="0.35">
      <c r="A73" s="106"/>
      <c r="B73" s="106"/>
      <c r="C73" s="106"/>
      <c r="D73" s="106"/>
      <c r="E73" s="37" t="s">
        <v>69</v>
      </c>
      <c r="F73" s="50" t="s">
        <v>70</v>
      </c>
      <c r="G73" s="15">
        <v>46317</v>
      </c>
      <c r="H73" s="15">
        <v>46317</v>
      </c>
      <c r="I73" s="37" t="s">
        <v>15</v>
      </c>
    </row>
    <row r="74" spans="1:9" ht="15.75" customHeight="1" x14ac:dyDescent="0.35">
      <c r="A74" s="106"/>
      <c r="B74" s="106"/>
      <c r="C74" s="106"/>
      <c r="D74" s="106"/>
      <c r="E74" s="37" t="s">
        <v>149</v>
      </c>
      <c r="F74" s="50" t="s">
        <v>150</v>
      </c>
      <c r="G74" s="15">
        <v>46317</v>
      </c>
      <c r="H74" s="15">
        <v>46317</v>
      </c>
      <c r="I74" s="37" t="s">
        <v>15</v>
      </c>
    </row>
    <row r="75" spans="1:9" ht="15.75" customHeight="1" x14ac:dyDescent="0.35">
      <c r="A75" s="106"/>
      <c r="B75" s="106"/>
      <c r="C75" s="106"/>
      <c r="D75" s="106"/>
      <c r="E75" s="37" t="s">
        <v>37</v>
      </c>
      <c r="F75" s="50" t="s">
        <v>38</v>
      </c>
      <c r="G75" s="15">
        <v>46317</v>
      </c>
      <c r="H75" s="15">
        <v>46317</v>
      </c>
      <c r="I75" s="37" t="s">
        <v>15</v>
      </c>
    </row>
    <row r="76" spans="1:9" ht="15.75" customHeight="1" x14ac:dyDescent="0.35">
      <c r="A76" s="106"/>
      <c r="B76" s="106"/>
      <c r="C76" s="106"/>
      <c r="D76" s="106"/>
      <c r="E76" s="37" t="s">
        <v>35</v>
      </c>
      <c r="F76" s="50" t="s">
        <v>36</v>
      </c>
      <c r="G76" s="15">
        <v>46317</v>
      </c>
      <c r="H76" s="15">
        <v>46317</v>
      </c>
      <c r="I76" s="37" t="s">
        <v>15</v>
      </c>
    </row>
    <row r="77" spans="1:9" ht="15.75" customHeight="1" x14ac:dyDescent="0.35">
      <c r="A77" s="106"/>
      <c r="B77" s="106"/>
      <c r="C77" s="106"/>
      <c r="D77" s="106"/>
      <c r="E77" s="37" t="s">
        <v>29</v>
      </c>
      <c r="F77" s="50" t="s">
        <v>30</v>
      </c>
      <c r="G77" s="15">
        <v>46318</v>
      </c>
      <c r="H77" s="15">
        <v>46318</v>
      </c>
      <c r="I77" s="37" t="s">
        <v>15</v>
      </c>
    </row>
    <row r="78" spans="1:9" ht="15.75" customHeight="1" x14ac:dyDescent="0.35">
      <c r="A78" s="106"/>
      <c r="B78" s="106"/>
      <c r="C78" s="106"/>
      <c r="D78" s="106"/>
      <c r="E78" s="37" t="s">
        <v>257</v>
      </c>
      <c r="F78" s="50" t="s">
        <v>258</v>
      </c>
      <c r="G78" s="15">
        <v>46318</v>
      </c>
      <c r="H78" s="15">
        <v>46318</v>
      </c>
      <c r="I78" s="37" t="s">
        <v>15</v>
      </c>
    </row>
    <row r="79" spans="1:9" ht="15.75" customHeight="1" x14ac:dyDescent="0.35">
      <c r="A79" s="106"/>
      <c r="B79" s="106"/>
      <c r="C79" s="106"/>
      <c r="D79" s="106"/>
      <c r="E79" s="37" t="s">
        <v>81</v>
      </c>
      <c r="F79" s="50" t="s">
        <v>82</v>
      </c>
      <c r="G79" s="15">
        <v>46318</v>
      </c>
      <c r="H79" s="15">
        <v>46318</v>
      </c>
      <c r="I79" s="37" t="s">
        <v>15</v>
      </c>
    </row>
    <row r="80" spans="1:9" ht="15.75" customHeight="1" x14ac:dyDescent="0.35">
      <c r="A80" s="106"/>
      <c r="B80" s="106"/>
      <c r="C80" s="106"/>
      <c r="D80" s="106"/>
      <c r="E80" s="37" t="s">
        <v>163</v>
      </c>
      <c r="F80" s="50" t="s">
        <v>164</v>
      </c>
      <c r="G80" s="15">
        <v>46318</v>
      </c>
      <c r="H80" s="15">
        <v>46318</v>
      </c>
      <c r="I80" s="37" t="s">
        <v>15</v>
      </c>
    </row>
    <row r="81" spans="1:9" ht="15.75" customHeight="1" x14ac:dyDescent="0.35">
      <c r="A81" s="106"/>
      <c r="B81" s="106"/>
      <c r="C81" s="106"/>
      <c r="D81" s="106"/>
      <c r="E81" s="37" t="s">
        <v>223</v>
      </c>
      <c r="F81" s="50" t="s">
        <v>224</v>
      </c>
      <c r="G81" s="15">
        <v>46318</v>
      </c>
      <c r="H81" s="15">
        <v>46318</v>
      </c>
      <c r="I81" s="37" t="s">
        <v>15</v>
      </c>
    </row>
    <row r="82" spans="1:9" ht="15.75" customHeight="1" x14ac:dyDescent="0.35">
      <c r="A82" s="106"/>
      <c r="B82" s="106"/>
      <c r="C82" s="106"/>
      <c r="D82" s="106"/>
      <c r="E82" s="37" t="s">
        <v>1215</v>
      </c>
      <c r="F82" s="50" t="s">
        <v>1216</v>
      </c>
      <c r="G82" s="15">
        <v>46318</v>
      </c>
      <c r="H82" s="15">
        <v>46318</v>
      </c>
      <c r="I82" s="37" t="s">
        <v>15</v>
      </c>
    </row>
    <row r="83" spans="1:9" ht="15.75" customHeight="1" x14ac:dyDescent="0.35">
      <c r="A83" s="106"/>
      <c r="B83" s="106"/>
      <c r="C83" s="106"/>
      <c r="D83" s="106"/>
      <c r="E83" s="37" t="s">
        <v>26</v>
      </c>
      <c r="F83" s="50" t="s">
        <v>27</v>
      </c>
      <c r="G83" s="15">
        <v>46321</v>
      </c>
      <c r="H83" s="15">
        <v>46321</v>
      </c>
      <c r="I83" s="37" t="s">
        <v>15</v>
      </c>
    </row>
    <row r="84" spans="1:9" ht="15.75" customHeight="1" x14ac:dyDescent="0.35">
      <c r="A84" s="106"/>
      <c r="B84" s="106"/>
      <c r="C84" s="106"/>
      <c r="D84" s="106"/>
      <c r="E84" s="37" t="s">
        <v>215</v>
      </c>
      <c r="F84" s="50" t="s">
        <v>216</v>
      </c>
      <c r="G84" s="15">
        <v>46321</v>
      </c>
      <c r="H84" s="15">
        <v>46321</v>
      </c>
      <c r="I84" s="37" t="s">
        <v>1217</v>
      </c>
    </row>
    <row r="85" spans="1:9" ht="15.75" customHeight="1" x14ac:dyDescent="0.35">
      <c r="A85" s="107"/>
      <c r="B85" s="107"/>
      <c r="C85" s="107"/>
      <c r="D85" s="107"/>
      <c r="E85" s="37" t="s">
        <v>1209</v>
      </c>
      <c r="F85" s="50" t="s">
        <v>1210</v>
      </c>
      <c r="G85" s="15">
        <v>46321</v>
      </c>
      <c r="H85" s="15">
        <v>46321</v>
      </c>
      <c r="I85" s="37" t="s">
        <v>1217</v>
      </c>
    </row>
    <row r="86" spans="1:9" ht="15.75" customHeight="1" x14ac:dyDescent="0.35">
      <c r="A86" s="51" t="s">
        <v>1218</v>
      </c>
      <c r="B86" s="53" t="s">
        <v>1219</v>
      </c>
      <c r="C86" s="32"/>
      <c r="D86" s="32"/>
      <c r="E86" s="54"/>
      <c r="F86" s="54"/>
      <c r="G86" s="55"/>
      <c r="H86" s="55"/>
      <c r="I86" s="55"/>
    </row>
    <row r="87" spans="1:9" ht="15.75" customHeight="1" x14ac:dyDescent="0.35">
      <c r="A87" s="51" t="s">
        <v>1218</v>
      </c>
      <c r="B87" s="53" t="s">
        <v>1220</v>
      </c>
      <c r="C87" s="53" t="s">
        <v>1221</v>
      </c>
      <c r="D87" s="53" t="s">
        <v>1222</v>
      </c>
      <c r="E87" s="57" t="s">
        <v>1223</v>
      </c>
      <c r="F87" s="57"/>
      <c r="G87" s="39"/>
      <c r="H87" s="39"/>
      <c r="I87" s="39"/>
    </row>
    <row r="88" spans="1:9" ht="15.75" customHeight="1" x14ac:dyDescent="0.35">
      <c r="A88" s="51" t="s">
        <v>1218</v>
      </c>
      <c r="B88" s="32"/>
      <c r="C88" s="53" t="s">
        <v>1224</v>
      </c>
      <c r="D88" s="53" t="s">
        <v>1222</v>
      </c>
      <c r="E88" s="57" t="s">
        <v>1223</v>
      </c>
      <c r="F88" s="57"/>
      <c r="G88" s="39"/>
      <c r="H88" s="39"/>
      <c r="I88" s="39"/>
    </row>
    <row r="89" spans="1:9" ht="15.75" customHeight="1" x14ac:dyDescent="0.35">
      <c r="A89" s="51" t="s">
        <v>1218</v>
      </c>
      <c r="B89" s="53" t="s">
        <v>1225</v>
      </c>
      <c r="C89" s="53" t="s">
        <v>1226</v>
      </c>
      <c r="D89" s="32"/>
      <c r="E89" s="32"/>
      <c r="F89" s="32"/>
      <c r="G89" s="39"/>
      <c r="H89" s="39"/>
      <c r="I89" s="39"/>
    </row>
    <row r="90" spans="1:9" ht="15.75" customHeight="1" x14ac:dyDescent="0.35">
      <c r="A90" s="51" t="s">
        <v>1218</v>
      </c>
      <c r="B90" s="32"/>
      <c r="C90" s="53" t="s">
        <v>1227</v>
      </c>
      <c r="D90" s="32"/>
      <c r="E90" s="32"/>
      <c r="F90" s="32"/>
      <c r="G90" s="39"/>
      <c r="H90" s="39"/>
      <c r="I90" s="39"/>
    </row>
    <row r="91" spans="1:9" ht="15.75" customHeight="1" x14ac:dyDescent="0.35">
      <c r="A91" s="51" t="s">
        <v>1218</v>
      </c>
      <c r="B91" s="32"/>
      <c r="C91" s="53" t="s">
        <v>1228</v>
      </c>
      <c r="D91" s="32"/>
      <c r="E91" s="32"/>
      <c r="F91" s="32"/>
      <c r="G91" s="39"/>
      <c r="H91" s="39"/>
      <c r="I91" s="39"/>
    </row>
    <row r="92" spans="1:9" ht="15.75" customHeight="1" x14ac:dyDescent="0.35">
      <c r="A92" s="51" t="s">
        <v>1218</v>
      </c>
      <c r="B92" s="53" t="s">
        <v>1229</v>
      </c>
      <c r="C92" s="53" t="s">
        <v>1230</v>
      </c>
      <c r="D92" s="32"/>
      <c r="E92" s="32"/>
      <c r="F92" s="32"/>
      <c r="G92" s="39"/>
      <c r="H92" s="39"/>
      <c r="I92" s="39"/>
    </row>
    <row r="93" spans="1:9" ht="15.75" customHeight="1" x14ac:dyDescent="0.35">
      <c r="A93" s="51" t="s">
        <v>1218</v>
      </c>
      <c r="B93" s="32"/>
      <c r="C93" s="53" t="s">
        <v>1231</v>
      </c>
      <c r="D93" s="32"/>
      <c r="E93" s="32"/>
      <c r="F93" s="32"/>
      <c r="G93" s="39"/>
      <c r="H93" s="39"/>
      <c r="I93" s="39"/>
    </row>
    <row r="94" spans="1:9" ht="15.75" customHeight="1" x14ac:dyDescent="0.35">
      <c r="I94" s="62"/>
    </row>
    <row r="95" spans="1:9" ht="15.75" customHeight="1" x14ac:dyDescent="0.35">
      <c r="I95" s="62"/>
    </row>
    <row r="96" spans="1:9" ht="15.75" customHeight="1" x14ac:dyDescent="0.35">
      <c r="I96" s="62"/>
    </row>
    <row r="97" spans="9:9" ht="15.75" customHeight="1" x14ac:dyDescent="0.35">
      <c r="I97" s="62"/>
    </row>
    <row r="98" spans="9:9" ht="15.75" customHeight="1" x14ac:dyDescent="0.35">
      <c r="I98" s="62"/>
    </row>
    <row r="99" spans="9:9" ht="15.75" customHeight="1" x14ac:dyDescent="0.35">
      <c r="I99" s="62"/>
    </row>
    <row r="100" spans="9:9" ht="15.75" customHeight="1" x14ac:dyDescent="0.35">
      <c r="I100" s="62"/>
    </row>
    <row r="101" spans="9:9" ht="15.75" customHeight="1" x14ac:dyDescent="0.35">
      <c r="I101" s="62"/>
    </row>
    <row r="102" spans="9:9" ht="15.75" customHeight="1" x14ac:dyDescent="0.35">
      <c r="I102" s="62"/>
    </row>
    <row r="103" spans="9:9" ht="15.75" customHeight="1" x14ac:dyDescent="0.35">
      <c r="I103" s="62"/>
    </row>
    <row r="104" spans="9:9" ht="15.75" customHeight="1" x14ac:dyDescent="0.35">
      <c r="I104" s="62"/>
    </row>
    <row r="105" spans="9:9" ht="15.75" customHeight="1" x14ac:dyDescent="0.35">
      <c r="I105" s="62"/>
    </row>
    <row r="106" spans="9:9" ht="15.75" customHeight="1" x14ac:dyDescent="0.35">
      <c r="I106" s="62"/>
    </row>
    <row r="107" spans="9:9" ht="15.75" customHeight="1" x14ac:dyDescent="0.35">
      <c r="I107" s="62"/>
    </row>
    <row r="108" spans="9:9" ht="15.75" customHeight="1" x14ac:dyDescent="0.35">
      <c r="I108" s="62"/>
    </row>
    <row r="109" spans="9:9" ht="15.75" customHeight="1" x14ac:dyDescent="0.35">
      <c r="I109" s="62"/>
    </row>
    <row r="110" spans="9:9" ht="15.75" customHeight="1" x14ac:dyDescent="0.35">
      <c r="I110" s="62"/>
    </row>
    <row r="111" spans="9:9" ht="15.75" customHeight="1" x14ac:dyDescent="0.35">
      <c r="I111" s="62"/>
    </row>
    <row r="112" spans="9:9" ht="15.75" customHeight="1" x14ac:dyDescent="0.35">
      <c r="I112" s="62"/>
    </row>
    <row r="113" spans="9:9" ht="15.75" customHeight="1" x14ac:dyDescent="0.35">
      <c r="I113" s="62"/>
    </row>
    <row r="114" spans="9:9" ht="15.75" customHeight="1" x14ac:dyDescent="0.35">
      <c r="I114" s="62"/>
    </row>
    <row r="115" spans="9:9" ht="15.75" customHeight="1" x14ac:dyDescent="0.35">
      <c r="I115" s="62"/>
    </row>
    <row r="116" spans="9:9" ht="15.75" customHeight="1" x14ac:dyDescent="0.35">
      <c r="I116" s="62"/>
    </row>
    <row r="117" spans="9:9" ht="15.75" customHeight="1" x14ac:dyDescent="0.35">
      <c r="I117" s="62"/>
    </row>
    <row r="118" spans="9:9" ht="15.75" customHeight="1" x14ac:dyDescent="0.35">
      <c r="I118" s="62"/>
    </row>
    <row r="119" spans="9:9" ht="15.75" customHeight="1" x14ac:dyDescent="0.35">
      <c r="I119" s="62"/>
    </row>
    <row r="120" spans="9:9" ht="15.75" customHeight="1" x14ac:dyDescent="0.35">
      <c r="I120" s="62"/>
    </row>
    <row r="121" spans="9:9" ht="15.75" customHeight="1" x14ac:dyDescent="0.35">
      <c r="I121" s="62"/>
    </row>
    <row r="122" spans="9:9" ht="15.75" customHeight="1" x14ac:dyDescent="0.35">
      <c r="I122" s="62"/>
    </row>
    <row r="123" spans="9:9" ht="15.75" customHeight="1" x14ac:dyDescent="0.35">
      <c r="I123" s="62"/>
    </row>
    <row r="124" spans="9:9" ht="15.75" customHeight="1" x14ac:dyDescent="0.35">
      <c r="I124" s="62"/>
    </row>
    <row r="125" spans="9:9" ht="15.75" customHeight="1" x14ac:dyDescent="0.35">
      <c r="I125" s="62"/>
    </row>
    <row r="126" spans="9:9" ht="15.75" customHeight="1" x14ac:dyDescent="0.35">
      <c r="I126" s="62"/>
    </row>
    <row r="127" spans="9:9" ht="15.75" customHeight="1" x14ac:dyDescent="0.35">
      <c r="I127" s="62"/>
    </row>
    <row r="128" spans="9:9" ht="15.75" customHeight="1" x14ac:dyDescent="0.35">
      <c r="I128" s="62"/>
    </row>
    <row r="129" spans="9:9" ht="15.75" customHeight="1" x14ac:dyDescent="0.35">
      <c r="I129" s="62"/>
    </row>
    <row r="130" spans="9:9" ht="15.75" customHeight="1" x14ac:dyDescent="0.35">
      <c r="I130" s="62"/>
    </row>
    <row r="131" spans="9:9" ht="15.75" customHeight="1" x14ac:dyDescent="0.35">
      <c r="I131" s="62"/>
    </row>
    <row r="132" spans="9:9" ht="15.75" customHeight="1" x14ac:dyDescent="0.35">
      <c r="I132" s="62"/>
    </row>
    <row r="133" spans="9:9" ht="15.75" customHeight="1" x14ac:dyDescent="0.35">
      <c r="I133" s="62"/>
    </row>
    <row r="134" spans="9:9" ht="15.75" customHeight="1" x14ac:dyDescent="0.35">
      <c r="I134" s="62"/>
    </row>
    <row r="135" spans="9:9" ht="15.75" customHeight="1" x14ac:dyDescent="0.35">
      <c r="I135" s="62"/>
    </row>
    <row r="136" spans="9:9" ht="15.75" customHeight="1" x14ac:dyDescent="0.35">
      <c r="I136" s="62"/>
    </row>
    <row r="137" spans="9:9" ht="15.75" customHeight="1" x14ac:dyDescent="0.35">
      <c r="I137" s="62"/>
    </row>
    <row r="138" spans="9:9" ht="15.75" customHeight="1" x14ac:dyDescent="0.35">
      <c r="I138" s="62"/>
    </row>
    <row r="139" spans="9:9" ht="15.75" customHeight="1" x14ac:dyDescent="0.35">
      <c r="I139" s="62"/>
    </row>
    <row r="140" spans="9:9" ht="15.75" customHeight="1" x14ac:dyDescent="0.35">
      <c r="I140" s="62"/>
    </row>
    <row r="141" spans="9:9" ht="15.75" customHeight="1" x14ac:dyDescent="0.35">
      <c r="I141" s="62"/>
    </row>
    <row r="142" spans="9:9" ht="15.75" customHeight="1" x14ac:dyDescent="0.35">
      <c r="I142" s="62"/>
    </row>
    <row r="143" spans="9:9" ht="15.75" customHeight="1" x14ac:dyDescent="0.35">
      <c r="I143" s="62"/>
    </row>
    <row r="144" spans="9:9" ht="15.75" customHeight="1" x14ac:dyDescent="0.35">
      <c r="I144" s="62"/>
    </row>
    <row r="145" spans="9:9" ht="15.75" customHeight="1" x14ac:dyDescent="0.35">
      <c r="I145" s="62"/>
    </row>
    <row r="146" spans="9:9" ht="15.75" customHeight="1" x14ac:dyDescent="0.35">
      <c r="I146" s="62"/>
    </row>
    <row r="147" spans="9:9" ht="15.75" customHeight="1" x14ac:dyDescent="0.35">
      <c r="I147" s="62"/>
    </row>
    <row r="148" spans="9:9" ht="15.75" customHeight="1" x14ac:dyDescent="0.35">
      <c r="I148" s="62"/>
    </row>
    <row r="149" spans="9:9" ht="15.75" customHeight="1" x14ac:dyDescent="0.35">
      <c r="I149" s="62"/>
    </row>
    <row r="150" spans="9:9" ht="15.75" customHeight="1" x14ac:dyDescent="0.35">
      <c r="I150" s="62"/>
    </row>
    <row r="151" spans="9:9" ht="15.75" customHeight="1" x14ac:dyDescent="0.35">
      <c r="I151" s="62"/>
    </row>
    <row r="152" spans="9:9" ht="15.75" customHeight="1" x14ac:dyDescent="0.35">
      <c r="I152" s="62"/>
    </row>
    <row r="153" spans="9:9" ht="15.75" customHeight="1" x14ac:dyDescent="0.35">
      <c r="I153" s="62"/>
    </row>
    <row r="154" spans="9:9" ht="15.75" customHeight="1" x14ac:dyDescent="0.35">
      <c r="I154" s="62"/>
    </row>
    <row r="155" spans="9:9" ht="15.75" customHeight="1" x14ac:dyDescent="0.35">
      <c r="I155" s="62"/>
    </row>
    <row r="156" spans="9:9" ht="15.75" customHeight="1" x14ac:dyDescent="0.35">
      <c r="I156" s="62"/>
    </row>
    <row r="157" spans="9:9" ht="15.75" customHeight="1" x14ac:dyDescent="0.35">
      <c r="I157" s="62"/>
    </row>
    <row r="158" spans="9:9" ht="15.75" customHeight="1" x14ac:dyDescent="0.35">
      <c r="I158" s="62"/>
    </row>
    <row r="159" spans="9:9" ht="15.75" customHeight="1" x14ac:dyDescent="0.35">
      <c r="I159" s="62"/>
    </row>
    <row r="160" spans="9:9" ht="15.75" customHeight="1" x14ac:dyDescent="0.35">
      <c r="I160" s="62"/>
    </row>
    <row r="161" spans="9:9" ht="15.75" customHeight="1" x14ac:dyDescent="0.35">
      <c r="I161" s="62"/>
    </row>
    <row r="162" spans="9:9" ht="15.75" customHeight="1" x14ac:dyDescent="0.35">
      <c r="I162" s="62"/>
    </row>
    <row r="163" spans="9:9" ht="15.75" customHeight="1" x14ac:dyDescent="0.35">
      <c r="I163" s="62"/>
    </row>
    <row r="164" spans="9:9" ht="15.75" customHeight="1" x14ac:dyDescent="0.35">
      <c r="I164" s="62"/>
    </row>
    <row r="165" spans="9:9" ht="15.75" customHeight="1" x14ac:dyDescent="0.35">
      <c r="I165" s="62"/>
    </row>
    <row r="166" spans="9:9" ht="15.75" customHeight="1" x14ac:dyDescent="0.35">
      <c r="I166" s="62"/>
    </row>
    <row r="167" spans="9:9" ht="15.75" customHeight="1" x14ac:dyDescent="0.35">
      <c r="I167" s="62"/>
    </row>
    <row r="168" spans="9:9" ht="15.75" customHeight="1" x14ac:dyDescent="0.35">
      <c r="I168" s="62"/>
    </row>
    <row r="169" spans="9:9" ht="15.75" customHeight="1" x14ac:dyDescent="0.35">
      <c r="I169" s="62"/>
    </row>
    <row r="170" spans="9:9" ht="15.75" customHeight="1" x14ac:dyDescent="0.35">
      <c r="I170" s="62"/>
    </row>
    <row r="171" spans="9:9" ht="15.75" customHeight="1" x14ac:dyDescent="0.35">
      <c r="I171" s="62"/>
    </row>
    <row r="172" spans="9:9" ht="15.75" customHeight="1" x14ac:dyDescent="0.35">
      <c r="I172" s="62"/>
    </row>
    <row r="173" spans="9:9" ht="15.75" customHeight="1" x14ac:dyDescent="0.35">
      <c r="I173" s="62"/>
    </row>
    <row r="174" spans="9:9" ht="15.75" customHeight="1" x14ac:dyDescent="0.35">
      <c r="I174" s="62"/>
    </row>
    <row r="175" spans="9:9" ht="15.75" customHeight="1" x14ac:dyDescent="0.35">
      <c r="I175" s="62"/>
    </row>
    <row r="176" spans="9:9" ht="15.75" customHeight="1" x14ac:dyDescent="0.35">
      <c r="I176" s="62"/>
    </row>
    <row r="177" spans="9:9" ht="15.75" customHeight="1" x14ac:dyDescent="0.35">
      <c r="I177" s="62"/>
    </row>
    <row r="178" spans="9:9" ht="15.75" customHeight="1" x14ac:dyDescent="0.35">
      <c r="I178" s="62"/>
    </row>
    <row r="179" spans="9:9" ht="15.75" customHeight="1" x14ac:dyDescent="0.35">
      <c r="I179" s="62"/>
    </row>
    <row r="180" spans="9:9" ht="15.75" customHeight="1" x14ac:dyDescent="0.35">
      <c r="I180" s="62"/>
    </row>
    <row r="181" spans="9:9" ht="15.75" customHeight="1" x14ac:dyDescent="0.35">
      <c r="I181" s="62"/>
    </row>
    <row r="182" spans="9:9" ht="15.75" customHeight="1" x14ac:dyDescent="0.35">
      <c r="I182" s="62"/>
    </row>
    <row r="183" spans="9:9" ht="15.75" customHeight="1" x14ac:dyDescent="0.35">
      <c r="I183" s="62"/>
    </row>
    <row r="184" spans="9:9" ht="15.75" customHeight="1" x14ac:dyDescent="0.35">
      <c r="I184" s="62"/>
    </row>
    <row r="185" spans="9:9" ht="15.75" customHeight="1" x14ac:dyDescent="0.35">
      <c r="I185" s="62"/>
    </row>
    <row r="186" spans="9:9" ht="15.75" customHeight="1" x14ac:dyDescent="0.35">
      <c r="I186" s="62"/>
    </row>
    <row r="187" spans="9:9" ht="15.75" customHeight="1" x14ac:dyDescent="0.35">
      <c r="I187" s="62"/>
    </row>
    <row r="188" spans="9:9" ht="15.75" customHeight="1" x14ac:dyDescent="0.35">
      <c r="I188" s="62"/>
    </row>
    <row r="189" spans="9:9" ht="15.75" customHeight="1" x14ac:dyDescent="0.35">
      <c r="I189" s="62"/>
    </row>
    <row r="190" spans="9:9" ht="15.75" customHeight="1" x14ac:dyDescent="0.35">
      <c r="I190" s="62"/>
    </row>
    <row r="191" spans="9:9" ht="15.75" customHeight="1" x14ac:dyDescent="0.35">
      <c r="I191" s="62"/>
    </row>
    <row r="192" spans="9:9" ht="15.75" customHeight="1" x14ac:dyDescent="0.35">
      <c r="I192" s="62"/>
    </row>
    <row r="193" spans="9:9" ht="15.75" customHeight="1" x14ac:dyDescent="0.35">
      <c r="I193" s="62"/>
    </row>
    <row r="194" spans="9:9" ht="15.75" customHeight="1" x14ac:dyDescent="0.35">
      <c r="I194" s="62"/>
    </row>
    <row r="195" spans="9:9" ht="15.75" customHeight="1" x14ac:dyDescent="0.35">
      <c r="I195" s="62"/>
    </row>
    <row r="196" spans="9:9" ht="15.75" customHeight="1" x14ac:dyDescent="0.35">
      <c r="I196" s="62"/>
    </row>
    <row r="197" spans="9:9" ht="15.75" customHeight="1" x14ac:dyDescent="0.35">
      <c r="I197" s="62"/>
    </row>
    <row r="198" spans="9:9" ht="15.75" customHeight="1" x14ac:dyDescent="0.35">
      <c r="I198" s="62"/>
    </row>
    <row r="199" spans="9:9" ht="15.75" customHeight="1" x14ac:dyDescent="0.35">
      <c r="I199" s="62"/>
    </row>
    <row r="200" spans="9:9" ht="15.75" customHeight="1" x14ac:dyDescent="0.35">
      <c r="I200" s="62"/>
    </row>
    <row r="201" spans="9:9" ht="15.75" customHeight="1" x14ac:dyDescent="0.35">
      <c r="I201" s="62"/>
    </row>
    <row r="202" spans="9:9" ht="15.75" customHeight="1" x14ac:dyDescent="0.35">
      <c r="I202" s="62"/>
    </row>
    <row r="203" spans="9:9" ht="15.75" customHeight="1" x14ac:dyDescent="0.35">
      <c r="I203" s="62"/>
    </row>
    <row r="204" spans="9:9" ht="15.75" customHeight="1" x14ac:dyDescent="0.35">
      <c r="I204" s="62"/>
    </row>
    <row r="205" spans="9:9" ht="15.75" customHeight="1" x14ac:dyDescent="0.35">
      <c r="I205" s="62"/>
    </row>
    <row r="206" spans="9:9" ht="15.75" customHeight="1" x14ac:dyDescent="0.35">
      <c r="I206" s="62"/>
    </row>
    <row r="207" spans="9:9" ht="15.75" customHeight="1" x14ac:dyDescent="0.35">
      <c r="I207" s="62"/>
    </row>
    <row r="208" spans="9:9" ht="15.75" customHeight="1" x14ac:dyDescent="0.35">
      <c r="I208" s="62"/>
    </row>
    <row r="209" spans="9:9" ht="15.75" customHeight="1" x14ac:dyDescent="0.35">
      <c r="I209" s="62"/>
    </row>
    <row r="210" spans="9:9" ht="15.75" customHeight="1" x14ac:dyDescent="0.35">
      <c r="I210" s="62"/>
    </row>
    <row r="211" spans="9:9" ht="15.75" customHeight="1" x14ac:dyDescent="0.35">
      <c r="I211" s="62"/>
    </row>
    <row r="212" spans="9:9" ht="15.75" customHeight="1" x14ac:dyDescent="0.35">
      <c r="I212" s="62"/>
    </row>
    <row r="213" spans="9:9" ht="15.75" customHeight="1" x14ac:dyDescent="0.35">
      <c r="I213" s="62"/>
    </row>
    <row r="214" spans="9:9" ht="15.75" customHeight="1" x14ac:dyDescent="0.35">
      <c r="I214" s="62"/>
    </row>
    <row r="215" spans="9:9" ht="15.75" customHeight="1" x14ac:dyDescent="0.35">
      <c r="I215" s="62"/>
    </row>
    <row r="216" spans="9:9" ht="15.75" customHeight="1" x14ac:dyDescent="0.35">
      <c r="I216" s="62"/>
    </row>
    <row r="217" spans="9:9" ht="15.75" customHeight="1" x14ac:dyDescent="0.35">
      <c r="I217" s="62"/>
    </row>
    <row r="218" spans="9:9" ht="15.75" customHeight="1" x14ac:dyDescent="0.35">
      <c r="I218" s="62"/>
    </row>
    <row r="219" spans="9:9" ht="15.75" customHeight="1" x14ac:dyDescent="0.35">
      <c r="I219" s="62"/>
    </row>
    <row r="220" spans="9:9" ht="15.75" customHeight="1" x14ac:dyDescent="0.35">
      <c r="I220" s="62"/>
    </row>
    <row r="221" spans="9:9" ht="15.75" customHeight="1" x14ac:dyDescent="0.35">
      <c r="I221" s="62"/>
    </row>
    <row r="222" spans="9:9" ht="15.75" customHeight="1" x14ac:dyDescent="0.35">
      <c r="I222" s="62"/>
    </row>
    <row r="223" spans="9:9" ht="15.75" customHeight="1" x14ac:dyDescent="0.35">
      <c r="I223" s="62"/>
    </row>
    <row r="224" spans="9:9" ht="15.75" customHeight="1" x14ac:dyDescent="0.35">
      <c r="I224" s="62"/>
    </row>
    <row r="225" spans="9:9" ht="15.75" customHeight="1" x14ac:dyDescent="0.35">
      <c r="I225" s="62"/>
    </row>
    <row r="226" spans="9:9" ht="15.75" customHeight="1" x14ac:dyDescent="0.35">
      <c r="I226" s="62"/>
    </row>
    <row r="227" spans="9:9" ht="15.75" customHeight="1" x14ac:dyDescent="0.35">
      <c r="I227" s="62"/>
    </row>
    <row r="228" spans="9:9" ht="15.75" customHeight="1" x14ac:dyDescent="0.35">
      <c r="I228" s="62"/>
    </row>
    <row r="229" spans="9:9" ht="15.75" customHeight="1" x14ac:dyDescent="0.35">
      <c r="I229" s="62"/>
    </row>
    <row r="230" spans="9:9" ht="15.75" customHeight="1" x14ac:dyDescent="0.35">
      <c r="I230" s="62"/>
    </row>
    <row r="231" spans="9:9" ht="15.75" customHeight="1" x14ac:dyDescent="0.35">
      <c r="I231" s="62"/>
    </row>
    <row r="232" spans="9:9" ht="15.75" customHeight="1" x14ac:dyDescent="0.35">
      <c r="I232" s="62"/>
    </row>
    <row r="233" spans="9:9" ht="15.75" customHeight="1" x14ac:dyDescent="0.35">
      <c r="I233" s="62"/>
    </row>
    <row r="234" spans="9:9" ht="15.75" customHeight="1" x14ac:dyDescent="0.35">
      <c r="I234" s="62"/>
    </row>
    <row r="235" spans="9:9" ht="15.75" customHeight="1" x14ac:dyDescent="0.35">
      <c r="I235" s="62"/>
    </row>
    <row r="236" spans="9:9" ht="15.75" customHeight="1" x14ac:dyDescent="0.35">
      <c r="I236" s="62"/>
    </row>
    <row r="237" spans="9:9" ht="15.75" customHeight="1" x14ac:dyDescent="0.35">
      <c r="I237" s="62"/>
    </row>
    <row r="238" spans="9:9" ht="15.75" customHeight="1" x14ac:dyDescent="0.35">
      <c r="I238" s="62"/>
    </row>
    <row r="239" spans="9:9" ht="15.75" customHeight="1" x14ac:dyDescent="0.35">
      <c r="I239" s="62"/>
    </row>
    <row r="240" spans="9:9" ht="15.75" customHeight="1" x14ac:dyDescent="0.35">
      <c r="I240" s="62"/>
    </row>
    <row r="241" spans="9:9" ht="15.75" customHeight="1" x14ac:dyDescent="0.35">
      <c r="I241" s="62"/>
    </row>
    <row r="242" spans="9:9" ht="15.75" customHeight="1" x14ac:dyDescent="0.35">
      <c r="I242" s="62"/>
    </row>
    <row r="243" spans="9:9" ht="15.75" customHeight="1" x14ac:dyDescent="0.35">
      <c r="I243" s="62"/>
    </row>
    <row r="244" spans="9:9" ht="15.75" customHeight="1" x14ac:dyDescent="0.35">
      <c r="I244" s="62"/>
    </row>
    <row r="245" spans="9:9" ht="15.75" customHeight="1" x14ac:dyDescent="0.35">
      <c r="I245" s="62"/>
    </row>
    <row r="246" spans="9:9" ht="15.75" customHeight="1" x14ac:dyDescent="0.35">
      <c r="I246" s="62"/>
    </row>
    <row r="247" spans="9:9" ht="15.75" customHeight="1" x14ac:dyDescent="0.35">
      <c r="I247" s="62"/>
    </row>
    <row r="248" spans="9:9" ht="15.75" customHeight="1" x14ac:dyDescent="0.35">
      <c r="I248" s="62"/>
    </row>
    <row r="249" spans="9:9" ht="15.75" customHeight="1" x14ac:dyDescent="0.35">
      <c r="I249" s="62"/>
    </row>
    <row r="250" spans="9:9" ht="15.75" customHeight="1" x14ac:dyDescent="0.35">
      <c r="I250" s="62"/>
    </row>
    <row r="251" spans="9:9" ht="15.75" customHeight="1" x14ac:dyDescent="0.35">
      <c r="I251" s="62"/>
    </row>
    <row r="252" spans="9:9" ht="15.75" customHeight="1" x14ac:dyDescent="0.35">
      <c r="I252" s="62"/>
    </row>
    <row r="253" spans="9:9" ht="15.75" customHeight="1" x14ac:dyDescent="0.35">
      <c r="I253" s="62"/>
    </row>
    <row r="254" spans="9:9" ht="15.75" customHeight="1" x14ac:dyDescent="0.35">
      <c r="I254" s="62"/>
    </row>
    <row r="255" spans="9:9" ht="15.75" customHeight="1" x14ac:dyDescent="0.35">
      <c r="I255" s="62"/>
    </row>
    <row r="256" spans="9:9" ht="15.75" customHeight="1" x14ac:dyDescent="0.35">
      <c r="I256" s="62"/>
    </row>
    <row r="257" spans="9:9" ht="15.75" customHeight="1" x14ac:dyDescent="0.35">
      <c r="I257" s="62"/>
    </row>
    <row r="258" spans="9:9" ht="15.75" customHeight="1" x14ac:dyDescent="0.35">
      <c r="I258" s="62"/>
    </row>
    <row r="259" spans="9:9" ht="15.75" customHeight="1" x14ac:dyDescent="0.35">
      <c r="I259" s="62"/>
    </row>
    <row r="260" spans="9:9" ht="15.75" customHeight="1" x14ac:dyDescent="0.35">
      <c r="I260" s="62"/>
    </row>
    <row r="261" spans="9:9" ht="15.75" customHeight="1" x14ac:dyDescent="0.35">
      <c r="I261" s="62"/>
    </row>
    <row r="262" spans="9:9" ht="15.75" customHeight="1" x14ac:dyDescent="0.35">
      <c r="I262" s="62"/>
    </row>
    <row r="263" spans="9:9" ht="15.75" customHeight="1" x14ac:dyDescent="0.35">
      <c r="I263" s="62"/>
    </row>
    <row r="264" spans="9:9" ht="15.75" customHeight="1" x14ac:dyDescent="0.35">
      <c r="I264" s="62"/>
    </row>
    <row r="265" spans="9:9" ht="15.75" customHeight="1" x14ac:dyDescent="0.35">
      <c r="I265" s="62"/>
    </row>
    <row r="266" spans="9:9" ht="15.75" customHeight="1" x14ac:dyDescent="0.35">
      <c r="I266" s="62"/>
    </row>
    <row r="267" spans="9:9" ht="15.75" customHeight="1" x14ac:dyDescent="0.35">
      <c r="I267" s="62"/>
    </row>
    <row r="268" spans="9:9" ht="15.75" customHeight="1" x14ac:dyDescent="0.35">
      <c r="I268" s="62"/>
    </row>
    <row r="269" spans="9:9" ht="15.75" customHeight="1" x14ac:dyDescent="0.35">
      <c r="I269" s="62"/>
    </row>
    <row r="270" spans="9:9" ht="15.75" customHeight="1" x14ac:dyDescent="0.35">
      <c r="I270" s="62"/>
    </row>
    <row r="271" spans="9:9" ht="15.75" customHeight="1" x14ac:dyDescent="0.35">
      <c r="I271" s="62"/>
    </row>
    <row r="272" spans="9:9" ht="15.75" customHeight="1" x14ac:dyDescent="0.35">
      <c r="I272" s="62"/>
    </row>
    <row r="273" spans="9:9" ht="15.75" customHeight="1" x14ac:dyDescent="0.35">
      <c r="I273" s="62"/>
    </row>
    <row r="274" spans="9:9" ht="15.75" customHeight="1" x14ac:dyDescent="0.35">
      <c r="I274" s="62"/>
    </row>
    <row r="275" spans="9:9" ht="15.75" customHeight="1" x14ac:dyDescent="0.35">
      <c r="I275" s="62"/>
    </row>
    <row r="276" spans="9:9" ht="15.75" customHeight="1" x14ac:dyDescent="0.35">
      <c r="I276" s="62"/>
    </row>
    <row r="277" spans="9:9" ht="15.75" customHeight="1" x14ac:dyDescent="0.35">
      <c r="I277" s="62"/>
    </row>
    <row r="278" spans="9:9" ht="15.75" customHeight="1" x14ac:dyDescent="0.35">
      <c r="I278" s="62"/>
    </row>
    <row r="279" spans="9:9" ht="15.75" customHeight="1" x14ac:dyDescent="0.35">
      <c r="I279" s="62"/>
    </row>
    <row r="280" spans="9:9" ht="15.75" customHeight="1" x14ac:dyDescent="0.35">
      <c r="I280" s="62"/>
    </row>
    <row r="281" spans="9:9" ht="15.75" customHeight="1" x14ac:dyDescent="0.35">
      <c r="I281" s="62"/>
    </row>
    <row r="282" spans="9:9" ht="15.75" customHeight="1" x14ac:dyDescent="0.35">
      <c r="I282" s="62"/>
    </row>
    <row r="283" spans="9:9" ht="15.75" customHeight="1" x14ac:dyDescent="0.35">
      <c r="I283" s="62"/>
    </row>
    <row r="284" spans="9:9" ht="15.75" customHeight="1" x14ac:dyDescent="0.35">
      <c r="I284" s="62"/>
    </row>
    <row r="285" spans="9:9" ht="15.75" customHeight="1" x14ac:dyDescent="0.35">
      <c r="I285" s="62"/>
    </row>
    <row r="286" spans="9:9" ht="15.75" customHeight="1" x14ac:dyDescent="0.35">
      <c r="I286" s="62"/>
    </row>
    <row r="287" spans="9:9" ht="15.75" customHeight="1" x14ac:dyDescent="0.35">
      <c r="I287" s="62"/>
    </row>
    <row r="288" spans="9:9" ht="15.75" customHeight="1" x14ac:dyDescent="0.35">
      <c r="I288" s="62"/>
    </row>
    <row r="289" spans="9:9" ht="15.75" customHeight="1" x14ac:dyDescent="0.35">
      <c r="I289" s="62"/>
    </row>
    <row r="290" spans="9:9" ht="15.75" customHeight="1" x14ac:dyDescent="0.35">
      <c r="I290" s="62"/>
    </row>
    <row r="291" spans="9:9" ht="15.75" customHeight="1" x14ac:dyDescent="0.35">
      <c r="I291" s="62"/>
    </row>
    <row r="292" spans="9:9" ht="15.75" customHeight="1" x14ac:dyDescent="0.35">
      <c r="I292" s="62"/>
    </row>
    <row r="293" spans="9:9" ht="15.75" customHeight="1" x14ac:dyDescent="0.35">
      <c r="I293" s="62"/>
    </row>
    <row r="294" spans="9:9" ht="15.75" customHeight="1" x14ac:dyDescent="0.35"/>
    <row r="295" spans="9:9" ht="15.75" customHeight="1" x14ac:dyDescent="0.35"/>
    <row r="296" spans="9:9" ht="15.75" customHeight="1" x14ac:dyDescent="0.35"/>
    <row r="297" spans="9:9" ht="15.75" customHeight="1" x14ac:dyDescent="0.35"/>
    <row r="298" spans="9:9" ht="15.75" customHeight="1" x14ac:dyDescent="0.35"/>
    <row r="299" spans="9:9" ht="15.75" customHeight="1" x14ac:dyDescent="0.35"/>
    <row r="300" spans="9:9" ht="15.75" customHeight="1" x14ac:dyDescent="0.35"/>
    <row r="301" spans="9:9" ht="15.75" customHeight="1" x14ac:dyDescent="0.35"/>
    <row r="302" spans="9:9" ht="15.75" customHeight="1" x14ac:dyDescent="0.35"/>
    <row r="303" spans="9:9" ht="15.75" customHeight="1" x14ac:dyDescent="0.35"/>
    <row r="304" spans="9:9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D27:D59"/>
    <mergeCell ref="A2:A25"/>
    <mergeCell ref="C60:C85"/>
    <mergeCell ref="A60:A85"/>
    <mergeCell ref="D60:D85"/>
    <mergeCell ref="B60:B85"/>
    <mergeCell ref="B27:B59"/>
    <mergeCell ref="C27:C59"/>
    <mergeCell ref="C2:C25"/>
    <mergeCell ref="B2:B25"/>
    <mergeCell ref="D2:D25"/>
    <mergeCell ref="A27:A59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J1238"/>
  <sheetViews>
    <sheetView tabSelected="1" topLeftCell="D280" workbookViewId="0">
      <selection activeCell="D1" sqref="A1:XFD1"/>
    </sheetView>
  </sheetViews>
  <sheetFormatPr defaultColWidth="14.453125" defaultRowHeight="15" customHeight="1" x14ac:dyDescent="0.35"/>
  <cols>
    <col min="1" max="1" width="14.453125" customWidth="1"/>
    <col min="2" max="2" width="36.08984375" customWidth="1"/>
    <col min="3" max="3" width="47.453125" customWidth="1"/>
    <col min="4" max="4" width="48.08984375" customWidth="1"/>
    <col min="5" max="5" width="56.26953125" customWidth="1"/>
    <col min="6" max="6" width="11.54296875" customWidth="1"/>
    <col min="9" max="9" width="16.26953125" customWidth="1"/>
    <col min="10" max="10" width="60" customWidth="1"/>
  </cols>
  <sheetData>
    <row r="1" spans="1:10" ht="14.5" customHeight="1" x14ac:dyDescent="0.35">
      <c r="A1" s="4" t="s">
        <v>0</v>
      </c>
      <c r="B1" s="4" t="s">
        <v>1</v>
      </c>
      <c r="C1" s="4" t="s">
        <v>1</v>
      </c>
      <c r="D1" s="4" t="s">
        <v>2</v>
      </c>
      <c r="E1" s="4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ht="14.5" hidden="1" customHeight="1" x14ac:dyDescent="0.35">
      <c r="A2" s="110" t="s">
        <v>9</v>
      </c>
      <c r="B2" s="108" t="s">
        <v>10</v>
      </c>
      <c r="C2" s="108" t="s">
        <v>11</v>
      </c>
      <c r="D2" s="113" t="s">
        <v>12</v>
      </c>
      <c r="E2" s="13" t="s">
        <v>13</v>
      </c>
      <c r="F2" s="14" t="s">
        <v>14</v>
      </c>
      <c r="G2" s="15">
        <v>46307</v>
      </c>
      <c r="H2" s="15">
        <v>46311</v>
      </c>
      <c r="I2" s="16" t="s">
        <v>15</v>
      </c>
      <c r="J2" s="33"/>
    </row>
    <row r="3" spans="1:10" ht="14.5" hidden="1" customHeight="1" x14ac:dyDescent="0.35">
      <c r="A3" s="106"/>
      <c r="B3" s="106"/>
      <c r="C3" s="106"/>
      <c r="D3" s="106"/>
      <c r="E3" s="17" t="s">
        <v>16</v>
      </c>
      <c r="F3" s="14" t="s">
        <v>17</v>
      </c>
      <c r="G3" s="15">
        <v>46300</v>
      </c>
      <c r="H3" s="15">
        <v>46304</v>
      </c>
      <c r="I3" s="16" t="s">
        <v>15</v>
      </c>
      <c r="J3" s="33"/>
    </row>
    <row r="4" spans="1:10" ht="14.5" hidden="1" customHeight="1" x14ac:dyDescent="0.35">
      <c r="A4" s="106"/>
      <c r="B4" s="106"/>
      <c r="C4" s="106"/>
      <c r="D4" s="106"/>
      <c r="E4" s="13" t="s">
        <v>18</v>
      </c>
      <c r="F4" s="14" t="s">
        <v>19</v>
      </c>
      <c r="G4" s="15">
        <v>46300</v>
      </c>
      <c r="H4" s="19">
        <v>46300</v>
      </c>
      <c r="I4" s="21" t="s">
        <v>15</v>
      </c>
      <c r="J4" s="33"/>
    </row>
    <row r="5" spans="1:10" ht="14.5" hidden="1" customHeight="1" x14ac:dyDescent="0.35">
      <c r="A5" s="106"/>
      <c r="B5" s="106"/>
      <c r="C5" s="106"/>
      <c r="D5" s="106"/>
      <c r="E5" s="13" t="s">
        <v>20</v>
      </c>
      <c r="F5" s="14" t="s">
        <v>21</v>
      </c>
      <c r="G5" s="15">
        <v>46300</v>
      </c>
      <c r="H5" s="15">
        <v>46304</v>
      </c>
      <c r="I5" s="16" t="s">
        <v>15</v>
      </c>
      <c r="J5" s="33"/>
    </row>
    <row r="6" spans="1:10" ht="14.5" hidden="1" customHeight="1" x14ac:dyDescent="0.35">
      <c r="A6" s="106"/>
      <c r="B6" s="106"/>
      <c r="C6" s="106"/>
      <c r="D6" s="106"/>
      <c r="E6" s="13" t="s">
        <v>22</v>
      </c>
      <c r="F6" s="14" t="s">
        <v>23</v>
      </c>
      <c r="G6" s="22">
        <v>46314</v>
      </c>
      <c r="H6" s="24">
        <v>46318</v>
      </c>
      <c r="I6" s="25" t="s">
        <v>15</v>
      </c>
      <c r="J6" s="33"/>
    </row>
    <row r="7" spans="1:10" ht="14.5" hidden="1" customHeight="1" x14ac:dyDescent="0.35">
      <c r="A7" s="106"/>
      <c r="B7" s="106"/>
      <c r="C7" s="106"/>
      <c r="D7" s="106"/>
      <c r="E7" s="13" t="s">
        <v>24</v>
      </c>
      <c r="F7" s="14" t="s">
        <v>25</v>
      </c>
      <c r="G7" s="15">
        <v>46307</v>
      </c>
      <c r="H7" s="15">
        <v>46311</v>
      </c>
      <c r="I7" s="16" t="s">
        <v>15</v>
      </c>
      <c r="J7" s="33"/>
    </row>
    <row r="8" spans="1:10" ht="14.5" hidden="1" customHeight="1" x14ac:dyDescent="0.35">
      <c r="A8" s="106"/>
      <c r="B8" s="106"/>
      <c r="C8" s="106"/>
      <c r="D8" s="106"/>
      <c r="E8" s="13" t="s">
        <v>26</v>
      </c>
      <c r="F8" s="14" t="s">
        <v>27</v>
      </c>
      <c r="G8" s="19">
        <v>46321</v>
      </c>
      <c r="H8" s="19">
        <v>46326</v>
      </c>
      <c r="I8" s="25" t="s">
        <v>28</v>
      </c>
      <c r="J8" s="33"/>
    </row>
    <row r="9" spans="1:10" ht="14.5" hidden="1" customHeight="1" x14ac:dyDescent="0.35">
      <c r="A9" s="106"/>
      <c r="B9" s="106"/>
      <c r="C9" s="106"/>
      <c r="D9" s="106"/>
      <c r="E9" s="13" t="s">
        <v>29</v>
      </c>
      <c r="F9" s="14" t="s">
        <v>30</v>
      </c>
      <c r="G9" s="15">
        <v>46307</v>
      </c>
      <c r="H9" s="15">
        <v>46311</v>
      </c>
      <c r="I9" s="16" t="s">
        <v>15</v>
      </c>
      <c r="J9" s="33"/>
    </row>
    <row r="10" spans="1:10" ht="14.5" hidden="1" customHeight="1" x14ac:dyDescent="0.35">
      <c r="A10" s="106"/>
      <c r="B10" s="106"/>
      <c r="C10" s="106"/>
      <c r="D10" s="106"/>
      <c r="E10" s="13" t="s">
        <v>31</v>
      </c>
      <c r="F10" s="14" t="s">
        <v>32</v>
      </c>
      <c r="G10" s="15">
        <v>46308</v>
      </c>
      <c r="H10" s="15">
        <v>46309</v>
      </c>
      <c r="I10" s="16" t="s">
        <v>15</v>
      </c>
      <c r="J10" s="33"/>
    </row>
    <row r="11" spans="1:10" ht="14.5" hidden="1" customHeight="1" x14ac:dyDescent="0.35">
      <c r="A11" s="106"/>
      <c r="B11" s="106"/>
      <c r="C11" s="106"/>
      <c r="D11" s="106"/>
      <c r="E11" s="13" t="s">
        <v>33</v>
      </c>
      <c r="F11" s="14" t="s">
        <v>34</v>
      </c>
      <c r="G11" s="19">
        <v>46321</v>
      </c>
      <c r="H11" s="19">
        <v>46326</v>
      </c>
      <c r="I11" s="25" t="s">
        <v>28</v>
      </c>
      <c r="J11" s="33"/>
    </row>
    <row r="12" spans="1:10" ht="14.5" hidden="1" customHeight="1" x14ac:dyDescent="0.35">
      <c r="A12" s="106"/>
      <c r="B12" s="106"/>
      <c r="C12" s="106"/>
      <c r="D12" s="106"/>
      <c r="E12" s="13" t="s">
        <v>35</v>
      </c>
      <c r="F12" s="14" t="s">
        <v>36</v>
      </c>
      <c r="G12" s="19">
        <v>46321</v>
      </c>
      <c r="H12" s="19">
        <v>46326</v>
      </c>
      <c r="I12" s="25" t="s">
        <v>28</v>
      </c>
      <c r="J12" s="33"/>
    </row>
    <row r="13" spans="1:10" ht="14.5" hidden="1" customHeight="1" x14ac:dyDescent="0.35">
      <c r="A13" s="106"/>
      <c r="B13" s="106"/>
      <c r="C13" s="106"/>
      <c r="D13" s="106"/>
      <c r="E13" s="13" t="s">
        <v>37</v>
      </c>
      <c r="F13" s="14" t="s">
        <v>38</v>
      </c>
      <c r="G13" s="19">
        <v>46321</v>
      </c>
      <c r="H13" s="19">
        <v>46326</v>
      </c>
      <c r="I13" s="25" t="s">
        <v>28</v>
      </c>
      <c r="J13" s="33"/>
    </row>
    <row r="14" spans="1:10" ht="14.5" hidden="1" customHeight="1" x14ac:dyDescent="0.35">
      <c r="A14" s="106"/>
      <c r="B14" s="106"/>
      <c r="C14" s="106"/>
      <c r="D14" s="106"/>
      <c r="E14" s="13" t="s">
        <v>39</v>
      </c>
      <c r="F14" s="14" t="s">
        <v>40</v>
      </c>
      <c r="G14" s="19">
        <v>46318</v>
      </c>
      <c r="H14" s="19">
        <v>46326</v>
      </c>
      <c r="I14" s="25" t="s">
        <v>28</v>
      </c>
      <c r="J14" s="33"/>
    </row>
    <row r="15" spans="1:10" ht="14.5" hidden="1" customHeight="1" x14ac:dyDescent="0.35">
      <c r="A15" s="106"/>
      <c r="B15" s="106"/>
      <c r="C15" s="106"/>
      <c r="D15" s="106"/>
      <c r="E15" s="13" t="s">
        <v>41</v>
      </c>
      <c r="F15" s="14" t="s">
        <v>42</v>
      </c>
      <c r="G15" s="15">
        <v>46300</v>
      </c>
      <c r="H15" s="15">
        <v>46304</v>
      </c>
      <c r="I15" s="16" t="s">
        <v>15</v>
      </c>
      <c r="J15" s="33"/>
    </row>
    <row r="16" spans="1:10" ht="14.5" hidden="1" customHeight="1" x14ac:dyDescent="0.35">
      <c r="A16" s="106"/>
      <c r="B16" s="106"/>
      <c r="C16" s="106"/>
      <c r="D16" s="106"/>
      <c r="E16" s="13" t="s">
        <v>43</v>
      </c>
      <c r="F16" s="14" t="s">
        <v>44</v>
      </c>
      <c r="G16" s="15">
        <v>46300</v>
      </c>
      <c r="H16" s="15">
        <v>46304</v>
      </c>
      <c r="I16" s="16" t="s">
        <v>15</v>
      </c>
      <c r="J16" s="33"/>
    </row>
    <row r="17" spans="1:10" ht="14.5" hidden="1" customHeight="1" x14ac:dyDescent="0.35">
      <c r="A17" s="106"/>
      <c r="B17" s="106"/>
      <c r="C17" s="106"/>
      <c r="D17" s="106"/>
      <c r="E17" s="13" t="s">
        <v>45</v>
      </c>
      <c r="F17" s="14" t="s">
        <v>46</v>
      </c>
      <c r="G17" s="19">
        <v>46321</v>
      </c>
      <c r="H17" s="19">
        <v>46326</v>
      </c>
      <c r="I17" s="21" t="s">
        <v>28</v>
      </c>
      <c r="J17" s="33"/>
    </row>
    <row r="18" spans="1:10" ht="14.5" hidden="1" customHeight="1" x14ac:dyDescent="0.35">
      <c r="A18" s="106"/>
      <c r="B18" s="106"/>
      <c r="C18" s="106"/>
      <c r="D18" s="106"/>
      <c r="E18" s="13" t="s">
        <v>47</v>
      </c>
      <c r="F18" s="14" t="s">
        <v>48</v>
      </c>
      <c r="G18" s="19">
        <v>46321</v>
      </c>
      <c r="H18" s="19">
        <v>46326</v>
      </c>
      <c r="I18" s="21" t="s">
        <v>28</v>
      </c>
      <c r="J18" s="33"/>
    </row>
    <row r="19" spans="1:10" ht="14.5" hidden="1" customHeight="1" x14ac:dyDescent="0.35">
      <c r="A19" s="106"/>
      <c r="B19" s="106"/>
      <c r="C19" s="106"/>
      <c r="D19" s="106"/>
      <c r="E19" s="13" t="s">
        <v>49</v>
      </c>
      <c r="F19" s="14" t="s">
        <v>50</v>
      </c>
      <c r="G19" s="19">
        <v>46321</v>
      </c>
      <c r="H19" s="19">
        <v>46326</v>
      </c>
      <c r="I19" s="21" t="s">
        <v>28</v>
      </c>
      <c r="J19" s="33"/>
    </row>
    <row r="20" spans="1:10" ht="14.5" hidden="1" customHeight="1" x14ac:dyDescent="0.35">
      <c r="A20" s="106"/>
      <c r="B20" s="106"/>
      <c r="C20" s="106"/>
      <c r="D20" s="106"/>
      <c r="E20" s="27" t="s">
        <v>51</v>
      </c>
      <c r="F20" s="14" t="s">
        <v>52</v>
      </c>
      <c r="G20" s="15">
        <v>46300</v>
      </c>
      <c r="H20" s="15">
        <v>46304</v>
      </c>
      <c r="I20" s="16" t="s">
        <v>15</v>
      </c>
      <c r="J20" s="33"/>
    </row>
    <row r="21" spans="1:10" ht="15.75" hidden="1" customHeight="1" x14ac:dyDescent="0.35">
      <c r="A21" s="106"/>
      <c r="B21" s="106"/>
      <c r="C21" s="106"/>
      <c r="D21" s="106"/>
      <c r="E21" s="13" t="s">
        <v>53</v>
      </c>
      <c r="F21" s="14" t="s">
        <v>54</v>
      </c>
      <c r="G21" s="15">
        <v>46307</v>
      </c>
      <c r="H21" s="15">
        <v>46311</v>
      </c>
      <c r="I21" s="16" t="s">
        <v>15</v>
      </c>
      <c r="J21" s="33"/>
    </row>
    <row r="22" spans="1:10" ht="15.75" hidden="1" customHeight="1" x14ac:dyDescent="0.35">
      <c r="A22" s="106"/>
      <c r="B22" s="106"/>
      <c r="C22" s="106"/>
      <c r="D22" s="106"/>
      <c r="E22" s="28" t="s">
        <v>55</v>
      </c>
      <c r="F22" s="14" t="s">
        <v>56</v>
      </c>
      <c r="G22" s="15">
        <v>46300</v>
      </c>
      <c r="H22" s="15">
        <v>46300</v>
      </c>
      <c r="I22" s="16" t="s">
        <v>15</v>
      </c>
      <c r="J22" s="33"/>
    </row>
    <row r="23" spans="1:10" ht="15.75" hidden="1" customHeight="1" x14ac:dyDescent="0.35">
      <c r="A23" s="106"/>
      <c r="B23" s="106"/>
      <c r="C23" s="106"/>
      <c r="D23" s="106"/>
      <c r="E23" s="28" t="s">
        <v>57</v>
      </c>
      <c r="F23" s="14" t="s">
        <v>58</v>
      </c>
      <c r="G23" s="15">
        <v>46300</v>
      </c>
      <c r="H23" s="15">
        <v>46304</v>
      </c>
      <c r="I23" s="16" t="s">
        <v>15</v>
      </c>
      <c r="J23" s="33"/>
    </row>
    <row r="24" spans="1:10" ht="15.75" hidden="1" customHeight="1" x14ac:dyDescent="0.35">
      <c r="A24" s="106"/>
      <c r="B24" s="106"/>
      <c r="C24" s="106"/>
      <c r="D24" s="106"/>
      <c r="E24" s="17" t="s">
        <v>59</v>
      </c>
      <c r="F24" s="14"/>
      <c r="G24" s="22">
        <v>46314</v>
      </c>
      <c r="H24" s="22">
        <v>46318</v>
      </c>
      <c r="I24" s="16" t="s">
        <v>15</v>
      </c>
      <c r="J24" s="33"/>
    </row>
    <row r="25" spans="1:10" ht="15.75" hidden="1" customHeight="1" x14ac:dyDescent="0.35">
      <c r="A25" s="107"/>
      <c r="B25" s="107"/>
      <c r="C25" s="107"/>
      <c r="D25" s="107"/>
      <c r="E25" s="28" t="s">
        <v>60</v>
      </c>
      <c r="F25" s="14"/>
      <c r="G25" s="19">
        <v>46321</v>
      </c>
      <c r="H25" s="19">
        <v>46326</v>
      </c>
      <c r="I25" s="21" t="s">
        <v>28</v>
      </c>
      <c r="J25" s="33"/>
    </row>
    <row r="26" spans="1:10" ht="15.75" hidden="1" customHeight="1" x14ac:dyDescent="0.35">
      <c r="A26" s="29" t="s">
        <v>9</v>
      </c>
      <c r="B26" s="30" t="s">
        <v>61</v>
      </c>
      <c r="C26" s="31" t="s">
        <v>62</v>
      </c>
      <c r="D26" s="31" t="s">
        <v>63</v>
      </c>
      <c r="E26" s="32"/>
      <c r="F26" s="32"/>
      <c r="G26" s="15">
        <v>46307</v>
      </c>
      <c r="H26" s="15">
        <v>46315</v>
      </c>
      <c r="I26" s="46" t="s">
        <v>15</v>
      </c>
      <c r="J26" s="33"/>
    </row>
    <row r="27" spans="1:10" ht="15.75" hidden="1" customHeight="1" x14ac:dyDescent="0.35">
      <c r="A27" s="111" t="s">
        <v>9</v>
      </c>
      <c r="B27" s="112" t="s">
        <v>64</v>
      </c>
      <c r="C27" s="105" t="s">
        <v>65</v>
      </c>
      <c r="D27" s="105" t="s">
        <v>66</v>
      </c>
      <c r="E27" s="13" t="s">
        <v>67</v>
      </c>
      <c r="F27" s="14" t="s">
        <v>68</v>
      </c>
      <c r="G27" s="15">
        <v>46318</v>
      </c>
      <c r="H27" s="15">
        <v>46318</v>
      </c>
      <c r="I27" s="16" t="s">
        <v>15</v>
      </c>
      <c r="J27" s="33"/>
    </row>
    <row r="28" spans="1:10" ht="15.75" customHeight="1" x14ac:dyDescent="0.35">
      <c r="A28" s="106"/>
      <c r="B28" s="106"/>
      <c r="C28" s="106"/>
      <c r="D28" s="106"/>
      <c r="E28" s="13" t="s">
        <v>69</v>
      </c>
      <c r="F28" s="14" t="s">
        <v>70</v>
      </c>
      <c r="G28" s="15">
        <v>46419</v>
      </c>
      <c r="H28" s="15">
        <v>46446</v>
      </c>
      <c r="I28" s="21" t="s">
        <v>71</v>
      </c>
      <c r="J28" s="88" t="s">
        <v>72</v>
      </c>
    </row>
    <row r="29" spans="1:10" ht="15.75" customHeight="1" x14ac:dyDescent="0.35">
      <c r="A29" s="106"/>
      <c r="B29" s="106"/>
      <c r="C29" s="106"/>
      <c r="D29" s="106"/>
      <c r="E29" s="13" t="s">
        <v>73</v>
      </c>
      <c r="F29" s="14" t="s">
        <v>74</v>
      </c>
      <c r="G29" s="15">
        <v>46419</v>
      </c>
      <c r="H29" s="15">
        <v>46446</v>
      </c>
      <c r="I29" s="16" t="s">
        <v>71</v>
      </c>
      <c r="J29" s="88" t="s">
        <v>72</v>
      </c>
    </row>
    <row r="30" spans="1:10" ht="15.75" hidden="1" customHeight="1" x14ac:dyDescent="0.35">
      <c r="A30" s="106"/>
      <c r="B30" s="106"/>
      <c r="C30" s="106"/>
      <c r="D30" s="106"/>
      <c r="E30" s="13" t="s">
        <v>13</v>
      </c>
      <c r="F30" s="14" t="s">
        <v>14</v>
      </c>
      <c r="G30" s="15">
        <v>46308</v>
      </c>
      <c r="H30" s="15">
        <v>46308</v>
      </c>
      <c r="I30" s="16" t="s">
        <v>15</v>
      </c>
      <c r="J30" s="33"/>
    </row>
    <row r="31" spans="1:10" ht="15.75" customHeight="1" x14ac:dyDescent="0.35">
      <c r="A31" s="106"/>
      <c r="B31" s="106"/>
      <c r="C31" s="106"/>
      <c r="D31" s="106"/>
      <c r="E31" s="13" t="s">
        <v>75</v>
      </c>
      <c r="F31" s="14" t="s">
        <v>76</v>
      </c>
      <c r="G31" s="15">
        <v>46419</v>
      </c>
      <c r="H31" s="15">
        <v>46446</v>
      </c>
      <c r="I31" s="16" t="s">
        <v>71</v>
      </c>
      <c r="J31" s="33" t="s">
        <v>77</v>
      </c>
    </row>
    <row r="32" spans="1:10" ht="15.75" customHeight="1" x14ac:dyDescent="0.35">
      <c r="A32" s="106"/>
      <c r="B32" s="106"/>
      <c r="C32" s="106"/>
      <c r="D32" s="106"/>
      <c r="E32" s="13" t="s">
        <v>78</v>
      </c>
      <c r="F32" s="14" t="s">
        <v>79</v>
      </c>
      <c r="G32" s="15">
        <v>46327</v>
      </c>
      <c r="H32" s="15">
        <v>46356</v>
      </c>
      <c r="I32" s="16" t="s">
        <v>80</v>
      </c>
      <c r="J32" s="33"/>
    </row>
    <row r="33" spans="1:10" ht="15.75" hidden="1" customHeight="1" x14ac:dyDescent="0.35">
      <c r="A33" s="106"/>
      <c r="B33" s="106"/>
      <c r="C33" s="106"/>
      <c r="D33" s="106"/>
      <c r="E33" s="17" t="s">
        <v>16</v>
      </c>
      <c r="F33" s="14" t="s">
        <v>17</v>
      </c>
      <c r="G33" s="15">
        <v>46318</v>
      </c>
      <c r="H33" s="15">
        <v>46318</v>
      </c>
      <c r="I33" s="16" t="s">
        <v>15</v>
      </c>
      <c r="J33" s="33"/>
    </row>
    <row r="34" spans="1:10" ht="15.75" customHeight="1" x14ac:dyDescent="0.35">
      <c r="A34" s="106"/>
      <c r="B34" s="106"/>
      <c r="C34" s="106"/>
      <c r="D34" s="106"/>
      <c r="E34" s="13" t="s">
        <v>18</v>
      </c>
      <c r="F34" s="14" t="s">
        <v>19</v>
      </c>
      <c r="G34" s="15">
        <v>46419</v>
      </c>
      <c r="H34" s="15">
        <v>46446</v>
      </c>
      <c r="I34" s="16" t="s">
        <v>71</v>
      </c>
      <c r="J34" s="33"/>
    </row>
    <row r="35" spans="1:10" ht="15.75" hidden="1" customHeight="1" x14ac:dyDescent="0.35">
      <c r="A35" s="106"/>
      <c r="B35" s="106"/>
      <c r="C35" s="106"/>
      <c r="D35" s="106"/>
      <c r="E35" s="13" t="s">
        <v>81</v>
      </c>
      <c r="F35" s="14" t="s">
        <v>82</v>
      </c>
      <c r="G35" s="15">
        <v>46321</v>
      </c>
      <c r="H35" s="15">
        <v>46321</v>
      </c>
      <c r="I35" s="16" t="s">
        <v>15</v>
      </c>
      <c r="J35" s="33"/>
    </row>
    <row r="36" spans="1:10" ht="15.75" customHeight="1" x14ac:dyDescent="0.35">
      <c r="A36" s="106"/>
      <c r="B36" s="106"/>
      <c r="C36" s="106"/>
      <c r="D36" s="106"/>
      <c r="E36" s="13" t="s">
        <v>83</v>
      </c>
      <c r="F36" s="14" t="s">
        <v>84</v>
      </c>
      <c r="G36" s="15">
        <v>46327</v>
      </c>
      <c r="H36" s="15">
        <v>46356</v>
      </c>
      <c r="I36" s="16" t="s">
        <v>80</v>
      </c>
      <c r="J36" s="33"/>
    </row>
    <row r="37" spans="1:10" ht="15.75" customHeight="1" x14ac:dyDescent="0.35">
      <c r="A37" s="106"/>
      <c r="B37" s="106"/>
      <c r="C37" s="106"/>
      <c r="D37" s="106"/>
      <c r="E37" s="13" t="s">
        <v>20</v>
      </c>
      <c r="F37" s="14" t="s">
        <v>21</v>
      </c>
      <c r="G37" s="15">
        <v>46327</v>
      </c>
      <c r="H37" s="15">
        <v>46356</v>
      </c>
      <c r="I37" s="16" t="s">
        <v>80</v>
      </c>
      <c r="J37" s="33"/>
    </row>
    <row r="38" spans="1:10" ht="15.75" customHeight="1" x14ac:dyDescent="0.35">
      <c r="A38" s="106"/>
      <c r="B38" s="106"/>
      <c r="C38" s="106"/>
      <c r="D38" s="106"/>
      <c r="E38" s="13" t="s">
        <v>85</v>
      </c>
      <c r="F38" s="14" t="s">
        <v>86</v>
      </c>
      <c r="G38" s="15">
        <v>46419</v>
      </c>
      <c r="H38" s="15">
        <v>46446</v>
      </c>
      <c r="I38" s="16" t="s">
        <v>71</v>
      </c>
      <c r="J38" s="33" t="s">
        <v>87</v>
      </c>
    </row>
    <row r="39" spans="1:10" ht="15.75" hidden="1" customHeight="1" x14ac:dyDescent="0.35">
      <c r="A39" s="106"/>
      <c r="B39" s="106"/>
      <c r="C39" s="106"/>
      <c r="D39" s="106"/>
      <c r="E39" s="13" t="s">
        <v>88</v>
      </c>
      <c r="F39" s="14" t="s">
        <v>89</v>
      </c>
      <c r="G39" s="15">
        <v>46308</v>
      </c>
      <c r="H39" s="15">
        <v>46309</v>
      </c>
      <c r="I39" s="16" t="s">
        <v>15</v>
      </c>
      <c r="J39" s="33"/>
    </row>
    <row r="40" spans="1:10" ht="15.75" hidden="1" customHeight="1" x14ac:dyDescent="0.35">
      <c r="A40" s="106"/>
      <c r="B40" s="106"/>
      <c r="C40" s="106"/>
      <c r="D40" s="106"/>
      <c r="E40" s="13" t="s">
        <v>90</v>
      </c>
      <c r="F40" s="14" t="s">
        <v>91</v>
      </c>
      <c r="G40" s="15">
        <v>46308</v>
      </c>
      <c r="H40" s="15">
        <v>46322</v>
      </c>
      <c r="I40" s="16" t="s">
        <v>15</v>
      </c>
      <c r="J40" s="33"/>
    </row>
    <row r="41" spans="1:10" ht="15.75" customHeight="1" x14ac:dyDescent="0.35">
      <c r="A41" s="106"/>
      <c r="B41" s="106"/>
      <c r="C41" s="106"/>
      <c r="D41" s="106"/>
      <c r="E41" s="13" t="s">
        <v>92</v>
      </c>
      <c r="F41" s="14" t="s">
        <v>93</v>
      </c>
      <c r="G41" s="15">
        <v>46419</v>
      </c>
      <c r="H41" s="15">
        <v>46446</v>
      </c>
      <c r="I41" s="16" t="s">
        <v>71</v>
      </c>
      <c r="J41" s="33" t="s">
        <v>94</v>
      </c>
    </row>
    <row r="42" spans="1:10" ht="15.75" hidden="1" customHeight="1" x14ac:dyDescent="0.35">
      <c r="A42" s="106"/>
      <c r="B42" s="106"/>
      <c r="C42" s="106"/>
      <c r="D42" s="106"/>
      <c r="E42" s="13" t="s">
        <v>22</v>
      </c>
      <c r="F42" s="14" t="s">
        <v>23</v>
      </c>
      <c r="G42" s="15">
        <v>46318</v>
      </c>
      <c r="H42" s="15">
        <v>46318</v>
      </c>
      <c r="I42" s="21" t="s">
        <v>15</v>
      </c>
      <c r="J42" s="33" t="s">
        <v>95</v>
      </c>
    </row>
    <row r="43" spans="1:10" ht="15.75" customHeight="1" x14ac:dyDescent="0.35">
      <c r="A43" s="106"/>
      <c r="B43" s="106"/>
      <c r="C43" s="106"/>
      <c r="D43" s="106"/>
      <c r="E43" s="13" t="s">
        <v>96</v>
      </c>
      <c r="F43" s="14" t="s">
        <v>97</v>
      </c>
      <c r="G43" s="15">
        <v>46419</v>
      </c>
      <c r="H43" s="15">
        <v>46446</v>
      </c>
      <c r="I43" s="16" t="s">
        <v>71</v>
      </c>
      <c r="J43" s="33" t="s">
        <v>98</v>
      </c>
    </row>
    <row r="44" spans="1:10" ht="15.75" customHeight="1" x14ac:dyDescent="0.35">
      <c r="A44" s="106"/>
      <c r="B44" s="106"/>
      <c r="C44" s="106"/>
      <c r="D44" s="106"/>
      <c r="E44" s="13" t="s">
        <v>99</v>
      </c>
      <c r="F44" s="14" t="s">
        <v>100</v>
      </c>
      <c r="G44" s="15">
        <v>46419</v>
      </c>
      <c r="H44" s="15">
        <v>46446</v>
      </c>
      <c r="I44" s="16" t="s">
        <v>71</v>
      </c>
      <c r="J44" s="33" t="s">
        <v>101</v>
      </c>
    </row>
    <row r="45" spans="1:10" ht="15.75" hidden="1" customHeight="1" x14ac:dyDescent="0.35">
      <c r="A45" s="106"/>
      <c r="B45" s="106"/>
      <c r="C45" s="106"/>
      <c r="D45" s="106"/>
      <c r="E45" s="13" t="s">
        <v>102</v>
      </c>
      <c r="F45" s="14" t="s">
        <v>103</v>
      </c>
      <c r="G45" s="15">
        <v>46321</v>
      </c>
      <c r="H45" s="15">
        <v>46321</v>
      </c>
      <c r="I45" s="16" t="s">
        <v>15</v>
      </c>
      <c r="J45" s="33"/>
    </row>
    <row r="46" spans="1:10" ht="15.75" hidden="1" customHeight="1" x14ac:dyDescent="0.35">
      <c r="A46" s="106"/>
      <c r="B46" s="106"/>
      <c r="C46" s="106"/>
      <c r="D46" s="106"/>
      <c r="E46" s="13" t="s">
        <v>104</v>
      </c>
      <c r="F46" s="14" t="s">
        <v>105</v>
      </c>
      <c r="G46" s="15">
        <v>46308</v>
      </c>
      <c r="H46" s="15">
        <v>46309</v>
      </c>
      <c r="I46" s="16" t="s">
        <v>15</v>
      </c>
      <c r="J46" s="33"/>
    </row>
    <row r="47" spans="1:10" ht="15.75" customHeight="1" x14ac:dyDescent="0.35">
      <c r="A47" s="106"/>
      <c r="B47" s="106"/>
      <c r="C47" s="106"/>
      <c r="D47" s="106"/>
      <c r="E47" s="13" t="s">
        <v>24</v>
      </c>
      <c r="F47" s="14" t="s">
        <v>25</v>
      </c>
      <c r="G47" s="15">
        <v>46419</v>
      </c>
      <c r="H47" s="15">
        <v>46446</v>
      </c>
      <c r="I47" s="16" t="s">
        <v>71</v>
      </c>
      <c r="J47" s="33" t="s">
        <v>106</v>
      </c>
    </row>
    <row r="48" spans="1:10" ht="15.75" customHeight="1" x14ac:dyDescent="0.35">
      <c r="A48" s="106"/>
      <c r="B48" s="106"/>
      <c r="C48" s="106"/>
      <c r="D48" s="106"/>
      <c r="E48" s="13" t="s">
        <v>107</v>
      </c>
      <c r="F48" s="14" t="s">
        <v>108</v>
      </c>
      <c r="G48" s="15">
        <v>46447</v>
      </c>
      <c r="H48" s="15">
        <v>46477</v>
      </c>
      <c r="I48" s="16" t="s">
        <v>71</v>
      </c>
      <c r="J48" s="33" t="s">
        <v>109</v>
      </c>
    </row>
    <row r="49" spans="1:10" ht="15.75" customHeight="1" x14ac:dyDescent="0.35">
      <c r="A49" s="106"/>
      <c r="B49" s="106"/>
      <c r="C49" s="106"/>
      <c r="D49" s="106"/>
      <c r="E49" s="13" t="s">
        <v>110</v>
      </c>
      <c r="F49" s="14" t="s">
        <v>111</v>
      </c>
      <c r="G49" s="15">
        <v>46419</v>
      </c>
      <c r="H49" s="15">
        <v>46446</v>
      </c>
      <c r="I49" s="16" t="s">
        <v>71</v>
      </c>
      <c r="J49" s="33" t="s">
        <v>112</v>
      </c>
    </row>
    <row r="50" spans="1:10" ht="15.75" hidden="1" customHeight="1" x14ac:dyDescent="0.35">
      <c r="A50" s="106"/>
      <c r="B50" s="106"/>
      <c r="C50" s="106"/>
      <c r="D50" s="106"/>
      <c r="E50" s="13" t="s">
        <v>113</v>
      </c>
      <c r="F50" s="14" t="s">
        <v>114</v>
      </c>
      <c r="G50" s="15">
        <v>46322</v>
      </c>
      <c r="H50" s="15">
        <v>46322</v>
      </c>
      <c r="I50" s="16" t="s">
        <v>15</v>
      </c>
      <c r="J50" s="33"/>
    </row>
    <row r="51" spans="1:10" ht="15.75" hidden="1" customHeight="1" x14ac:dyDescent="0.35">
      <c r="A51" s="106"/>
      <c r="B51" s="106"/>
      <c r="C51" s="106"/>
      <c r="D51" s="106"/>
      <c r="E51" s="13" t="s">
        <v>115</v>
      </c>
      <c r="F51" s="14" t="s">
        <v>116</v>
      </c>
      <c r="G51" s="15">
        <v>46308</v>
      </c>
      <c r="H51" s="15">
        <v>46309</v>
      </c>
      <c r="I51" s="16" t="s">
        <v>15</v>
      </c>
      <c r="J51" s="33"/>
    </row>
    <row r="52" spans="1:10" ht="15.75" hidden="1" customHeight="1" x14ac:dyDescent="0.35">
      <c r="A52" s="106"/>
      <c r="B52" s="106"/>
      <c r="C52" s="106"/>
      <c r="D52" s="106"/>
      <c r="E52" s="13" t="s">
        <v>26</v>
      </c>
      <c r="F52" s="14" t="s">
        <v>27</v>
      </c>
      <c r="G52" s="15">
        <v>46321</v>
      </c>
      <c r="H52" s="15">
        <v>46321</v>
      </c>
      <c r="I52" s="16" t="s">
        <v>15</v>
      </c>
      <c r="J52" s="33"/>
    </row>
    <row r="53" spans="1:10" ht="15.75" hidden="1" customHeight="1" x14ac:dyDescent="0.35">
      <c r="A53" s="106"/>
      <c r="B53" s="106"/>
      <c r="C53" s="106"/>
      <c r="D53" s="106"/>
      <c r="E53" s="13" t="s">
        <v>29</v>
      </c>
      <c r="F53" s="14" t="s">
        <v>30</v>
      </c>
      <c r="G53" s="15">
        <v>46308</v>
      </c>
      <c r="H53" s="15">
        <v>46309</v>
      </c>
      <c r="I53" s="16" t="s">
        <v>15</v>
      </c>
      <c r="J53" s="33"/>
    </row>
    <row r="54" spans="1:10" ht="15.75" customHeight="1" x14ac:dyDescent="0.35">
      <c r="A54" s="106"/>
      <c r="B54" s="106"/>
      <c r="C54" s="106"/>
      <c r="D54" s="106"/>
      <c r="E54" s="13" t="s">
        <v>117</v>
      </c>
      <c r="F54" s="14" t="s">
        <v>118</v>
      </c>
      <c r="G54" s="15">
        <v>46327</v>
      </c>
      <c r="H54" s="15">
        <v>46356</v>
      </c>
      <c r="I54" s="16" t="s">
        <v>80</v>
      </c>
      <c r="J54" s="33" t="s">
        <v>119</v>
      </c>
    </row>
    <row r="55" spans="1:10" ht="15.75" hidden="1" customHeight="1" x14ac:dyDescent="0.35">
      <c r="A55" s="106"/>
      <c r="B55" s="106"/>
      <c r="C55" s="106"/>
      <c r="D55" s="106"/>
      <c r="E55" s="13" t="s">
        <v>31</v>
      </c>
      <c r="F55" s="14" t="s">
        <v>32</v>
      </c>
      <c r="G55" s="15">
        <v>46308</v>
      </c>
      <c r="H55" s="15">
        <v>46322</v>
      </c>
      <c r="I55" s="16" t="s">
        <v>15</v>
      </c>
      <c r="J55" s="33" t="s">
        <v>120</v>
      </c>
    </row>
    <row r="56" spans="1:10" ht="15.75" hidden="1" customHeight="1" x14ac:dyDescent="0.35">
      <c r="A56" s="106"/>
      <c r="B56" s="106"/>
      <c r="C56" s="106"/>
      <c r="D56" s="106"/>
      <c r="E56" s="13" t="s">
        <v>121</v>
      </c>
      <c r="F56" s="14" t="s">
        <v>122</v>
      </c>
      <c r="G56" s="15">
        <v>46308</v>
      </c>
      <c r="H56" s="15">
        <v>46309</v>
      </c>
      <c r="I56" s="16" t="s">
        <v>15</v>
      </c>
      <c r="J56" s="33"/>
    </row>
    <row r="57" spans="1:10" ht="15.75" hidden="1" customHeight="1" x14ac:dyDescent="0.35">
      <c r="A57" s="106"/>
      <c r="B57" s="106"/>
      <c r="C57" s="106"/>
      <c r="D57" s="106"/>
      <c r="E57" s="13" t="s">
        <v>123</v>
      </c>
      <c r="F57" s="14" t="s">
        <v>124</v>
      </c>
      <c r="G57" s="15">
        <v>46318</v>
      </c>
      <c r="H57" s="15">
        <v>46318</v>
      </c>
      <c r="I57" s="16" t="s">
        <v>15</v>
      </c>
      <c r="J57" s="33"/>
    </row>
    <row r="58" spans="1:10" ht="15.75" customHeight="1" x14ac:dyDescent="0.35">
      <c r="A58" s="106"/>
      <c r="B58" s="106"/>
      <c r="C58" s="106"/>
      <c r="D58" s="106"/>
      <c r="E58" s="13" t="s">
        <v>33</v>
      </c>
      <c r="F58" s="14" t="s">
        <v>34</v>
      </c>
      <c r="G58" s="15">
        <v>46419</v>
      </c>
      <c r="H58" s="15">
        <v>46446</v>
      </c>
      <c r="I58" s="16" t="s">
        <v>71</v>
      </c>
      <c r="J58" s="33" t="s">
        <v>125</v>
      </c>
    </row>
    <row r="59" spans="1:10" ht="15.75" customHeight="1" x14ac:dyDescent="0.35">
      <c r="A59" s="106"/>
      <c r="B59" s="106"/>
      <c r="C59" s="106"/>
      <c r="D59" s="106"/>
      <c r="E59" s="13" t="s">
        <v>126</v>
      </c>
      <c r="F59" s="14" t="s">
        <v>127</v>
      </c>
      <c r="G59" s="15">
        <v>46447</v>
      </c>
      <c r="H59" s="15">
        <v>46477</v>
      </c>
      <c r="I59" s="16" t="s">
        <v>71</v>
      </c>
      <c r="J59" s="33" t="s">
        <v>128</v>
      </c>
    </row>
    <row r="60" spans="1:10" ht="15.75" customHeight="1" x14ac:dyDescent="0.35">
      <c r="A60" s="106"/>
      <c r="B60" s="106"/>
      <c r="C60" s="106"/>
      <c r="D60" s="106"/>
      <c r="E60" s="13" t="s">
        <v>129</v>
      </c>
      <c r="F60" s="14" t="s">
        <v>130</v>
      </c>
      <c r="G60" s="15">
        <v>46327</v>
      </c>
      <c r="H60" s="15">
        <v>46356</v>
      </c>
      <c r="I60" s="16" t="s">
        <v>80</v>
      </c>
      <c r="J60" s="33" t="s">
        <v>131</v>
      </c>
    </row>
    <row r="61" spans="1:10" ht="15.75" customHeight="1" x14ac:dyDescent="0.35">
      <c r="A61" s="106"/>
      <c r="B61" s="106"/>
      <c r="C61" s="106"/>
      <c r="D61" s="106"/>
      <c r="E61" s="13" t="s">
        <v>132</v>
      </c>
      <c r="F61" s="14" t="s">
        <v>133</v>
      </c>
      <c r="G61" s="15">
        <v>46447</v>
      </c>
      <c r="H61" s="15">
        <v>46477</v>
      </c>
      <c r="I61" s="16" t="s">
        <v>71</v>
      </c>
      <c r="J61" s="33" t="s">
        <v>134</v>
      </c>
    </row>
    <row r="62" spans="1:10" ht="15.75" hidden="1" customHeight="1" x14ac:dyDescent="0.35">
      <c r="A62" s="106"/>
      <c r="B62" s="106"/>
      <c r="C62" s="106"/>
      <c r="D62" s="106"/>
      <c r="E62" s="13" t="s">
        <v>35</v>
      </c>
      <c r="F62" s="14" t="s">
        <v>36</v>
      </c>
      <c r="G62" s="15">
        <v>46318</v>
      </c>
      <c r="H62" s="15">
        <v>46318</v>
      </c>
      <c r="I62" s="16" t="s">
        <v>15</v>
      </c>
      <c r="J62" s="33"/>
    </row>
    <row r="63" spans="1:10" ht="15.75" customHeight="1" x14ac:dyDescent="0.35">
      <c r="A63" s="106"/>
      <c r="B63" s="106"/>
      <c r="C63" s="106"/>
      <c r="D63" s="106"/>
      <c r="E63" s="13" t="s">
        <v>135</v>
      </c>
      <c r="F63" s="14" t="s">
        <v>136</v>
      </c>
      <c r="G63" s="15">
        <v>46447</v>
      </c>
      <c r="H63" s="15">
        <v>46477</v>
      </c>
      <c r="I63" s="16" t="s">
        <v>71</v>
      </c>
      <c r="J63" s="33" t="s">
        <v>137</v>
      </c>
    </row>
    <row r="64" spans="1:10" ht="15.75" customHeight="1" x14ac:dyDescent="0.35">
      <c r="A64" s="106"/>
      <c r="B64" s="106"/>
      <c r="C64" s="106"/>
      <c r="D64" s="106"/>
      <c r="E64" s="13" t="s">
        <v>138</v>
      </c>
      <c r="F64" s="14" t="s">
        <v>139</v>
      </c>
      <c r="G64" s="15">
        <v>46447</v>
      </c>
      <c r="H64" s="15">
        <v>46477</v>
      </c>
      <c r="I64" s="16" t="s">
        <v>71</v>
      </c>
      <c r="J64" s="33" t="s">
        <v>140</v>
      </c>
    </row>
    <row r="65" spans="1:10" ht="15.75" customHeight="1" x14ac:dyDescent="0.35">
      <c r="A65" s="106"/>
      <c r="B65" s="106"/>
      <c r="C65" s="106"/>
      <c r="D65" s="106"/>
      <c r="E65" s="13" t="s">
        <v>141</v>
      </c>
      <c r="F65" s="14" t="s">
        <v>142</v>
      </c>
      <c r="G65" s="15">
        <v>46327</v>
      </c>
      <c r="H65" s="15">
        <v>46356</v>
      </c>
      <c r="I65" s="16" t="s">
        <v>80</v>
      </c>
      <c r="J65" s="33" t="s">
        <v>143</v>
      </c>
    </row>
    <row r="66" spans="1:10" ht="15.75" hidden="1" customHeight="1" x14ac:dyDescent="0.35">
      <c r="A66" s="106"/>
      <c r="B66" s="106"/>
      <c r="C66" s="106"/>
      <c r="D66" s="106"/>
      <c r="E66" s="13" t="s">
        <v>144</v>
      </c>
      <c r="F66" s="14" t="s">
        <v>145</v>
      </c>
      <c r="G66" s="15">
        <v>46318</v>
      </c>
      <c r="H66" s="15">
        <v>46318</v>
      </c>
      <c r="I66" s="21" t="s">
        <v>15</v>
      </c>
      <c r="J66" s="33"/>
    </row>
    <row r="67" spans="1:10" ht="15.75" customHeight="1" x14ac:dyDescent="0.35">
      <c r="A67" s="106"/>
      <c r="B67" s="106"/>
      <c r="C67" s="106"/>
      <c r="D67" s="106"/>
      <c r="E67" s="13" t="s">
        <v>146</v>
      </c>
      <c r="F67" s="14" t="s">
        <v>147</v>
      </c>
      <c r="G67" s="15">
        <v>46447</v>
      </c>
      <c r="H67" s="15">
        <v>46477</v>
      </c>
      <c r="I67" s="16" t="s">
        <v>71</v>
      </c>
      <c r="J67" s="33" t="s">
        <v>148</v>
      </c>
    </row>
    <row r="68" spans="1:10" ht="15.75" customHeight="1" x14ac:dyDescent="0.35">
      <c r="A68" s="106"/>
      <c r="B68" s="106"/>
      <c r="C68" s="106"/>
      <c r="D68" s="106"/>
      <c r="E68" s="13" t="s">
        <v>149</v>
      </c>
      <c r="F68" s="14" t="s">
        <v>150</v>
      </c>
      <c r="G68" s="15">
        <v>46447</v>
      </c>
      <c r="H68" s="15">
        <v>46477</v>
      </c>
      <c r="I68" s="16" t="s">
        <v>71</v>
      </c>
      <c r="J68" s="33" t="s">
        <v>151</v>
      </c>
    </row>
    <row r="69" spans="1:10" ht="15.75" customHeight="1" x14ac:dyDescent="0.35">
      <c r="A69" s="106"/>
      <c r="B69" s="106"/>
      <c r="C69" s="106"/>
      <c r="D69" s="106"/>
      <c r="E69" s="13" t="s">
        <v>152</v>
      </c>
      <c r="F69" s="14" t="s">
        <v>153</v>
      </c>
      <c r="G69" s="15">
        <v>46419</v>
      </c>
      <c r="H69" s="15">
        <v>46446</v>
      </c>
      <c r="I69" s="16" t="s">
        <v>71</v>
      </c>
      <c r="J69" s="33" t="s">
        <v>154</v>
      </c>
    </row>
    <row r="70" spans="1:10" ht="15.75" hidden="1" customHeight="1" x14ac:dyDescent="0.35">
      <c r="A70" s="106"/>
      <c r="B70" s="106"/>
      <c r="C70" s="106"/>
      <c r="D70" s="106"/>
      <c r="E70" s="13" t="s">
        <v>37</v>
      </c>
      <c r="F70" s="14" t="s">
        <v>38</v>
      </c>
      <c r="G70" s="15">
        <v>46318</v>
      </c>
      <c r="H70" s="15">
        <v>46318</v>
      </c>
      <c r="I70" s="16" t="s">
        <v>15</v>
      </c>
      <c r="J70" s="33"/>
    </row>
    <row r="71" spans="1:10" ht="15.75" hidden="1" customHeight="1" x14ac:dyDescent="0.35">
      <c r="A71" s="106"/>
      <c r="B71" s="106"/>
      <c r="C71" s="106"/>
      <c r="D71" s="106"/>
      <c r="E71" s="13" t="s">
        <v>39</v>
      </c>
      <c r="F71" s="14" t="s">
        <v>40</v>
      </c>
      <c r="G71" s="15">
        <v>46318</v>
      </c>
      <c r="H71" s="15">
        <v>46318</v>
      </c>
      <c r="I71" s="21" t="s">
        <v>15</v>
      </c>
      <c r="J71" s="33"/>
    </row>
    <row r="72" spans="1:10" ht="15.75" customHeight="1" x14ac:dyDescent="0.35">
      <c r="A72" s="106"/>
      <c r="B72" s="106"/>
      <c r="C72" s="106"/>
      <c r="D72" s="106"/>
      <c r="E72" s="13" t="s">
        <v>41</v>
      </c>
      <c r="F72" s="14" t="s">
        <v>42</v>
      </c>
      <c r="G72" s="15">
        <v>46327</v>
      </c>
      <c r="H72" s="15">
        <v>46356</v>
      </c>
      <c r="I72" s="16" t="s">
        <v>80</v>
      </c>
      <c r="J72" s="33" t="s">
        <v>155</v>
      </c>
    </row>
    <row r="73" spans="1:10" ht="15.75" customHeight="1" x14ac:dyDescent="0.35">
      <c r="A73" s="106"/>
      <c r="B73" s="106"/>
      <c r="C73" s="106"/>
      <c r="D73" s="106"/>
      <c r="E73" s="13" t="s">
        <v>156</v>
      </c>
      <c r="F73" s="14" t="s">
        <v>157</v>
      </c>
      <c r="G73" s="15">
        <v>46447</v>
      </c>
      <c r="H73" s="15">
        <v>46477</v>
      </c>
      <c r="I73" s="16" t="s">
        <v>71</v>
      </c>
      <c r="J73" s="33" t="s">
        <v>158</v>
      </c>
    </row>
    <row r="74" spans="1:10" ht="15.75" customHeight="1" x14ac:dyDescent="0.35">
      <c r="A74" s="106"/>
      <c r="B74" s="106"/>
      <c r="C74" s="106"/>
      <c r="D74" s="106"/>
      <c r="E74" s="13" t="s">
        <v>159</v>
      </c>
      <c r="F74" s="14" t="s">
        <v>160</v>
      </c>
      <c r="G74" s="15">
        <v>46447</v>
      </c>
      <c r="H74" s="15">
        <v>46477</v>
      </c>
      <c r="I74" s="16" t="s">
        <v>71</v>
      </c>
      <c r="J74" s="33" t="s">
        <v>161</v>
      </c>
    </row>
    <row r="75" spans="1:10" ht="15.75" customHeight="1" x14ac:dyDescent="0.35">
      <c r="A75" s="106"/>
      <c r="B75" s="106"/>
      <c r="C75" s="106"/>
      <c r="D75" s="106"/>
      <c r="E75" s="13" t="s">
        <v>43</v>
      </c>
      <c r="F75" s="14" t="s">
        <v>44</v>
      </c>
      <c r="G75" s="15">
        <v>46327</v>
      </c>
      <c r="H75" s="15">
        <v>46356</v>
      </c>
      <c r="I75" s="16" t="s">
        <v>80</v>
      </c>
      <c r="J75" s="33" t="s">
        <v>162</v>
      </c>
    </row>
    <row r="76" spans="1:10" ht="15.75" hidden="1" customHeight="1" x14ac:dyDescent="0.35">
      <c r="A76" s="106"/>
      <c r="B76" s="106"/>
      <c r="C76" s="106"/>
      <c r="D76" s="106"/>
      <c r="E76" s="13" t="s">
        <v>163</v>
      </c>
      <c r="F76" s="14" t="s">
        <v>164</v>
      </c>
      <c r="G76" s="15">
        <v>46321</v>
      </c>
      <c r="H76" s="15">
        <v>46321</v>
      </c>
      <c r="I76" s="16" t="s">
        <v>15</v>
      </c>
      <c r="J76" s="33"/>
    </row>
    <row r="77" spans="1:10" ht="15.75" customHeight="1" x14ac:dyDescent="0.35">
      <c r="A77" s="106"/>
      <c r="B77" s="106"/>
      <c r="C77" s="106"/>
      <c r="D77" s="106"/>
      <c r="E77" s="13" t="s">
        <v>165</v>
      </c>
      <c r="F77" s="14" t="s">
        <v>166</v>
      </c>
      <c r="G77" s="15">
        <v>46327</v>
      </c>
      <c r="H77" s="15">
        <v>46356</v>
      </c>
      <c r="I77" s="16" t="s">
        <v>80</v>
      </c>
      <c r="J77" s="33" t="s">
        <v>167</v>
      </c>
    </row>
    <row r="78" spans="1:10" ht="15.75" customHeight="1" x14ac:dyDescent="0.35">
      <c r="A78" s="106"/>
      <c r="B78" s="106"/>
      <c r="C78" s="106"/>
      <c r="D78" s="106"/>
      <c r="E78" s="13" t="s">
        <v>168</v>
      </c>
      <c r="F78" s="14" t="s">
        <v>169</v>
      </c>
      <c r="G78" s="15">
        <v>46327</v>
      </c>
      <c r="H78" s="15">
        <v>46356</v>
      </c>
      <c r="I78" s="16" t="s">
        <v>80</v>
      </c>
      <c r="J78" s="33" t="s">
        <v>170</v>
      </c>
    </row>
    <row r="79" spans="1:10" ht="15.75" customHeight="1" x14ac:dyDescent="0.35">
      <c r="A79" s="106"/>
      <c r="B79" s="106"/>
      <c r="C79" s="106"/>
      <c r="D79" s="106"/>
      <c r="E79" s="13" t="s">
        <v>171</v>
      </c>
      <c r="F79" s="14" t="s">
        <v>172</v>
      </c>
      <c r="G79" s="15">
        <v>46327</v>
      </c>
      <c r="H79" s="15">
        <v>46356</v>
      </c>
      <c r="I79" s="16" t="s">
        <v>80</v>
      </c>
      <c r="J79" s="33" t="s">
        <v>173</v>
      </c>
    </row>
    <row r="80" spans="1:10" ht="15.75" customHeight="1" x14ac:dyDescent="0.35">
      <c r="A80" s="106"/>
      <c r="B80" s="106"/>
      <c r="C80" s="106"/>
      <c r="D80" s="106"/>
      <c r="E80" s="13" t="s">
        <v>174</v>
      </c>
      <c r="F80" s="14" t="s">
        <v>175</v>
      </c>
      <c r="G80" s="15">
        <v>46327</v>
      </c>
      <c r="H80" s="15">
        <v>46356</v>
      </c>
      <c r="I80" s="16" t="s">
        <v>80</v>
      </c>
      <c r="J80" s="33" t="s">
        <v>176</v>
      </c>
    </row>
    <row r="81" spans="1:10" ht="15.75" customHeight="1" x14ac:dyDescent="0.35">
      <c r="A81" s="106"/>
      <c r="B81" s="106"/>
      <c r="C81" s="106"/>
      <c r="D81" s="106"/>
      <c r="E81" s="13" t="s">
        <v>177</v>
      </c>
      <c r="F81" s="14" t="s">
        <v>178</v>
      </c>
      <c r="G81" s="15">
        <v>46327</v>
      </c>
      <c r="H81" s="15">
        <v>46356</v>
      </c>
      <c r="I81" s="16" t="s">
        <v>80</v>
      </c>
      <c r="J81" s="33" t="s">
        <v>179</v>
      </c>
    </row>
    <row r="82" spans="1:10" ht="15.75" customHeight="1" x14ac:dyDescent="0.35">
      <c r="A82" s="106"/>
      <c r="B82" s="106"/>
      <c r="C82" s="106"/>
      <c r="D82" s="106"/>
      <c r="E82" s="13" t="s">
        <v>180</v>
      </c>
      <c r="F82" s="14" t="s">
        <v>181</v>
      </c>
      <c r="G82" s="15">
        <v>46447</v>
      </c>
      <c r="H82" s="15">
        <v>46477</v>
      </c>
      <c r="I82" s="16" t="s">
        <v>71</v>
      </c>
      <c r="J82" s="33" t="s">
        <v>182</v>
      </c>
    </row>
    <row r="83" spans="1:10" ht="15.75" customHeight="1" x14ac:dyDescent="0.35">
      <c r="A83" s="106"/>
      <c r="B83" s="106"/>
      <c r="C83" s="106"/>
      <c r="D83" s="106"/>
      <c r="E83" s="13" t="s">
        <v>183</v>
      </c>
      <c r="F83" s="14" t="s">
        <v>184</v>
      </c>
      <c r="G83" s="15">
        <v>46327</v>
      </c>
      <c r="H83" s="15">
        <v>46356</v>
      </c>
      <c r="I83" s="16" t="s">
        <v>80</v>
      </c>
      <c r="J83" s="33" t="s">
        <v>185</v>
      </c>
    </row>
    <row r="84" spans="1:10" ht="15.75" customHeight="1" x14ac:dyDescent="0.35">
      <c r="A84" s="106"/>
      <c r="B84" s="106"/>
      <c r="C84" s="106"/>
      <c r="D84" s="106"/>
      <c r="E84" s="13" t="s">
        <v>186</v>
      </c>
      <c r="F84" s="14" t="s">
        <v>187</v>
      </c>
      <c r="G84" s="15">
        <v>46447</v>
      </c>
      <c r="H84" s="15">
        <v>46477</v>
      </c>
      <c r="I84" s="16" t="s">
        <v>71</v>
      </c>
      <c r="J84" s="33" t="s">
        <v>188</v>
      </c>
    </row>
    <row r="85" spans="1:10" ht="15.75" customHeight="1" x14ac:dyDescent="0.35">
      <c r="A85" s="106"/>
      <c r="B85" s="106"/>
      <c r="C85" s="106"/>
      <c r="D85" s="106"/>
      <c r="E85" s="13" t="s">
        <v>189</v>
      </c>
      <c r="F85" s="14" t="s">
        <v>190</v>
      </c>
      <c r="G85" s="15">
        <v>46447</v>
      </c>
      <c r="H85" s="15">
        <v>46477</v>
      </c>
      <c r="I85" s="16" t="s">
        <v>71</v>
      </c>
      <c r="J85" s="33" t="s">
        <v>188</v>
      </c>
    </row>
    <row r="86" spans="1:10" ht="15.75" customHeight="1" x14ac:dyDescent="0.35">
      <c r="A86" s="106"/>
      <c r="B86" s="106"/>
      <c r="C86" s="106"/>
      <c r="D86" s="106"/>
      <c r="E86" s="13" t="s">
        <v>191</v>
      </c>
      <c r="F86" s="14" t="s">
        <v>192</v>
      </c>
      <c r="G86" s="15">
        <v>46419</v>
      </c>
      <c r="H86" s="15">
        <v>46446</v>
      </c>
      <c r="I86" s="16" t="s">
        <v>71</v>
      </c>
      <c r="J86" s="33" t="s">
        <v>193</v>
      </c>
    </row>
    <row r="87" spans="1:10" ht="15.75" customHeight="1" x14ac:dyDescent="0.35">
      <c r="A87" s="106"/>
      <c r="B87" s="106"/>
      <c r="C87" s="106"/>
      <c r="D87" s="106"/>
      <c r="E87" s="13" t="s">
        <v>194</v>
      </c>
      <c r="F87" s="14" t="s">
        <v>195</v>
      </c>
      <c r="G87" s="15">
        <v>46447</v>
      </c>
      <c r="H87" s="15">
        <v>46477</v>
      </c>
      <c r="I87" s="16" t="s">
        <v>71</v>
      </c>
      <c r="J87" s="33" t="s">
        <v>196</v>
      </c>
    </row>
    <row r="88" spans="1:10" ht="15.75" customHeight="1" x14ac:dyDescent="0.35">
      <c r="A88" s="106"/>
      <c r="B88" s="106"/>
      <c r="C88" s="106"/>
      <c r="D88" s="106"/>
      <c r="E88" s="13" t="s">
        <v>197</v>
      </c>
      <c r="F88" s="14" t="s">
        <v>198</v>
      </c>
      <c r="G88" s="15">
        <v>46327</v>
      </c>
      <c r="H88" s="15">
        <v>46356</v>
      </c>
      <c r="I88" s="16" t="s">
        <v>80</v>
      </c>
      <c r="J88" s="33" t="s">
        <v>199</v>
      </c>
    </row>
    <row r="89" spans="1:10" ht="15.75" customHeight="1" x14ac:dyDescent="0.35">
      <c r="A89" s="106"/>
      <c r="B89" s="106"/>
      <c r="C89" s="106"/>
      <c r="D89" s="106"/>
      <c r="E89" s="13" t="s">
        <v>200</v>
      </c>
      <c r="F89" s="14" t="s">
        <v>201</v>
      </c>
      <c r="G89" s="15">
        <v>46447</v>
      </c>
      <c r="H89" s="15">
        <v>46477</v>
      </c>
      <c r="I89" s="16" t="s">
        <v>71</v>
      </c>
      <c r="J89" s="33" t="s">
        <v>94</v>
      </c>
    </row>
    <row r="90" spans="1:10" ht="15.75" customHeight="1" x14ac:dyDescent="0.35">
      <c r="A90" s="106"/>
      <c r="B90" s="106"/>
      <c r="C90" s="106"/>
      <c r="D90" s="106"/>
      <c r="E90" s="13" t="s">
        <v>202</v>
      </c>
      <c r="F90" s="14" t="s">
        <v>203</v>
      </c>
      <c r="G90" s="15">
        <v>46327</v>
      </c>
      <c r="H90" s="15">
        <v>46356</v>
      </c>
      <c r="I90" s="16" t="s">
        <v>80</v>
      </c>
      <c r="J90" s="33" t="s">
        <v>204</v>
      </c>
    </row>
    <row r="91" spans="1:10" ht="15.75" customHeight="1" x14ac:dyDescent="0.35">
      <c r="A91" s="106"/>
      <c r="B91" s="106"/>
      <c r="C91" s="106"/>
      <c r="D91" s="106"/>
      <c r="E91" s="13" t="s">
        <v>205</v>
      </c>
      <c r="F91" s="14" t="s">
        <v>206</v>
      </c>
      <c r="G91" s="15">
        <v>46447</v>
      </c>
      <c r="H91" s="15">
        <v>46477</v>
      </c>
      <c r="I91" s="16" t="s">
        <v>71</v>
      </c>
      <c r="J91" s="33" t="s">
        <v>207</v>
      </c>
    </row>
    <row r="92" spans="1:10" ht="15.75" customHeight="1" x14ac:dyDescent="0.35">
      <c r="A92" s="106"/>
      <c r="B92" s="106"/>
      <c r="C92" s="106"/>
      <c r="D92" s="106"/>
      <c r="E92" s="13" t="s">
        <v>208</v>
      </c>
      <c r="F92" s="14" t="s">
        <v>209</v>
      </c>
      <c r="G92" s="15">
        <v>46357</v>
      </c>
      <c r="H92" s="15">
        <v>46387</v>
      </c>
      <c r="I92" s="16" t="s">
        <v>80</v>
      </c>
      <c r="J92" s="33" t="s">
        <v>210</v>
      </c>
    </row>
    <row r="93" spans="1:10" ht="15.75" customHeight="1" x14ac:dyDescent="0.35">
      <c r="A93" s="106"/>
      <c r="B93" s="106"/>
      <c r="C93" s="106"/>
      <c r="D93" s="106"/>
      <c r="E93" s="13" t="s">
        <v>211</v>
      </c>
      <c r="F93" s="14" t="s">
        <v>212</v>
      </c>
      <c r="G93" s="15">
        <v>46357</v>
      </c>
      <c r="H93" s="15">
        <v>46387</v>
      </c>
      <c r="I93" s="16" t="s">
        <v>80</v>
      </c>
      <c r="J93" s="33" t="s">
        <v>213</v>
      </c>
    </row>
    <row r="94" spans="1:10" ht="15.75" customHeight="1" x14ac:dyDescent="0.35">
      <c r="A94" s="106"/>
      <c r="B94" s="106"/>
      <c r="C94" s="106"/>
      <c r="D94" s="106"/>
      <c r="E94" s="13" t="s">
        <v>45</v>
      </c>
      <c r="F94" s="14" t="s">
        <v>46</v>
      </c>
      <c r="G94" s="15">
        <v>46419</v>
      </c>
      <c r="H94" s="15">
        <v>46446</v>
      </c>
      <c r="I94" s="16" t="s">
        <v>71</v>
      </c>
      <c r="J94" s="33" t="s">
        <v>214</v>
      </c>
    </row>
    <row r="95" spans="1:10" ht="15.75" hidden="1" customHeight="1" x14ac:dyDescent="0.35">
      <c r="A95" s="106"/>
      <c r="B95" s="106"/>
      <c r="C95" s="106"/>
      <c r="D95" s="106"/>
      <c r="E95" s="13" t="s">
        <v>215</v>
      </c>
      <c r="F95" s="14" t="s">
        <v>216</v>
      </c>
      <c r="G95" s="15">
        <v>46321</v>
      </c>
      <c r="H95" s="15">
        <v>46321</v>
      </c>
      <c r="I95" s="16" t="s">
        <v>15</v>
      </c>
      <c r="J95" s="33"/>
    </row>
    <row r="96" spans="1:10" ht="15.75" customHeight="1" x14ac:dyDescent="0.35">
      <c r="A96" s="106"/>
      <c r="B96" s="106"/>
      <c r="C96" s="106"/>
      <c r="D96" s="106"/>
      <c r="E96" s="13" t="s">
        <v>217</v>
      </c>
      <c r="F96" s="14" t="s">
        <v>218</v>
      </c>
      <c r="G96" s="15">
        <v>46357</v>
      </c>
      <c r="H96" s="15">
        <v>46387</v>
      </c>
      <c r="I96" s="16" t="s">
        <v>80</v>
      </c>
      <c r="J96" s="33" t="s">
        <v>219</v>
      </c>
    </row>
    <row r="97" spans="1:10" ht="15.75" customHeight="1" x14ac:dyDescent="0.35">
      <c r="A97" s="106"/>
      <c r="B97" s="106"/>
      <c r="C97" s="106"/>
      <c r="D97" s="106"/>
      <c r="E97" s="13" t="s">
        <v>220</v>
      </c>
      <c r="F97" s="14" t="s">
        <v>221</v>
      </c>
      <c r="G97" s="15">
        <v>46478</v>
      </c>
      <c r="H97" s="15">
        <v>46507</v>
      </c>
      <c r="I97" s="21" t="s">
        <v>71</v>
      </c>
      <c r="J97" s="33" t="s">
        <v>222</v>
      </c>
    </row>
    <row r="98" spans="1:10" ht="15.75" hidden="1" customHeight="1" x14ac:dyDescent="0.35">
      <c r="A98" s="106"/>
      <c r="B98" s="106"/>
      <c r="C98" s="106"/>
      <c r="D98" s="106"/>
      <c r="E98" s="13" t="s">
        <v>223</v>
      </c>
      <c r="F98" s="14" t="s">
        <v>224</v>
      </c>
      <c r="G98" s="15">
        <v>46321</v>
      </c>
      <c r="H98" s="15">
        <v>46321</v>
      </c>
      <c r="I98" s="16" t="s">
        <v>15</v>
      </c>
      <c r="J98" s="33"/>
    </row>
    <row r="99" spans="1:10" ht="15.75" customHeight="1" x14ac:dyDescent="0.35">
      <c r="A99" s="106"/>
      <c r="B99" s="106"/>
      <c r="C99" s="106"/>
      <c r="D99" s="106"/>
      <c r="E99" s="13" t="s">
        <v>225</v>
      </c>
      <c r="F99" s="14" t="s">
        <v>226</v>
      </c>
      <c r="G99" s="15">
        <v>46357</v>
      </c>
      <c r="H99" s="15">
        <v>46387</v>
      </c>
      <c r="I99" s="16" t="s">
        <v>80</v>
      </c>
      <c r="J99" s="33" t="s">
        <v>227</v>
      </c>
    </row>
    <row r="100" spans="1:10" ht="15.75" customHeight="1" x14ac:dyDescent="0.35">
      <c r="A100" s="106"/>
      <c r="B100" s="106"/>
      <c r="C100" s="106"/>
      <c r="D100" s="106"/>
      <c r="E100" s="13" t="s">
        <v>228</v>
      </c>
      <c r="F100" s="14" t="s">
        <v>229</v>
      </c>
      <c r="G100" s="15">
        <v>46478</v>
      </c>
      <c r="H100" s="15">
        <v>46507</v>
      </c>
      <c r="I100" s="16" t="s">
        <v>71</v>
      </c>
      <c r="J100" s="33" t="s">
        <v>230</v>
      </c>
    </row>
    <row r="101" spans="1:10" ht="15.75" customHeight="1" x14ac:dyDescent="0.35">
      <c r="A101" s="106"/>
      <c r="B101" s="106"/>
      <c r="C101" s="106"/>
      <c r="D101" s="106"/>
      <c r="E101" s="13" t="s">
        <v>231</v>
      </c>
      <c r="F101" s="14" t="s">
        <v>232</v>
      </c>
      <c r="G101" s="15">
        <v>46357</v>
      </c>
      <c r="H101" s="15">
        <v>46387</v>
      </c>
      <c r="I101" s="16" t="s">
        <v>80</v>
      </c>
      <c r="J101" s="33" t="s">
        <v>233</v>
      </c>
    </row>
    <row r="102" spans="1:10" ht="15.75" customHeight="1" x14ac:dyDescent="0.35">
      <c r="A102" s="106"/>
      <c r="B102" s="106"/>
      <c r="C102" s="106"/>
      <c r="D102" s="106"/>
      <c r="E102" s="13" t="s">
        <v>234</v>
      </c>
      <c r="F102" s="14" t="s">
        <v>235</v>
      </c>
      <c r="G102" s="15">
        <v>46478</v>
      </c>
      <c r="H102" s="15">
        <v>46507</v>
      </c>
      <c r="I102" s="16" t="s">
        <v>71</v>
      </c>
      <c r="J102" s="33" t="s">
        <v>94</v>
      </c>
    </row>
    <row r="103" spans="1:10" ht="15.75" customHeight="1" x14ac:dyDescent="0.35">
      <c r="A103" s="106"/>
      <c r="B103" s="106"/>
      <c r="C103" s="106"/>
      <c r="D103" s="106"/>
      <c r="E103" s="13" t="s">
        <v>236</v>
      </c>
      <c r="F103" s="14" t="s">
        <v>237</v>
      </c>
      <c r="G103" s="15">
        <v>46478</v>
      </c>
      <c r="H103" s="15">
        <v>46507</v>
      </c>
      <c r="I103" s="16" t="s">
        <v>71</v>
      </c>
      <c r="J103" s="33" t="s">
        <v>94</v>
      </c>
    </row>
    <row r="104" spans="1:10" ht="15.75" customHeight="1" x14ac:dyDescent="0.35">
      <c r="A104" s="106"/>
      <c r="B104" s="106"/>
      <c r="C104" s="106"/>
      <c r="D104" s="106"/>
      <c r="E104" s="13" t="s">
        <v>47</v>
      </c>
      <c r="F104" s="14" t="s">
        <v>48</v>
      </c>
      <c r="G104" s="15">
        <v>46478</v>
      </c>
      <c r="H104" s="15">
        <v>46507</v>
      </c>
      <c r="I104" s="16" t="s">
        <v>71</v>
      </c>
      <c r="J104" s="33" t="s">
        <v>238</v>
      </c>
    </row>
    <row r="105" spans="1:10" ht="15.75" customHeight="1" x14ac:dyDescent="0.35">
      <c r="A105" s="106"/>
      <c r="B105" s="106"/>
      <c r="C105" s="106"/>
      <c r="D105" s="106"/>
      <c r="E105" s="13" t="s">
        <v>49</v>
      </c>
      <c r="F105" s="14" t="s">
        <v>50</v>
      </c>
      <c r="G105" s="15">
        <v>46419</v>
      </c>
      <c r="H105" s="15">
        <v>46446</v>
      </c>
      <c r="I105" s="16" t="s">
        <v>71</v>
      </c>
      <c r="J105" s="33" t="s">
        <v>239</v>
      </c>
    </row>
    <row r="106" spans="1:10" ht="15.75" customHeight="1" x14ac:dyDescent="0.35">
      <c r="A106" s="106"/>
      <c r="B106" s="106"/>
      <c r="C106" s="106"/>
      <c r="D106" s="106"/>
      <c r="E106" s="13" t="s">
        <v>240</v>
      </c>
      <c r="F106" s="14" t="s">
        <v>241</v>
      </c>
      <c r="G106" s="15">
        <v>46419</v>
      </c>
      <c r="H106" s="15">
        <v>46446</v>
      </c>
      <c r="I106" s="16" t="s">
        <v>71</v>
      </c>
      <c r="J106" s="33" t="s">
        <v>242</v>
      </c>
    </row>
    <row r="107" spans="1:10" ht="15.75" customHeight="1" x14ac:dyDescent="0.35">
      <c r="A107" s="106"/>
      <c r="B107" s="106"/>
      <c r="C107" s="106"/>
      <c r="D107" s="106"/>
      <c r="E107" s="13" t="s">
        <v>243</v>
      </c>
      <c r="F107" s="14" t="s">
        <v>244</v>
      </c>
      <c r="G107" s="15">
        <v>46478</v>
      </c>
      <c r="H107" s="15">
        <v>46507</v>
      </c>
      <c r="I107" s="16" t="s">
        <v>71</v>
      </c>
      <c r="J107" s="33" t="s">
        <v>245</v>
      </c>
    </row>
    <row r="108" spans="1:10" ht="15.75" customHeight="1" x14ac:dyDescent="0.35">
      <c r="A108" s="106"/>
      <c r="B108" s="106"/>
      <c r="C108" s="106"/>
      <c r="D108" s="106"/>
      <c r="E108" s="13" t="s">
        <v>246</v>
      </c>
      <c r="F108" s="14" t="s">
        <v>247</v>
      </c>
      <c r="G108" s="15">
        <v>46357</v>
      </c>
      <c r="H108" s="15">
        <v>46387</v>
      </c>
      <c r="I108" s="16" t="s">
        <v>80</v>
      </c>
      <c r="J108" s="33"/>
    </row>
    <row r="109" spans="1:10" ht="15.75" hidden="1" customHeight="1" x14ac:dyDescent="0.35">
      <c r="A109" s="106"/>
      <c r="B109" s="106"/>
      <c r="C109" s="106"/>
      <c r="D109" s="106"/>
      <c r="E109" s="13" t="s">
        <v>248</v>
      </c>
      <c r="F109" s="14" t="s">
        <v>249</v>
      </c>
      <c r="G109" s="15">
        <v>46308</v>
      </c>
      <c r="H109" s="15">
        <v>46317</v>
      </c>
      <c r="I109" s="16" t="s">
        <v>15</v>
      </c>
      <c r="J109" s="33"/>
    </row>
    <row r="110" spans="1:10" ht="15.75" customHeight="1" x14ac:dyDescent="0.35">
      <c r="A110" s="106"/>
      <c r="B110" s="106"/>
      <c r="C110" s="106"/>
      <c r="D110" s="106"/>
      <c r="E110" s="13" t="s">
        <v>250</v>
      </c>
      <c r="F110" s="14" t="s">
        <v>251</v>
      </c>
      <c r="G110" s="15">
        <v>46357</v>
      </c>
      <c r="H110" s="15">
        <v>46387</v>
      </c>
      <c r="I110" s="16" t="s">
        <v>80</v>
      </c>
      <c r="J110" s="33"/>
    </row>
    <row r="111" spans="1:10" ht="15.75" hidden="1" customHeight="1" x14ac:dyDescent="0.35">
      <c r="A111" s="106"/>
      <c r="B111" s="106"/>
      <c r="C111" s="106"/>
      <c r="D111" s="106"/>
      <c r="E111" s="27" t="s">
        <v>51</v>
      </c>
      <c r="F111" s="14" t="s">
        <v>52</v>
      </c>
      <c r="G111" s="15">
        <v>46322</v>
      </c>
      <c r="H111" s="15">
        <v>46322</v>
      </c>
      <c r="I111" s="16" t="s">
        <v>15</v>
      </c>
      <c r="J111" s="33"/>
    </row>
    <row r="112" spans="1:10" ht="15.75" customHeight="1" x14ac:dyDescent="0.35">
      <c r="A112" s="106"/>
      <c r="B112" s="106"/>
      <c r="C112" s="106"/>
      <c r="D112" s="106"/>
      <c r="E112" s="13" t="s">
        <v>252</v>
      </c>
      <c r="F112" s="14" t="s">
        <v>253</v>
      </c>
      <c r="G112" s="15">
        <v>46357</v>
      </c>
      <c r="H112" s="15">
        <v>46387</v>
      </c>
      <c r="I112" s="16" t="s">
        <v>80</v>
      </c>
      <c r="J112" s="33" t="s">
        <v>254</v>
      </c>
    </row>
    <row r="113" spans="1:10" ht="15.75" customHeight="1" x14ac:dyDescent="0.35">
      <c r="A113" s="106"/>
      <c r="B113" s="106"/>
      <c r="C113" s="106"/>
      <c r="D113" s="106"/>
      <c r="E113" s="13" t="s">
        <v>255</v>
      </c>
      <c r="F113" s="14" t="s">
        <v>256</v>
      </c>
      <c r="G113" s="15">
        <v>46478</v>
      </c>
      <c r="H113" s="15">
        <v>46507</v>
      </c>
      <c r="I113" s="16" t="s">
        <v>71</v>
      </c>
      <c r="J113" s="104" t="s">
        <v>245</v>
      </c>
    </row>
    <row r="114" spans="1:10" ht="15.75" customHeight="1" x14ac:dyDescent="0.35">
      <c r="A114" s="106"/>
      <c r="B114" s="106"/>
      <c r="C114" s="106"/>
      <c r="D114" s="106"/>
      <c r="E114" s="13" t="s">
        <v>53</v>
      </c>
      <c r="F114" s="14" t="s">
        <v>54</v>
      </c>
      <c r="G114" s="15">
        <v>46357</v>
      </c>
      <c r="H114" s="15">
        <v>46387</v>
      </c>
      <c r="I114" s="16" t="s">
        <v>80</v>
      </c>
      <c r="J114" s="33"/>
    </row>
    <row r="115" spans="1:10" ht="15.75" hidden="1" customHeight="1" x14ac:dyDescent="0.35">
      <c r="A115" s="106"/>
      <c r="B115" s="106"/>
      <c r="C115" s="106"/>
      <c r="D115" s="106"/>
      <c r="E115" s="13" t="s">
        <v>257</v>
      </c>
      <c r="F115" s="14" t="s">
        <v>258</v>
      </c>
      <c r="G115" s="15">
        <v>46321</v>
      </c>
      <c r="H115" s="15">
        <v>46321</v>
      </c>
      <c r="I115" s="16" t="s">
        <v>15</v>
      </c>
      <c r="J115" s="33"/>
    </row>
    <row r="116" spans="1:10" ht="15.75" customHeight="1" x14ac:dyDescent="0.35">
      <c r="A116" s="106"/>
      <c r="B116" s="106"/>
      <c r="C116" s="106"/>
      <c r="D116" s="106"/>
      <c r="E116" s="13" t="s">
        <v>259</v>
      </c>
      <c r="F116" s="14" t="s">
        <v>260</v>
      </c>
      <c r="G116" s="15">
        <v>46478</v>
      </c>
      <c r="H116" s="15">
        <v>46507</v>
      </c>
      <c r="I116" s="16" t="s">
        <v>71</v>
      </c>
      <c r="J116" s="33" t="s">
        <v>245</v>
      </c>
    </row>
    <row r="117" spans="1:10" ht="15.75" hidden="1" customHeight="1" x14ac:dyDescent="0.35">
      <c r="A117" s="106"/>
      <c r="B117" s="106"/>
      <c r="C117" s="106"/>
      <c r="D117" s="106"/>
      <c r="E117" s="13" t="s">
        <v>261</v>
      </c>
      <c r="F117" s="14" t="s">
        <v>262</v>
      </c>
      <c r="G117" s="15">
        <v>46308</v>
      </c>
      <c r="H117" s="15">
        <v>46309</v>
      </c>
      <c r="I117" s="16" t="s">
        <v>15</v>
      </c>
      <c r="J117" s="33"/>
    </row>
    <row r="118" spans="1:10" ht="15.75" customHeight="1" x14ac:dyDescent="0.35">
      <c r="A118" s="106"/>
      <c r="B118" s="106"/>
      <c r="C118" s="106"/>
      <c r="D118" s="106"/>
      <c r="E118" s="13" t="s">
        <v>263</v>
      </c>
      <c r="F118" s="14" t="s">
        <v>264</v>
      </c>
      <c r="G118" s="15">
        <v>46478</v>
      </c>
      <c r="H118" s="15">
        <v>46507</v>
      </c>
      <c r="I118" s="16" t="s">
        <v>71</v>
      </c>
      <c r="J118" s="33" t="s">
        <v>265</v>
      </c>
    </row>
    <row r="119" spans="1:10" ht="15.75" customHeight="1" x14ac:dyDescent="0.35">
      <c r="A119" s="106"/>
      <c r="B119" s="106"/>
      <c r="C119" s="106"/>
      <c r="D119" s="106"/>
      <c r="E119" s="13" t="s">
        <v>266</v>
      </c>
      <c r="F119" s="14" t="s">
        <v>267</v>
      </c>
      <c r="G119" s="15">
        <v>46478</v>
      </c>
      <c r="H119" s="15">
        <v>46507</v>
      </c>
      <c r="I119" s="16" t="s">
        <v>71</v>
      </c>
      <c r="J119" s="33" t="s">
        <v>245</v>
      </c>
    </row>
    <row r="120" spans="1:10" ht="15.75" customHeight="1" x14ac:dyDescent="0.35">
      <c r="A120" s="106"/>
      <c r="B120" s="106"/>
      <c r="C120" s="106"/>
      <c r="D120" s="106"/>
      <c r="E120" s="13" t="s">
        <v>268</v>
      </c>
      <c r="F120" s="14" t="s">
        <v>269</v>
      </c>
      <c r="G120" s="15">
        <v>46478</v>
      </c>
      <c r="H120" s="15">
        <v>46507</v>
      </c>
      <c r="I120" s="16" t="s">
        <v>71</v>
      </c>
      <c r="J120" s="33" t="s">
        <v>245</v>
      </c>
    </row>
    <row r="121" spans="1:10" ht="15.75" customHeight="1" x14ac:dyDescent="0.35">
      <c r="A121" s="106"/>
      <c r="B121" s="106"/>
      <c r="C121" s="106"/>
      <c r="D121" s="106"/>
      <c r="E121" s="13" t="s">
        <v>270</v>
      </c>
      <c r="F121" s="14" t="s">
        <v>271</v>
      </c>
      <c r="G121" s="15">
        <v>46357</v>
      </c>
      <c r="H121" s="15">
        <v>46387</v>
      </c>
      <c r="I121" s="16" t="s">
        <v>80</v>
      </c>
      <c r="J121" s="33"/>
    </row>
    <row r="122" spans="1:10" ht="15.75" customHeight="1" x14ac:dyDescent="0.35">
      <c r="A122" s="106"/>
      <c r="B122" s="106"/>
      <c r="C122" s="106"/>
      <c r="D122" s="106"/>
      <c r="E122" s="28" t="s">
        <v>272</v>
      </c>
      <c r="F122" s="14" t="s">
        <v>273</v>
      </c>
      <c r="G122" s="15">
        <v>46478</v>
      </c>
      <c r="H122" s="15">
        <v>46507</v>
      </c>
      <c r="I122" s="16" t="s">
        <v>71</v>
      </c>
      <c r="J122" s="33" t="s">
        <v>274</v>
      </c>
    </row>
    <row r="123" spans="1:10" ht="15.75" customHeight="1" x14ac:dyDescent="0.35">
      <c r="A123" s="106"/>
      <c r="B123" s="106"/>
      <c r="C123" s="106"/>
      <c r="D123" s="106"/>
      <c r="E123" s="13" t="s">
        <v>275</v>
      </c>
      <c r="F123" s="14" t="s">
        <v>276</v>
      </c>
      <c r="G123" s="15">
        <v>46357</v>
      </c>
      <c r="H123" s="15">
        <v>46387</v>
      </c>
      <c r="I123" s="16" t="s">
        <v>80</v>
      </c>
      <c r="J123" s="33"/>
    </row>
    <row r="124" spans="1:10" ht="15.75" customHeight="1" x14ac:dyDescent="0.35">
      <c r="A124" s="106"/>
      <c r="B124" s="106"/>
      <c r="C124" s="106"/>
      <c r="D124" s="106"/>
      <c r="E124" s="13" t="s">
        <v>277</v>
      </c>
      <c r="F124" s="14" t="s">
        <v>278</v>
      </c>
      <c r="G124" s="15">
        <v>46478</v>
      </c>
      <c r="H124" s="15">
        <v>46507</v>
      </c>
      <c r="I124" s="16" t="s">
        <v>71</v>
      </c>
      <c r="J124" s="33" t="s">
        <v>279</v>
      </c>
    </row>
    <row r="125" spans="1:10" ht="15.75" customHeight="1" x14ac:dyDescent="0.35">
      <c r="A125" s="106"/>
      <c r="B125" s="106"/>
      <c r="C125" s="106"/>
      <c r="D125" s="106"/>
      <c r="E125" s="13" t="s">
        <v>280</v>
      </c>
      <c r="F125" s="14" t="s">
        <v>281</v>
      </c>
      <c r="G125" s="15">
        <v>46478</v>
      </c>
      <c r="H125" s="15">
        <v>46507</v>
      </c>
      <c r="I125" s="16" t="s">
        <v>71</v>
      </c>
      <c r="J125" s="33" t="s">
        <v>94</v>
      </c>
    </row>
    <row r="126" spans="1:10" ht="15.75" customHeight="1" x14ac:dyDescent="0.35">
      <c r="A126" s="106"/>
      <c r="B126" s="106"/>
      <c r="C126" s="106"/>
      <c r="D126" s="106"/>
      <c r="E126" s="13" t="s">
        <v>282</v>
      </c>
      <c r="F126" s="14" t="s">
        <v>283</v>
      </c>
      <c r="G126" s="15">
        <v>46478</v>
      </c>
      <c r="H126" s="15">
        <v>46507</v>
      </c>
      <c r="I126" s="16" t="s">
        <v>71</v>
      </c>
      <c r="J126" s="33" t="s">
        <v>94</v>
      </c>
    </row>
    <row r="127" spans="1:10" ht="15.75" customHeight="1" x14ac:dyDescent="0.35">
      <c r="A127" s="106"/>
      <c r="B127" s="106"/>
      <c r="C127" s="106"/>
      <c r="D127" s="106"/>
      <c r="E127" s="13" t="s">
        <v>284</v>
      </c>
      <c r="F127" s="14" t="s">
        <v>285</v>
      </c>
      <c r="G127" s="15">
        <v>46357</v>
      </c>
      <c r="H127" s="15">
        <v>46387</v>
      </c>
      <c r="I127" s="16" t="s">
        <v>80</v>
      </c>
      <c r="J127" s="33"/>
    </row>
    <row r="128" spans="1:10" ht="15.75" customHeight="1" x14ac:dyDescent="0.35">
      <c r="A128" s="106"/>
      <c r="B128" s="106"/>
      <c r="C128" s="106"/>
      <c r="D128" s="106"/>
      <c r="E128" s="28" t="s">
        <v>286</v>
      </c>
      <c r="F128" s="14" t="s">
        <v>287</v>
      </c>
      <c r="G128" s="15">
        <v>46357</v>
      </c>
      <c r="H128" s="15">
        <v>46387</v>
      </c>
      <c r="I128" s="16" t="s">
        <v>80</v>
      </c>
      <c r="J128" s="33"/>
    </row>
    <row r="129" spans="1:10" ht="15.75" hidden="1" customHeight="1" x14ac:dyDescent="0.35">
      <c r="A129" s="106"/>
      <c r="B129" s="106"/>
      <c r="C129" s="106"/>
      <c r="D129" s="106"/>
      <c r="E129" s="70" t="s">
        <v>288</v>
      </c>
      <c r="F129" s="14" t="s">
        <v>289</v>
      </c>
      <c r="G129" s="15">
        <v>46322</v>
      </c>
      <c r="H129" s="15">
        <v>46322</v>
      </c>
      <c r="I129" s="16" t="s">
        <v>15</v>
      </c>
      <c r="J129" s="33"/>
    </row>
    <row r="130" spans="1:10" ht="15.75" customHeight="1" x14ac:dyDescent="0.35">
      <c r="A130" s="106"/>
      <c r="B130" s="106"/>
      <c r="C130" s="106"/>
      <c r="D130" s="106"/>
      <c r="E130" s="70" t="s">
        <v>290</v>
      </c>
      <c r="F130" s="14" t="s">
        <v>291</v>
      </c>
      <c r="G130" s="15">
        <v>46508</v>
      </c>
      <c r="H130" s="15">
        <v>46538</v>
      </c>
      <c r="I130" s="16" t="s">
        <v>71</v>
      </c>
      <c r="J130" s="33" t="s">
        <v>292</v>
      </c>
    </row>
    <row r="131" spans="1:10" ht="15.75" hidden="1" customHeight="1" x14ac:dyDescent="0.35">
      <c r="A131" s="106"/>
      <c r="B131" s="106"/>
      <c r="C131" s="106"/>
      <c r="D131" s="106"/>
      <c r="E131" s="70" t="s">
        <v>293</v>
      </c>
      <c r="F131" s="14" t="s">
        <v>294</v>
      </c>
      <c r="G131" s="15">
        <v>46309</v>
      </c>
      <c r="H131" s="15">
        <v>46317</v>
      </c>
      <c r="I131" s="16" t="s">
        <v>15</v>
      </c>
      <c r="J131" s="33"/>
    </row>
    <row r="132" spans="1:10" ht="15.75" customHeight="1" x14ac:dyDescent="0.35">
      <c r="A132" s="106"/>
      <c r="B132" s="106"/>
      <c r="C132" s="106"/>
      <c r="D132" s="106"/>
      <c r="E132" s="70" t="s">
        <v>295</v>
      </c>
      <c r="F132" s="14" t="s">
        <v>296</v>
      </c>
      <c r="G132" s="15">
        <v>46357</v>
      </c>
      <c r="H132" s="15">
        <v>46387</v>
      </c>
      <c r="I132" s="16" t="s">
        <v>80</v>
      </c>
      <c r="J132" s="33" t="s">
        <v>297</v>
      </c>
    </row>
    <row r="133" spans="1:10" ht="15.75" customHeight="1" x14ac:dyDescent="0.35">
      <c r="A133" s="106"/>
      <c r="B133" s="106"/>
      <c r="C133" s="106"/>
      <c r="D133" s="106"/>
      <c r="E133" s="70" t="s">
        <v>298</v>
      </c>
      <c r="F133" s="14" t="s">
        <v>299</v>
      </c>
      <c r="G133" s="15">
        <v>46357</v>
      </c>
      <c r="H133" s="15">
        <v>46387</v>
      </c>
      <c r="I133" s="16" t="s">
        <v>80</v>
      </c>
      <c r="J133" s="33" t="s">
        <v>300</v>
      </c>
    </row>
    <row r="134" spans="1:10" ht="15.75" customHeight="1" x14ac:dyDescent="0.35">
      <c r="A134" s="106"/>
      <c r="B134" s="106"/>
      <c r="C134" s="106"/>
      <c r="D134" s="106"/>
      <c r="E134" s="71" t="s">
        <v>301</v>
      </c>
      <c r="F134" s="14" t="s">
        <v>302</v>
      </c>
      <c r="G134" s="15">
        <v>46388</v>
      </c>
      <c r="H134" s="15">
        <v>46418</v>
      </c>
      <c r="I134" s="16" t="s">
        <v>80</v>
      </c>
      <c r="J134" s="33" t="s">
        <v>303</v>
      </c>
    </row>
    <row r="135" spans="1:10" ht="15.75" customHeight="1" x14ac:dyDescent="0.35">
      <c r="A135" s="106"/>
      <c r="B135" s="106"/>
      <c r="C135" s="106"/>
      <c r="D135" s="106"/>
      <c r="E135" s="13" t="s">
        <v>304</v>
      </c>
      <c r="F135" s="14" t="s">
        <v>305</v>
      </c>
      <c r="G135" s="15">
        <v>46508</v>
      </c>
      <c r="H135" s="15">
        <v>46538</v>
      </c>
      <c r="I135" s="16" t="s">
        <v>71</v>
      </c>
      <c r="J135" s="33" t="s">
        <v>306</v>
      </c>
    </row>
    <row r="136" spans="1:10" ht="15.75" customHeight="1" x14ac:dyDescent="0.35">
      <c r="A136" s="106"/>
      <c r="B136" s="106"/>
      <c r="C136" s="106"/>
      <c r="D136" s="106"/>
      <c r="E136" s="28" t="s">
        <v>55</v>
      </c>
      <c r="F136" s="14" t="s">
        <v>56</v>
      </c>
      <c r="G136" s="15">
        <v>46388</v>
      </c>
      <c r="H136" s="15">
        <v>46418</v>
      </c>
      <c r="I136" s="16" t="s">
        <v>80</v>
      </c>
      <c r="J136" s="33"/>
    </row>
    <row r="137" spans="1:10" ht="15.75" customHeight="1" x14ac:dyDescent="0.35">
      <c r="A137" s="106"/>
      <c r="B137" s="106"/>
      <c r="C137" s="106"/>
      <c r="D137" s="106"/>
      <c r="E137" s="28" t="s">
        <v>307</v>
      </c>
      <c r="F137" s="14" t="s">
        <v>308</v>
      </c>
      <c r="G137" s="15">
        <v>46388</v>
      </c>
      <c r="H137" s="15">
        <v>46418</v>
      </c>
      <c r="I137" s="16" t="s">
        <v>80</v>
      </c>
      <c r="J137" s="33"/>
    </row>
    <row r="138" spans="1:10" ht="15.75" customHeight="1" x14ac:dyDescent="0.35">
      <c r="A138" s="106"/>
      <c r="B138" s="106"/>
      <c r="C138" s="106"/>
      <c r="D138" s="106"/>
      <c r="E138" s="71" t="s">
        <v>309</v>
      </c>
      <c r="F138" s="14" t="s">
        <v>310</v>
      </c>
      <c r="G138" s="15">
        <v>46508</v>
      </c>
      <c r="H138" s="15">
        <v>46538</v>
      </c>
      <c r="I138" s="16" t="s">
        <v>71</v>
      </c>
      <c r="J138" s="33" t="s">
        <v>245</v>
      </c>
    </row>
    <row r="139" spans="1:10" ht="15.75" customHeight="1" x14ac:dyDescent="0.35">
      <c r="A139" s="106"/>
      <c r="B139" s="106"/>
      <c r="C139" s="106"/>
      <c r="D139" s="106"/>
      <c r="E139" s="71" t="s">
        <v>311</v>
      </c>
      <c r="F139" s="14" t="s">
        <v>312</v>
      </c>
      <c r="G139" s="15">
        <v>46388</v>
      </c>
      <c r="H139" s="15">
        <v>46418</v>
      </c>
      <c r="I139" s="16" t="s">
        <v>80</v>
      </c>
      <c r="J139" s="33" t="s">
        <v>313</v>
      </c>
    </row>
    <row r="140" spans="1:10" ht="15.75" customHeight="1" x14ac:dyDescent="0.35">
      <c r="A140" s="106"/>
      <c r="B140" s="106"/>
      <c r="C140" s="106"/>
      <c r="D140" s="106"/>
      <c r="E140" s="71" t="s">
        <v>314</v>
      </c>
      <c r="F140" s="14" t="s">
        <v>315</v>
      </c>
      <c r="G140" s="15">
        <v>46388</v>
      </c>
      <c r="H140" s="15">
        <v>46418</v>
      </c>
      <c r="I140" s="16" t="s">
        <v>80</v>
      </c>
      <c r="J140" s="33" t="s">
        <v>316</v>
      </c>
    </row>
    <row r="141" spans="1:10" ht="15.75" customHeight="1" x14ac:dyDescent="0.35">
      <c r="A141" s="106"/>
      <c r="B141" s="106"/>
      <c r="C141" s="106"/>
      <c r="D141" s="106"/>
      <c r="E141" s="71" t="s">
        <v>317</v>
      </c>
      <c r="F141" s="14" t="s">
        <v>318</v>
      </c>
      <c r="G141" s="15">
        <v>46508</v>
      </c>
      <c r="H141" s="15">
        <v>46538</v>
      </c>
      <c r="I141" s="16" t="s">
        <v>71</v>
      </c>
      <c r="J141" s="33" t="s">
        <v>245</v>
      </c>
    </row>
    <row r="142" spans="1:10" ht="15.75" customHeight="1" x14ac:dyDescent="0.35">
      <c r="A142" s="106"/>
      <c r="B142" s="106"/>
      <c r="C142" s="106"/>
      <c r="D142" s="106"/>
      <c r="E142" s="28" t="s">
        <v>319</v>
      </c>
      <c r="F142" s="14" t="s">
        <v>320</v>
      </c>
      <c r="G142" s="15">
        <v>46388</v>
      </c>
      <c r="H142" s="15">
        <v>46418</v>
      </c>
      <c r="I142" s="16" t="s">
        <v>80</v>
      </c>
      <c r="J142" s="33" t="s">
        <v>321</v>
      </c>
    </row>
    <row r="143" spans="1:10" ht="15.75" customHeight="1" x14ac:dyDescent="0.35">
      <c r="A143" s="106"/>
      <c r="B143" s="106"/>
      <c r="C143" s="106"/>
      <c r="D143" s="106"/>
      <c r="E143" s="28" t="s">
        <v>322</v>
      </c>
      <c r="F143" s="14" t="s">
        <v>323</v>
      </c>
      <c r="G143" s="15">
        <v>46388</v>
      </c>
      <c r="H143" s="15">
        <v>46418</v>
      </c>
      <c r="I143" s="16" t="s">
        <v>80</v>
      </c>
      <c r="J143" s="33" t="s">
        <v>324</v>
      </c>
    </row>
    <row r="144" spans="1:10" ht="15.75" customHeight="1" x14ac:dyDescent="0.35">
      <c r="A144" s="106"/>
      <c r="B144" s="106"/>
      <c r="C144" s="106"/>
      <c r="D144" s="106"/>
      <c r="E144" s="28" t="s">
        <v>325</v>
      </c>
      <c r="F144" s="14" t="s">
        <v>326</v>
      </c>
      <c r="G144" s="15">
        <v>46388</v>
      </c>
      <c r="H144" s="15">
        <v>46418</v>
      </c>
      <c r="I144" s="16" t="s">
        <v>80</v>
      </c>
      <c r="J144" s="33" t="s">
        <v>327</v>
      </c>
    </row>
    <row r="145" spans="1:10" ht="15.75" customHeight="1" x14ac:dyDescent="0.35">
      <c r="A145" s="106"/>
      <c r="B145" s="106"/>
      <c r="C145" s="106"/>
      <c r="D145" s="106"/>
      <c r="E145" s="28" t="s">
        <v>328</v>
      </c>
      <c r="F145" s="14" t="s">
        <v>329</v>
      </c>
      <c r="G145" s="15">
        <v>46508</v>
      </c>
      <c r="H145" s="15">
        <v>46538</v>
      </c>
      <c r="I145" s="16" t="s">
        <v>71</v>
      </c>
      <c r="J145" s="33" t="s">
        <v>330</v>
      </c>
    </row>
    <row r="146" spans="1:10" ht="15.75" customHeight="1" x14ac:dyDescent="0.35">
      <c r="A146" s="106"/>
      <c r="B146" s="106"/>
      <c r="C146" s="106"/>
      <c r="D146" s="106"/>
      <c r="E146" s="28" t="s">
        <v>331</v>
      </c>
      <c r="F146" s="14" t="s">
        <v>332</v>
      </c>
      <c r="G146" s="15">
        <v>46508</v>
      </c>
      <c r="H146" s="15">
        <v>46538</v>
      </c>
      <c r="I146" s="16" t="s">
        <v>71</v>
      </c>
      <c r="J146" s="33" t="s">
        <v>94</v>
      </c>
    </row>
    <row r="147" spans="1:10" ht="15.75" customHeight="1" x14ac:dyDescent="0.35">
      <c r="A147" s="106"/>
      <c r="B147" s="106"/>
      <c r="C147" s="106"/>
      <c r="D147" s="106"/>
      <c r="E147" s="28" t="s">
        <v>333</v>
      </c>
      <c r="F147" s="14" t="s">
        <v>334</v>
      </c>
      <c r="G147" s="15">
        <v>46508</v>
      </c>
      <c r="H147" s="15">
        <v>46538</v>
      </c>
      <c r="I147" s="16" t="s">
        <v>71</v>
      </c>
      <c r="J147" s="33" t="s">
        <v>94</v>
      </c>
    </row>
    <row r="148" spans="1:10" ht="15.75" customHeight="1" x14ac:dyDescent="0.35">
      <c r="A148" s="106"/>
      <c r="B148" s="106"/>
      <c r="C148" s="106"/>
      <c r="D148" s="106"/>
      <c r="E148" s="28" t="s">
        <v>335</v>
      </c>
      <c r="F148" s="14" t="s">
        <v>336</v>
      </c>
      <c r="G148" s="15">
        <v>46508</v>
      </c>
      <c r="H148" s="15">
        <v>46538</v>
      </c>
      <c r="I148" s="16" t="s">
        <v>71</v>
      </c>
      <c r="J148" s="33" t="s">
        <v>337</v>
      </c>
    </row>
    <row r="149" spans="1:10" ht="15.75" customHeight="1" x14ac:dyDescent="0.35">
      <c r="A149" s="106"/>
      <c r="B149" s="106"/>
      <c r="C149" s="106"/>
      <c r="D149" s="106"/>
      <c r="E149" s="28" t="s">
        <v>338</v>
      </c>
      <c r="F149" s="14" t="s">
        <v>339</v>
      </c>
      <c r="G149" s="15">
        <v>46508</v>
      </c>
      <c r="H149" s="15">
        <v>46538</v>
      </c>
      <c r="I149" s="16" t="s">
        <v>71</v>
      </c>
      <c r="J149" s="33" t="s">
        <v>340</v>
      </c>
    </row>
    <row r="150" spans="1:10" ht="15.75" customHeight="1" x14ac:dyDescent="0.35">
      <c r="A150" s="106"/>
      <c r="B150" s="106"/>
      <c r="C150" s="106"/>
      <c r="D150" s="106"/>
      <c r="E150" s="28" t="s">
        <v>341</v>
      </c>
      <c r="F150" s="14" t="s">
        <v>342</v>
      </c>
      <c r="G150" s="15">
        <v>46388</v>
      </c>
      <c r="H150" s="15">
        <v>46418</v>
      </c>
      <c r="I150" s="16" t="s">
        <v>80</v>
      </c>
      <c r="J150" s="33"/>
    </row>
    <row r="151" spans="1:10" ht="15.75" customHeight="1" x14ac:dyDescent="0.35">
      <c r="A151" s="106"/>
      <c r="B151" s="106"/>
      <c r="C151" s="106"/>
      <c r="D151" s="106"/>
      <c r="E151" s="28" t="s">
        <v>343</v>
      </c>
      <c r="F151" s="14" t="s">
        <v>344</v>
      </c>
      <c r="G151" s="15">
        <v>46508</v>
      </c>
      <c r="H151" s="15">
        <v>46538</v>
      </c>
      <c r="I151" s="16" t="s">
        <v>71</v>
      </c>
      <c r="J151" s="33" t="s">
        <v>245</v>
      </c>
    </row>
    <row r="152" spans="1:10" ht="15.75" customHeight="1" x14ac:dyDescent="0.35">
      <c r="A152" s="106"/>
      <c r="B152" s="106"/>
      <c r="C152" s="106"/>
      <c r="D152" s="106"/>
      <c r="E152" s="28" t="s">
        <v>345</v>
      </c>
      <c r="F152" s="14" t="s">
        <v>346</v>
      </c>
      <c r="G152" s="15">
        <v>46388</v>
      </c>
      <c r="H152" s="15">
        <v>46418</v>
      </c>
      <c r="I152" s="16" t="s">
        <v>80</v>
      </c>
      <c r="J152" s="33"/>
    </row>
    <row r="153" spans="1:10" ht="15.75" customHeight="1" x14ac:dyDescent="0.35">
      <c r="A153" s="106"/>
      <c r="B153" s="106"/>
      <c r="C153" s="106"/>
      <c r="D153" s="106"/>
      <c r="E153" s="28" t="s">
        <v>347</v>
      </c>
      <c r="F153" s="14" t="s">
        <v>348</v>
      </c>
      <c r="G153" s="15">
        <v>46388</v>
      </c>
      <c r="H153" s="15">
        <v>46418</v>
      </c>
      <c r="I153" s="16" t="s">
        <v>80</v>
      </c>
      <c r="J153" s="33"/>
    </row>
    <row r="154" spans="1:10" ht="15.75" customHeight="1" x14ac:dyDescent="0.35">
      <c r="A154" s="106"/>
      <c r="B154" s="106"/>
      <c r="C154" s="106"/>
      <c r="D154" s="106"/>
      <c r="E154" s="28" t="s">
        <v>349</v>
      </c>
      <c r="F154" s="14" t="s">
        <v>350</v>
      </c>
      <c r="G154" s="15">
        <v>46508</v>
      </c>
      <c r="H154" s="15">
        <v>46538</v>
      </c>
      <c r="I154" s="16" t="s">
        <v>71</v>
      </c>
      <c r="J154" s="33" t="s">
        <v>351</v>
      </c>
    </row>
    <row r="155" spans="1:10" ht="15.75" customHeight="1" x14ac:dyDescent="0.35">
      <c r="A155" s="106"/>
      <c r="B155" s="106"/>
      <c r="C155" s="106"/>
      <c r="D155" s="106"/>
      <c r="E155" s="28" t="s">
        <v>352</v>
      </c>
      <c r="F155" s="14" t="s">
        <v>353</v>
      </c>
      <c r="G155" s="15">
        <v>46388</v>
      </c>
      <c r="H155" s="15">
        <v>46418</v>
      </c>
      <c r="I155" s="16" t="s">
        <v>80</v>
      </c>
      <c r="J155" s="33" t="s">
        <v>354</v>
      </c>
    </row>
    <row r="156" spans="1:10" ht="15.75" customHeight="1" x14ac:dyDescent="0.35">
      <c r="A156" s="106"/>
      <c r="B156" s="106"/>
      <c r="C156" s="106"/>
      <c r="D156" s="106"/>
      <c r="E156" s="28" t="s">
        <v>355</v>
      </c>
      <c r="F156" s="14" t="s">
        <v>356</v>
      </c>
      <c r="G156" s="15">
        <v>46508</v>
      </c>
      <c r="H156" s="15">
        <v>46538</v>
      </c>
      <c r="I156" s="16" t="s">
        <v>71</v>
      </c>
      <c r="J156" s="33" t="s">
        <v>357</v>
      </c>
    </row>
    <row r="157" spans="1:10" ht="15.75" customHeight="1" x14ac:dyDescent="0.35">
      <c r="A157" s="106"/>
      <c r="B157" s="106"/>
      <c r="C157" s="106"/>
      <c r="D157" s="106"/>
      <c r="E157" s="28" t="s">
        <v>358</v>
      </c>
      <c r="F157" s="14" t="s">
        <v>359</v>
      </c>
      <c r="G157" s="15">
        <v>46508</v>
      </c>
      <c r="H157" s="15">
        <v>46538</v>
      </c>
      <c r="I157" s="16" t="s">
        <v>71</v>
      </c>
      <c r="J157" s="33" t="s">
        <v>360</v>
      </c>
    </row>
    <row r="158" spans="1:10" ht="15.75" customHeight="1" x14ac:dyDescent="0.35">
      <c r="A158" s="106"/>
      <c r="B158" s="106"/>
      <c r="C158" s="106"/>
      <c r="D158" s="106"/>
      <c r="E158" s="28" t="s">
        <v>361</v>
      </c>
      <c r="F158" s="14" t="s">
        <v>362</v>
      </c>
      <c r="G158" s="15">
        <v>46388</v>
      </c>
      <c r="H158" s="15">
        <v>46418</v>
      </c>
      <c r="I158" s="16" t="s">
        <v>80</v>
      </c>
      <c r="J158" s="33"/>
    </row>
    <row r="159" spans="1:10" ht="15.75" customHeight="1" x14ac:dyDescent="0.35">
      <c r="A159" s="106"/>
      <c r="B159" s="106"/>
      <c r="C159" s="106"/>
      <c r="D159" s="106"/>
      <c r="E159" s="28" t="s">
        <v>363</v>
      </c>
      <c r="F159" s="14" t="s">
        <v>364</v>
      </c>
      <c r="G159" s="15">
        <v>46508</v>
      </c>
      <c r="H159" s="15">
        <v>46538</v>
      </c>
      <c r="I159" s="16" t="s">
        <v>71</v>
      </c>
      <c r="J159" s="33" t="s">
        <v>245</v>
      </c>
    </row>
    <row r="160" spans="1:10" ht="15.75" customHeight="1" x14ac:dyDescent="0.35">
      <c r="A160" s="106"/>
      <c r="B160" s="106"/>
      <c r="C160" s="106"/>
      <c r="D160" s="106"/>
      <c r="E160" s="28" t="s">
        <v>365</v>
      </c>
      <c r="F160" s="14" t="s">
        <v>366</v>
      </c>
      <c r="G160" s="15">
        <v>46388</v>
      </c>
      <c r="H160" s="15">
        <v>46418</v>
      </c>
      <c r="I160" s="16" t="s">
        <v>80</v>
      </c>
      <c r="J160" s="33"/>
    </row>
    <row r="161" spans="1:10" ht="15.75" customHeight="1" x14ac:dyDescent="0.35">
      <c r="A161" s="106"/>
      <c r="B161" s="106"/>
      <c r="C161" s="106"/>
      <c r="D161" s="106"/>
      <c r="E161" s="28" t="s">
        <v>367</v>
      </c>
      <c r="F161" s="14" t="s">
        <v>368</v>
      </c>
      <c r="G161" s="15">
        <v>46508</v>
      </c>
      <c r="H161" s="15">
        <v>46538</v>
      </c>
      <c r="I161" s="16" t="s">
        <v>71</v>
      </c>
      <c r="J161" s="33" t="s">
        <v>245</v>
      </c>
    </row>
    <row r="162" spans="1:10" ht="15.75" customHeight="1" x14ac:dyDescent="0.35">
      <c r="A162" s="107"/>
      <c r="B162" s="107"/>
      <c r="C162" s="107"/>
      <c r="D162" s="107"/>
      <c r="E162" s="28" t="s">
        <v>57</v>
      </c>
      <c r="F162" s="14" t="s">
        <v>58</v>
      </c>
      <c r="G162" s="15">
        <v>46388</v>
      </c>
      <c r="H162" s="15">
        <v>46418</v>
      </c>
      <c r="I162" s="16" t="s">
        <v>80</v>
      </c>
      <c r="J162" s="33"/>
    </row>
    <row r="163" spans="1:10" ht="15.75" hidden="1" customHeight="1" x14ac:dyDescent="0.35">
      <c r="A163" s="109" t="s">
        <v>9</v>
      </c>
      <c r="B163" s="105" t="s">
        <v>369</v>
      </c>
      <c r="C163" s="105" t="s">
        <v>370</v>
      </c>
      <c r="D163" s="105" t="s">
        <v>371</v>
      </c>
      <c r="E163" s="13" t="s">
        <v>67</v>
      </c>
      <c r="F163" s="14" t="s">
        <v>68</v>
      </c>
      <c r="G163" s="72">
        <v>46322</v>
      </c>
      <c r="H163" s="72">
        <v>46322</v>
      </c>
      <c r="I163" s="73" t="s">
        <v>15</v>
      </c>
      <c r="J163" s="33"/>
    </row>
    <row r="164" spans="1:10" ht="15.75" hidden="1" customHeight="1" x14ac:dyDescent="0.35">
      <c r="A164" s="106"/>
      <c r="B164" s="106"/>
      <c r="C164" s="106"/>
      <c r="D164" s="106"/>
      <c r="E164" s="13" t="s">
        <v>69</v>
      </c>
      <c r="F164" s="14" t="s">
        <v>70</v>
      </c>
      <c r="G164" s="72">
        <v>46317</v>
      </c>
      <c r="H164" s="72">
        <v>46317</v>
      </c>
      <c r="I164" s="73" t="s">
        <v>15</v>
      </c>
      <c r="J164" s="33"/>
    </row>
    <row r="165" spans="1:10" ht="15.75" hidden="1" customHeight="1" x14ac:dyDescent="0.35">
      <c r="A165" s="106"/>
      <c r="B165" s="106"/>
      <c r="C165" s="106"/>
      <c r="D165" s="106"/>
      <c r="E165" s="13" t="s">
        <v>73</v>
      </c>
      <c r="F165" s="14" t="s">
        <v>74</v>
      </c>
      <c r="G165" s="72">
        <v>46318</v>
      </c>
      <c r="H165" s="72">
        <v>46318</v>
      </c>
      <c r="I165" s="73" t="s">
        <v>15</v>
      </c>
      <c r="J165" s="33"/>
    </row>
    <row r="166" spans="1:10" ht="15.75" hidden="1" customHeight="1" x14ac:dyDescent="0.35">
      <c r="A166" s="106"/>
      <c r="B166" s="106"/>
      <c r="C166" s="106"/>
      <c r="D166" s="106"/>
      <c r="E166" s="13" t="s">
        <v>13</v>
      </c>
      <c r="F166" s="14" t="s">
        <v>14</v>
      </c>
      <c r="G166" s="15">
        <v>46315</v>
      </c>
      <c r="H166" s="15">
        <v>46315</v>
      </c>
      <c r="I166" s="16" t="s">
        <v>15</v>
      </c>
      <c r="J166" s="33"/>
    </row>
    <row r="167" spans="1:10" ht="15.75" customHeight="1" x14ac:dyDescent="0.35">
      <c r="A167" s="106"/>
      <c r="B167" s="106"/>
      <c r="C167" s="106"/>
      <c r="D167" s="106"/>
      <c r="E167" s="13" t="s">
        <v>75</v>
      </c>
      <c r="F167" s="14" t="s">
        <v>76</v>
      </c>
      <c r="G167" s="72">
        <v>46419</v>
      </c>
      <c r="H167" s="72">
        <v>46446</v>
      </c>
      <c r="I167" s="73" t="s">
        <v>71</v>
      </c>
      <c r="J167" s="33" t="s">
        <v>372</v>
      </c>
    </row>
    <row r="168" spans="1:10" ht="15.75" customHeight="1" x14ac:dyDescent="0.35">
      <c r="A168" s="106"/>
      <c r="B168" s="106"/>
      <c r="C168" s="106"/>
      <c r="D168" s="106"/>
      <c r="E168" s="13" t="s">
        <v>78</v>
      </c>
      <c r="F168" s="14" t="s">
        <v>79</v>
      </c>
      <c r="G168" s="72">
        <v>46419</v>
      </c>
      <c r="H168" s="72">
        <v>46446</v>
      </c>
      <c r="I168" s="73" t="s">
        <v>71</v>
      </c>
      <c r="J168" s="33" t="s">
        <v>372</v>
      </c>
    </row>
    <row r="169" spans="1:10" ht="15.75" customHeight="1" x14ac:dyDescent="0.35">
      <c r="A169" s="106"/>
      <c r="B169" s="106"/>
      <c r="C169" s="106"/>
      <c r="D169" s="106"/>
      <c r="E169" s="17" t="s">
        <v>16</v>
      </c>
      <c r="F169" s="14" t="s">
        <v>17</v>
      </c>
      <c r="G169" s="72">
        <v>46327</v>
      </c>
      <c r="H169" s="72">
        <v>46356</v>
      </c>
      <c r="I169" s="73" t="s">
        <v>80</v>
      </c>
      <c r="J169" s="33"/>
    </row>
    <row r="170" spans="1:10" ht="15.75" customHeight="1" x14ac:dyDescent="0.35">
      <c r="A170" s="106"/>
      <c r="B170" s="106"/>
      <c r="C170" s="106"/>
      <c r="D170" s="106"/>
      <c r="E170" s="13" t="s">
        <v>18</v>
      </c>
      <c r="F170" s="14" t="s">
        <v>19</v>
      </c>
      <c r="G170" s="72">
        <v>46419</v>
      </c>
      <c r="H170" s="72">
        <v>46446</v>
      </c>
      <c r="I170" s="73" t="s">
        <v>71</v>
      </c>
      <c r="J170" s="33" t="s">
        <v>372</v>
      </c>
    </row>
    <row r="171" spans="1:10" ht="15.75" hidden="1" customHeight="1" x14ac:dyDescent="0.35">
      <c r="A171" s="106"/>
      <c r="B171" s="106"/>
      <c r="C171" s="106"/>
      <c r="D171" s="106"/>
      <c r="E171" s="13" t="s">
        <v>81</v>
      </c>
      <c r="F171" s="14" t="s">
        <v>82</v>
      </c>
      <c r="G171" s="72">
        <v>46318</v>
      </c>
      <c r="H171" s="72">
        <v>46318</v>
      </c>
      <c r="I171" s="73" t="s">
        <v>15</v>
      </c>
      <c r="J171" s="33"/>
    </row>
    <row r="172" spans="1:10" ht="15.75" customHeight="1" x14ac:dyDescent="0.35">
      <c r="A172" s="106"/>
      <c r="B172" s="106"/>
      <c r="C172" s="106"/>
      <c r="D172" s="106"/>
      <c r="E172" s="13" t="s">
        <v>83</v>
      </c>
      <c r="F172" s="14" t="s">
        <v>84</v>
      </c>
      <c r="G172" s="72">
        <v>46419</v>
      </c>
      <c r="H172" s="72">
        <v>46446</v>
      </c>
      <c r="I172" s="73" t="s">
        <v>71</v>
      </c>
      <c r="J172" s="33" t="s">
        <v>372</v>
      </c>
    </row>
    <row r="173" spans="1:10" ht="15.75" customHeight="1" x14ac:dyDescent="0.35">
      <c r="A173" s="106"/>
      <c r="B173" s="106"/>
      <c r="C173" s="106"/>
      <c r="D173" s="106"/>
      <c r="E173" s="13" t="s">
        <v>20</v>
      </c>
      <c r="F173" s="14" t="s">
        <v>21</v>
      </c>
      <c r="G173" s="72">
        <v>46327</v>
      </c>
      <c r="H173" s="72">
        <v>46356</v>
      </c>
      <c r="I173" s="73" t="s">
        <v>80</v>
      </c>
      <c r="J173" s="33"/>
    </row>
    <row r="174" spans="1:10" ht="15.75" customHeight="1" x14ac:dyDescent="0.35">
      <c r="A174" s="106"/>
      <c r="B174" s="106"/>
      <c r="C174" s="106"/>
      <c r="D174" s="106"/>
      <c r="E174" s="13" t="s">
        <v>85</v>
      </c>
      <c r="F174" s="14" t="s">
        <v>86</v>
      </c>
      <c r="G174" s="72">
        <v>46419</v>
      </c>
      <c r="H174" s="72">
        <v>46446</v>
      </c>
      <c r="I174" s="73" t="s">
        <v>71</v>
      </c>
      <c r="J174" s="33" t="s">
        <v>372</v>
      </c>
    </row>
    <row r="175" spans="1:10" ht="15.75" hidden="1" customHeight="1" x14ac:dyDescent="0.35">
      <c r="A175" s="106"/>
      <c r="B175" s="106"/>
      <c r="C175" s="106"/>
      <c r="D175" s="106"/>
      <c r="E175" s="13" t="s">
        <v>88</v>
      </c>
      <c r="F175" s="14" t="s">
        <v>89</v>
      </c>
      <c r="G175" s="15">
        <v>46317</v>
      </c>
      <c r="H175" s="15">
        <v>46317</v>
      </c>
      <c r="I175" s="16" t="s">
        <v>15</v>
      </c>
      <c r="J175" s="33"/>
    </row>
    <row r="176" spans="1:10" ht="15.75" hidden="1" customHeight="1" x14ac:dyDescent="0.35">
      <c r="A176" s="106"/>
      <c r="B176" s="106"/>
      <c r="C176" s="106"/>
      <c r="D176" s="106"/>
      <c r="E176" s="13" t="s">
        <v>90</v>
      </c>
      <c r="F176" s="14" t="s">
        <v>91</v>
      </c>
      <c r="G176" s="15">
        <v>46309</v>
      </c>
      <c r="H176" s="15">
        <v>46309</v>
      </c>
      <c r="I176" s="16" t="s">
        <v>15</v>
      </c>
      <c r="J176" s="33"/>
    </row>
    <row r="177" spans="1:10" ht="15.75" customHeight="1" x14ac:dyDescent="0.35">
      <c r="A177" s="106"/>
      <c r="B177" s="106"/>
      <c r="C177" s="106"/>
      <c r="D177" s="106"/>
      <c r="E177" s="13" t="s">
        <v>92</v>
      </c>
      <c r="F177" s="14" t="s">
        <v>93</v>
      </c>
      <c r="G177" s="72">
        <v>46419</v>
      </c>
      <c r="H177" s="72">
        <v>46446</v>
      </c>
      <c r="I177" s="73" t="s">
        <v>71</v>
      </c>
      <c r="J177" s="33" t="s">
        <v>372</v>
      </c>
    </row>
    <row r="178" spans="1:10" ht="15.75" hidden="1" customHeight="1" x14ac:dyDescent="0.35">
      <c r="A178" s="106"/>
      <c r="B178" s="106"/>
      <c r="C178" s="106"/>
      <c r="D178" s="106"/>
      <c r="E178" s="13" t="s">
        <v>22</v>
      </c>
      <c r="F178" s="14" t="s">
        <v>23</v>
      </c>
      <c r="G178" s="15">
        <v>46309</v>
      </c>
      <c r="H178" s="15">
        <v>46309</v>
      </c>
      <c r="I178" s="16" t="s">
        <v>15</v>
      </c>
      <c r="J178" s="33"/>
    </row>
    <row r="179" spans="1:10" ht="15.75" customHeight="1" x14ac:dyDescent="0.35">
      <c r="A179" s="106"/>
      <c r="B179" s="106"/>
      <c r="C179" s="106"/>
      <c r="D179" s="106"/>
      <c r="E179" s="13" t="s">
        <v>96</v>
      </c>
      <c r="F179" s="14" t="s">
        <v>97</v>
      </c>
      <c r="G179" s="72">
        <v>46419</v>
      </c>
      <c r="H179" s="72">
        <v>46446</v>
      </c>
      <c r="I179" s="73" t="s">
        <v>71</v>
      </c>
      <c r="J179" s="33" t="s">
        <v>372</v>
      </c>
    </row>
    <row r="180" spans="1:10" ht="15.75" customHeight="1" x14ac:dyDescent="0.35">
      <c r="A180" s="106"/>
      <c r="B180" s="106"/>
      <c r="C180" s="106"/>
      <c r="D180" s="106"/>
      <c r="E180" s="13" t="s">
        <v>99</v>
      </c>
      <c r="F180" s="14" t="s">
        <v>100</v>
      </c>
      <c r="G180" s="72">
        <v>46419</v>
      </c>
      <c r="H180" s="72">
        <v>46446</v>
      </c>
      <c r="I180" s="73" t="s">
        <v>71</v>
      </c>
      <c r="J180" s="33" t="s">
        <v>372</v>
      </c>
    </row>
    <row r="181" spans="1:10" ht="15.75" hidden="1" customHeight="1" x14ac:dyDescent="0.35">
      <c r="A181" s="106"/>
      <c r="B181" s="106"/>
      <c r="C181" s="106"/>
      <c r="D181" s="106"/>
      <c r="E181" s="13" t="s">
        <v>102</v>
      </c>
      <c r="F181" s="14" t="s">
        <v>103</v>
      </c>
      <c r="G181" s="72">
        <v>46322</v>
      </c>
      <c r="H181" s="72">
        <v>46322</v>
      </c>
      <c r="I181" s="73" t="s">
        <v>15</v>
      </c>
      <c r="J181" s="33"/>
    </row>
    <row r="182" spans="1:10" ht="15.75" hidden="1" customHeight="1" x14ac:dyDescent="0.35">
      <c r="A182" s="106"/>
      <c r="B182" s="106"/>
      <c r="C182" s="106"/>
      <c r="D182" s="106"/>
      <c r="E182" s="13" t="s">
        <v>104</v>
      </c>
      <c r="F182" s="14" t="s">
        <v>105</v>
      </c>
      <c r="G182" s="15">
        <v>46309</v>
      </c>
      <c r="H182" s="15">
        <v>46309</v>
      </c>
      <c r="I182" s="16" t="s">
        <v>15</v>
      </c>
      <c r="J182" s="33"/>
    </row>
    <row r="183" spans="1:10" ht="15.75" customHeight="1" x14ac:dyDescent="0.35">
      <c r="A183" s="106"/>
      <c r="B183" s="106"/>
      <c r="C183" s="106"/>
      <c r="D183" s="106"/>
      <c r="E183" s="13" t="s">
        <v>24</v>
      </c>
      <c r="F183" s="14" t="s">
        <v>25</v>
      </c>
      <c r="G183" s="72">
        <v>46447</v>
      </c>
      <c r="H183" s="72">
        <v>46477</v>
      </c>
      <c r="I183" s="73" t="s">
        <v>71</v>
      </c>
      <c r="J183" s="33" t="s">
        <v>372</v>
      </c>
    </row>
    <row r="184" spans="1:10" ht="15.75" customHeight="1" x14ac:dyDescent="0.35">
      <c r="A184" s="106"/>
      <c r="B184" s="106"/>
      <c r="C184" s="106"/>
      <c r="D184" s="106"/>
      <c r="E184" s="13" t="s">
        <v>107</v>
      </c>
      <c r="F184" s="14" t="s">
        <v>108</v>
      </c>
      <c r="G184" s="72">
        <v>46447</v>
      </c>
      <c r="H184" s="72">
        <v>46477</v>
      </c>
      <c r="I184" s="73" t="s">
        <v>71</v>
      </c>
      <c r="J184" s="33" t="s">
        <v>372</v>
      </c>
    </row>
    <row r="185" spans="1:10" ht="15.75" customHeight="1" x14ac:dyDescent="0.35">
      <c r="A185" s="106"/>
      <c r="B185" s="106"/>
      <c r="C185" s="106"/>
      <c r="D185" s="106"/>
      <c r="E185" s="13" t="s">
        <v>110</v>
      </c>
      <c r="F185" s="14" t="s">
        <v>111</v>
      </c>
      <c r="G185" s="72">
        <v>46419</v>
      </c>
      <c r="H185" s="72">
        <v>46446</v>
      </c>
      <c r="I185" s="73" t="s">
        <v>71</v>
      </c>
      <c r="J185" s="33" t="s">
        <v>372</v>
      </c>
    </row>
    <row r="186" spans="1:10" ht="15.75" hidden="1" customHeight="1" x14ac:dyDescent="0.35">
      <c r="A186" s="106"/>
      <c r="B186" s="106"/>
      <c r="C186" s="106"/>
      <c r="D186" s="106"/>
      <c r="E186" s="13" t="s">
        <v>113</v>
      </c>
      <c r="F186" s="14" t="s">
        <v>114</v>
      </c>
      <c r="G186" s="72">
        <v>46322</v>
      </c>
      <c r="H186" s="72">
        <v>46322</v>
      </c>
      <c r="I186" s="73" t="s">
        <v>15</v>
      </c>
      <c r="J186" s="33"/>
    </row>
    <row r="187" spans="1:10" ht="15.75" hidden="1" customHeight="1" x14ac:dyDescent="0.35">
      <c r="A187" s="106"/>
      <c r="B187" s="106"/>
      <c r="C187" s="106"/>
      <c r="D187" s="106"/>
      <c r="E187" s="13" t="s">
        <v>115</v>
      </c>
      <c r="F187" s="14" t="s">
        <v>116</v>
      </c>
      <c r="G187" s="15">
        <v>46317</v>
      </c>
      <c r="H187" s="15">
        <v>46317</v>
      </c>
      <c r="I187" s="16" t="s">
        <v>15</v>
      </c>
      <c r="J187" s="33"/>
    </row>
    <row r="188" spans="1:10" ht="15.75" hidden="1" customHeight="1" x14ac:dyDescent="0.35">
      <c r="A188" s="106"/>
      <c r="B188" s="106"/>
      <c r="C188" s="106"/>
      <c r="D188" s="106"/>
      <c r="E188" s="13" t="s">
        <v>26</v>
      </c>
      <c r="F188" s="14" t="s">
        <v>27</v>
      </c>
      <c r="G188" s="72">
        <v>46321</v>
      </c>
      <c r="H188" s="72">
        <v>46321</v>
      </c>
      <c r="I188" s="73" t="s">
        <v>15</v>
      </c>
      <c r="J188" s="33"/>
    </row>
    <row r="189" spans="1:10" ht="15.75" hidden="1" customHeight="1" x14ac:dyDescent="0.35">
      <c r="A189" s="106"/>
      <c r="B189" s="106"/>
      <c r="C189" s="106"/>
      <c r="D189" s="106"/>
      <c r="E189" s="13" t="s">
        <v>29</v>
      </c>
      <c r="F189" s="14" t="s">
        <v>30</v>
      </c>
      <c r="G189" s="72">
        <v>46318</v>
      </c>
      <c r="H189" s="72">
        <v>46318</v>
      </c>
      <c r="I189" s="73" t="s">
        <v>15</v>
      </c>
      <c r="J189" s="33"/>
    </row>
    <row r="190" spans="1:10" ht="15.75" customHeight="1" x14ac:dyDescent="0.35">
      <c r="A190" s="106"/>
      <c r="B190" s="106"/>
      <c r="C190" s="106"/>
      <c r="D190" s="106"/>
      <c r="E190" s="13" t="s">
        <v>117</v>
      </c>
      <c r="F190" s="14" t="s">
        <v>118</v>
      </c>
      <c r="G190" s="72">
        <v>46327</v>
      </c>
      <c r="H190" s="72">
        <v>46356</v>
      </c>
      <c r="I190" s="73" t="s">
        <v>80</v>
      </c>
      <c r="J190" s="33"/>
    </row>
    <row r="191" spans="1:10" ht="15.75" hidden="1" customHeight="1" x14ac:dyDescent="0.35">
      <c r="A191" s="106"/>
      <c r="B191" s="106"/>
      <c r="C191" s="106"/>
      <c r="D191" s="106"/>
      <c r="E191" s="13" t="s">
        <v>31</v>
      </c>
      <c r="F191" s="14" t="s">
        <v>32</v>
      </c>
      <c r="G191" s="15">
        <v>46309</v>
      </c>
      <c r="H191" s="15">
        <v>46309</v>
      </c>
      <c r="I191" s="37" t="s">
        <v>15</v>
      </c>
      <c r="J191" s="33"/>
    </row>
    <row r="192" spans="1:10" ht="15.75" hidden="1" customHeight="1" x14ac:dyDescent="0.35">
      <c r="A192" s="106"/>
      <c r="B192" s="106"/>
      <c r="C192" s="106"/>
      <c r="D192" s="106"/>
      <c r="E192" s="13" t="s">
        <v>121</v>
      </c>
      <c r="F192" s="14" t="s">
        <v>122</v>
      </c>
      <c r="G192" s="48">
        <v>46309</v>
      </c>
      <c r="H192" s="48">
        <v>46309</v>
      </c>
      <c r="I192" s="49" t="s">
        <v>15</v>
      </c>
      <c r="J192" s="33"/>
    </row>
    <row r="193" spans="1:10" ht="15.75" hidden="1" customHeight="1" x14ac:dyDescent="0.35">
      <c r="A193" s="106"/>
      <c r="B193" s="106"/>
      <c r="C193" s="106"/>
      <c r="D193" s="106"/>
      <c r="E193" s="13" t="s">
        <v>123</v>
      </c>
      <c r="F193" s="14" t="s">
        <v>124</v>
      </c>
      <c r="G193" s="72">
        <v>46322</v>
      </c>
      <c r="H193" s="72">
        <v>46322</v>
      </c>
      <c r="I193" s="73" t="s">
        <v>15</v>
      </c>
      <c r="J193" s="33"/>
    </row>
    <row r="194" spans="1:10" ht="15.75" hidden="1" customHeight="1" x14ac:dyDescent="0.35">
      <c r="A194" s="106"/>
      <c r="B194" s="106"/>
      <c r="C194" s="106"/>
      <c r="D194" s="106"/>
      <c r="E194" s="13" t="s">
        <v>33</v>
      </c>
      <c r="F194" s="14" t="s">
        <v>34</v>
      </c>
      <c r="G194" s="72">
        <v>46318</v>
      </c>
      <c r="H194" s="72">
        <v>46318</v>
      </c>
      <c r="I194" s="73" t="s">
        <v>15</v>
      </c>
      <c r="J194" s="33"/>
    </row>
    <row r="195" spans="1:10" ht="15.75" customHeight="1" x14ac:dyDescent="0.35">
      <c r="A195" s="106"/>
      <c r="B195" s="106"/>
      <c r="C195" s="106"/>
      <c r="D195" s="106"/>
      <c r="E195" s="13" t="s">
        <v>126</v>
      </c>
      <c r="F195" s="14" t="s">
        <v>127</v>
      </c>
      <c r="G195" s="72">
        <v>46447</v>
      </c>
      <c r="H195" s="72">
        <v>46477</v>
      </c>
      <c r="I195" s="73" t="s">
        <v>71</v>
      </c>
      <c r="J195" s="33" t="s">
        <v>372</v>
      </c>
    </row>
    <row r="196" spans="1:10" ht="15.75" customHeight="1" x14ac:dyDescent="0.35">
      <c r="A196" s="106"/>
      <c r="B196" s="106"/>
      <c r="C196" s="106"/>
      <c r="D196" s="106"/>
      <c r="E196" s="13" t="s">
        <v>129</v>
      </c>
      <c r="F196" s="14" t="s">
        <v>130</v>
      </c>
      <c r="G196" s="72">
        <v>46327</v>
      </c>
      <c r="H196" s="72">
        <v>46356</v>
      </c>
      <c r="I196" s="73" t="s">
        <v>80</v>
      </c>
      <c r="J196" s="33"/>
    </row>
    <row r="197" spans="1:10" ht="15.75" customHeight="1" x14ac:dyDescent="0.35">
      <c r="A197" s="106"/>
      <c r="B197" s="106"/>
      <c r="C197" s="106"/>
      <c r="D197" s="106"/>
      <c r="E197" s="13" t="s">
        <v>132</v>
      </c>
      <c r="F197" s="14" t="s">
        <v>133</v>
      </c>
      <c r="G197" s="72">
        <v>46447</v>
      </c>
      <c r="H197" s="72">
        <v>46477</v>
      </c>
      <c r="I197" s="73" t="s">
        <v>71</v>
      </c>
      <c r="J197" s="33" t="s">
        <v>372</v>
      </c>
    </row>
    <row r="198" spans="1:10" ht="15.75" hidden="1" customHeight="1" x14ac:dyDescent="0.35">
      <c r="A198" s="106"/>
      <c r="B198" s="106"/>
      <c r="C198" s="106"/>
      <c r="D198" s="106"/>
      <c r="E198" s="13" t="s">
        <v>35</v>
      </c>
      <c r="F198" s="14" t="s">
        <v>36</v>
      </c>
      <c r="G198" s="72">
        <v>46317</v>
      </c>
      <c r="H198" s="72">
        <v>46317</v>
      </c>
      <c r="I198" s="73" t="s">
        <v>15</v>
      </c>
      <c r="J198" s="33"/>
    </row>
    <row r="199" spans="1:10" ht="15.75" hidden="1" customHeight="1" x14ac:dyDescent="0.35">
      <c r="A199" s="106"/>
      <c r="B199" s="106"/>
      <c r="C199" s="106"/>
      <c r="D199" s="106"/>
      <c r="E199" s="13" t="s">
        <v>135</v>
      </c>
      <c r="F199" s="14" t="s">
        <v>136</v>
      </c>
      <c r="G199" s="72">
        <v>46322</v>
      </c>
      <c r="H199" s="72">
        <v>46322</v>
      </c>
      <c r="I199" s="73" t="s">
        <v>15</v>
      </c>
      <c r="J199" s="33"/>
    </row>
    <row r="200" spans="1:10" ht="15.75" customHeight="1" x14ac:dyDescent="0.35">
      <c r="A200" s="106"/>
      <c r="B200" s="106"/>
      <c r="C200" s="106"/>
      <c r="D200" s="106"/>
      <c r="E200" s="13" t="s">
        <v>138</v>
      </c>
      <c r="F200" s="14" t="s">
        <v>139</v>
      </c>
      <c r="G200" s="72">
        <v>46447</v>
      </c>
      <c r="H200" s="72">
        <v>46477</v>
      </c>
      <c r="I200" s="73" t="s">
        <v>71</v>
      </c>
      <c r="J200" s="33" t="s">
        <v>372</v>
      </c>
    </row>
    <row r="201" spans="1:10" ht="15.75" customHeight="1" x14ac:dyDescent="0.35">
      <c r="A201" s="106"/>
      <c r="B201" s="106"/>
      <c r="C201" s="106"/>
      <c r="D201" s="106"/>
      <c r="E201" s="13" t="s">
        <v>141</v>
      </c>
      <c r="F201" s="14" t="s">
        <v>142</v>
      </c>
      <c r="G201" s="72">
        <v>46327</v>
      </c>
      <c r="H201" s="72">
        <v>46356</v>
      </c>
      <c r="I201" s="73" t="s">
        <v>80</v>
      </c>
      <c r="J201" s="33"/>
    </row>
    <row r="202" spans="1:10" ht="15.75" hidden="1" customHeight="1" x14ac:dyDescent="0.35">
      <c r="A202" s="106"/>
      <c r="B202" s="106"/>
      <c r="C202" s="106"/>
      <c r="D202" s="106"/>
      <c r="E202" s="13" t="s">
        <v>144</v>
      </c>
      <c r="F202" s="14" t="s">
        <v>145</v>
      </c>
      <c r="G202" s="72">
        <v>46318</v>
      </c>
      <c r="H202" s="72">
        <v>46318</v>
      </c>
      <c r="I202" s="73" t="s">
        <v>15</v>
      </c>
      <c r="J202" s="33"/>
    </row>
    <row r="203" spans="1:10" ht="15.75" customHeight="1" x14ac:dyDescent="0.35">
      <c r="A203" s="106"/>
      <c r="B203" s="106"/>
      <c r="C203" s="106"/>
      <c r="D203" s="106"/>
      <c r="E203" s="13" t="s">
        <v>146</v>
      </c>
      <c r="F203" s="14" t="s">
        <v>147</v>
      </c>
      <c r="G203" s="72">
        <v>46447</v>
      </c>
      <c r="H203" s="72">
        <v>46477</v>
      </c>
      <c r="I203" s="73" t="s">
        <v>71</v>
      </c>
      <c r="J203" s="33" t="s">
        <v>372</v>
      </c>
    </row>
    <row r="204" spans="1:10" ht="15.75" hidden="1" customHeight="1" x14ac:dyDescent="0.35">
      <c r="A204" s="106"/>
      <c r="B204" s="106"/>
      <c r="C204" s="106"/>
      <c r="D204" s="106"/>
      <c r="E204" s="13" t="s">
        <v>149</v>
      </c>
      <c r="F204" s="14" t="s">
        <v>150</v>
      </c>
      <c r="G204" s="72">
        <v>46317</v>
      </c>
      <c r="H204" s="72">
        <v>46317</v>
      </c>
      <c r="I204" s="73" t="s">
        <v>15</v>
      </c>
      <c r="J204" s="33"/>
    </row>
    <row r="205" spans="1:10" ht="15.75" customHeight="1" x14ac:dyDescent="0.35">
      <c r="A205" s="106"/>
      <c r="B205" s="106"/>
      <c r="C205" s="106"/>
      <c r="D205" s="106"/>
      <c r="E205" s="13" t="s">
        <v>152</v>
      </c>
      <c r="F205" s="14" t="s">
        <v>153</v>
      </c>
      <c r="G205" s="72">
        <v>46419</v>
      </c>
      <c r="H205" s="72">
        <v>46446</v>
      </c>
      <c r="I205" s="73" t="s">
        <v>71</v>
      </c>
      <c r="J205" s="33" t="s">
        <v>372</v>
      </c>
    </row>
    <row r="206" spans="1:10" ht="15.75" hidden="1" customHeight="1" x14ac:dyDescent="0.35">
      <c r="A206" s="106"/>
      <c r="B206" s="106"/>
      <c r="C206" s="106"/>
      <c r="D206" s="106"/>
      <c r="E206" s="13" t="s">
        <v>37</v>
      </c>
      <c r="F206" s="14" t="s">
        <v>38</v>
      </c>
      <c r="G206" s="72">
        <v>46317</v>
      </c>
      <c r="H206" s="72">
        <v>46317</v>
      </c>
      <c r="I206" s="73" t="s">
        <v>15</v>
      </c>
      <c r="J206" s="33"/>
    </row>
    <row r="207" spans="1:10" ht="15.75" hidden="1" customHeight="1" x14ac:dyDescent="0.35">
      <c r="A207" s="106"/>
      <c r="B207" s="106"/>
      <c r="C207" s="106"/>
      <c r="D207" s="106"/>
      <c r="E207" s="13" t="s">
        <v>39</v>
      </c>
      <c r="F207" s="14" t="s">
        <v>40</v>
      </c>
      <c r="G207" s="15">
        <v>46309</v>
      </c>
      <c r="H207" s="15">
        <v>46309</v>
      </c>
      <c r="I207" s="37" t="s">
        <v>15</v>
      </c>
      <c r="J207" s="33"/>
    </row>
    <row r="208" spans="1:10" ht="15.75" customHeight="1" x14ac:dyDescent="0.35">
      <c r="A208" s="106"/>
      <c r="B208" s="106"/>
      <c r="C208" s="106"/>
      <c r="D208" s="106"/>
      <c r="E208" s="13" t="s">
        <v>41</v>
      </c>
      <c r="F208" s="14" t="s">
        <v>42</v>
      </c>
      <c r="G208" s="72">
        <v>46327</v>
      </c>
      <c r="H208" s="72">
        <v>46356</v>
      </c>
      <c r="I208" s="73" t="s">
        <v>80</v>
      </c>
      <c r="J208" s="33"/>
    </row>
    <row r="209" spans="1:10" ht="15.75" customHeight="1" x14ac:dyDescent="0.35">
      <c r="A209" s="106"/>
      <c r="B209" s="106"/>
      <c r="C209" s="106"/>
      <c r="D209" s="106"/>
      <c r="E209" s="13" t="s">
        <v>156</v>
      </c>
      <c r="F209" s="14" t="s">
        <v>157</v>
      </c>
      <c r="G209" s="72">
        <v>46447</v>
      </c>
      <c r="H209" s="72">
        <v>46477</v>
      </c>
      <c r="I209" s="73" t="s">
        <v>71</v>
      </c>
      <c r="J209" s="33" t="s">
        <v>372</v>
      </c>
    </row>
    <row r="210" spans="1:10" ht="15.75" customHeight="1" x14ac:dyDescent="0.35">
      <c r="A210" s="106"/>
      <c r="B210" s="106"/>
      <c r="C210" s="106"/>
      <c r="D210" s="106"/>
      <c r="E210" s="13" t="s">
        <v>159</v>
      </c>
      <c r="F210" s="14" t="s">
        <v>160</v>
      </c>
      <c r="G210" s="72">
        <v>46447</v>
      </c>
      <c r="H210" s="72">
        <v>46477</v>
      </c>
      <c r="I210" s="73" t="s">
        <v>71</v>
      </c>
      <c r="J210" s="33" t="s">
        <v>372</v>
      </c>
    </row>
    <row r="211" spans="1:10" ht="15.75" customHeight="1" x14ac:dyDescent="0.35">
      <c r="A211" s="106"/>
      <c r="B211" s="106"/>
      <c r="C211" s="106"/>
      <c r="D211" s="106"/>
      <c r="E211" s="13" t="s">
        <v>43</v>
      </c>
      <c r="F211" s="14" t="s">
        <v>44</v>
      </c>
      <c r="G211" s="72">
        <v>46327</v>
      </c>
      <c r="H211" s="72">
        <v>46356</v>
      </c>
      <c r="I211" s="73" t="s">
        <v>80</v>
      </c>
      <c r="J211" s="33"/>
    </row>
    <row r="212" spans="1:10" ht="15.75" hidden="1" customHeight="1" x14ac:dyDescent="0.35">
      <c r="A212" s="106"/>
      <c r="B212" s="106"/>
      <c r="C212" s="106"/>
      <c r="D212" s="106"/>
      <c r="E212" s="13" t="s">
        <v>163</v>
      </c>
      <c r="F212" s="14" t="s">
        <v>164</v>
      </c>
      <c r="G212" s="72">
        <v>46318</v>
      </c>
      <c r="H212" s="72">
        <v>46318</v>
      </c>
      <c r="I212" s="73" t="s">
        <v>15</v>
      </c>
      <c r="J212" s="33"/>
    </row>
    <row r="213" spans="1:10" ht="15.75" customHeight="1" x14ac:dyDescent="0.35">
      <c r="A213" s="106"/>
      <c r="B213" s="106"/>
      <c r="C213" s="106"/>
      <c r="D213" s="106"/>
      <c r="E213" s="13" t="s">
        <v>165</v>
      </c>
      <c r="F213" s="14" t="s">
        <v>166</v>
      </c>
      <c r="G213" s="72">
        <v>46327</v>
      </c>
      <c r="H213" s="72">
        <v>46356</v>
      </c>
      <c r="I213" s="73" t="s">
        <v>80</v>
      </c>
      <c r="J213" s="33"/>
    </row>
    <row r="214" spans="1:10" ht="15.75" customHeight="1" x14ac:dyDescent="0.35">
      <c r="A214" s="106"/>
      <c r="B214" s="106"/>
      <c r="C214" s="106"/>
      <c r="D214" s="106"/>
      <c r="E214" s="13" t="s">
        <v>168</v>
      </c>
      <c r="F214" s="14" t="s">
        <v>169</v>
      </c>
      <c r="G214" s="72">
        <v>46327</v>
      </c>
      <c r="H214" s="72">
        <v>46356</v>
      </c>
      <c r="I214" s="73" t="s">
        <v>80</v>
      </c>
      <c r="J214" s="33"/>
    </row>
    <row r="215" spans="1:10" ht="15.75" customHeight="1" x14ac:dyDescent="0.35">
      <c r="A215" s="106"/>
      <c r="B215" s="106"/>
      <c r="C215" s="106"/>
      <c r="D215" s="106"/>
      <c r="E215" s="13" t="s">
        <v>171</v>
      </c>
      <c r="F215" s="14" t="s">
        <v>172</v>
      </c>
      <c r="G215" s="72">
        <v>46327</v>
      </c>
      <c r="H215" s="72">
        <v>46356</v>
      </c>
      <c r="I215" s="73" t="s">
        <v>80</v>
      </c>
      <c r="J215" s="33"/>
    </row>
    <row r="216" spans="1:10" ht="15.75" customHeight="1" x14ac:dyDescent="0.35">
      <c r="A216" s="106"/>
      <c r="B216" s="106"/>
      <c r="C216" s="106"/>
      <c r="D216" s="106"/>
      <c r="E216" s="13" t="s">
        <v>174</v>
      </c>
      <c r="F216" s="14" t="s">
        <v>175</v>
      </c>
      <c r="G216" s="72">
        <v>46327</v>
      </c>
      <c r="H216" s="72">
        <v>46356</v>
      </c>
      <c r="I216" s="73" t="s">
        <v>80</v>
      </c>
      <c r="J216" s="33"/>
    </row>
    <row r="217" spans="1:10" ht="15.75" customHeight="1" x14ac:dyDescent="0.35">
      <c r="A217" s="106"/>
      <c r="B217" s="106"/>
      <c r="C217" s="106"/>
      <c r="D217" s="106"/>
      <c r="E217" s="13" t="s">
        <v>177</v>
      </c>
      <c r="F217" s="14" t="s">
        <v>178</v>
      </c>
      <c r="G217" s="72">
        <v>46327</v>
      </c>
      <c r="H217" s="72">
        <v>46356</v>
      </c>
      <c r="I217" s="73" t="s">
        <v>80</v>
      </c>
      <c r="J217" s="33"/>
    </row>
    <row r="218" spans="1:10" ht="15.75" customHeight="1" x14ac:dyDescent="0.35">
      <c r="A218" s="106"/>
      <c r="B218" s="106"/>
      <c r="C218" s="106"/>
      <c r="D218" s="106"/>
      <c r="E218" s="13" t="s">
        <v>180</v>
      </c>
      <c r="F218" s="14" t="s">
        <v>181</v>
      </c>
      <c r="G218" s="72">
        <v>46447</v>
      </c>
      <c r="H218" s="72">
        <v>46477</v>
      </c>
      <c r="I218" s="73" t="s">
        <v>71</v>
      </c>
      <c r="J218" s="33" t="s">
        <v>372</v>
      </c>
    </row>
    <row r="219" spans="1:10" ht="15.75" customHeight="1" x14ac:dyDescent="0.35">
      <c r="A219" s="106"/>
      <c r="B219" s="106"/>
      <c r="C219" s="106"/>
      <c r="D219" s="106"/>
      <c r="E219" s="13" t="s">
        <v>183</v>
      </c>
      <c r="F219" s="14" t="s">
        <v>184</v>
      </c>
      <c r="G219" s="72">
        <v>46327</v>
      </c>
      <c r="H219" s="72">
        <v>46356</v>
      </c>
      <c r="I219" s="73" t="s">
        <v>80</v>
      </c>
      <c r="J219" s="33"/>
    </row>
    <row r="220" spans="1:10" ht="15.75" customHeight="1" x14ac:dyDescent="0.35">
      <c r="A220" s="106"/>
      <c r="B220" s="106"/>
      <c r="C220" s="106"/>
      <c r="D220" s="106"/>
      <c r="E220" s="13" t="s">
        <v>186</v>
      </c>
      <c r="F220" s="14" t="s">
        <v>187</v>
      </c>
      <c r="G220" s="72">
        <v>46447</v>
      </c>
      <c r="H220" s="72">
        <v>46477</v>
      </c>
      <c r="I220" s="73" t="s">
        <v>71</v>
      </c>
      <c r="J220" s="33" t="s">
        <v>188</v>
      </c>
    </row>
    <row r="221" spans="1:10" ht="15.75" customHeight="1" x14ac:dyDescent="0.35">
      <c r="A221" s="106"/>
      <c r="B221" s="106"/>
      <c r="C221" s="106"/>
      <c r="D221" s="106"/>
      <c r="E221" s="13" t="s">
        <v>189</v>
      </c>
      <c r="F221" s="14" t="s">
        <v>190</v>
      </c>
      <c r="G221" s="72">
        <v>46447</v>
      </c>
      <c r="H221" s="72">
        <v>46477</v>
      </c>
      <c r="I221" s="73" t="s">
        <v>71</v>
      </c>
      <c r="J221" s="33" t="s">
        <v>188</v>
      </c>
    </row>
    <row r="222" spans="1:10" ht="15.75" customHeight="1" x14ac:dyDescent="0.35">
      <c r="A222" s="106"/>
      <c r="B222" s="106"/>
      <c r="C222" s="106"/>
      <c r="D222" s="106"/>
      <c r="E222" s="13" t="s">
        <v>191</v>
      </c>
      <c r="F222" s="14" t="s">
        <v>192</v>
      </c>
      <c r="G222" s="72">
        <v>46419</v>
      </c>
      <c r="H222" s="72">
        <v>46446</v>
      </c>
      <c r="I222" s="73" t="s">
        <v>71</v>
      </c>
      <c r="J222" s="33" t="s">
        <v>188</v>
      </c>
    </row>
    <row r="223" spans="1:10" ht="15.75" customHeight="1" x14ac:dyDescent="0.35">
      <c r="A223" s="106"/>
      <c r="B223" s="106"/>
      <c r="C223" s="106"/>
      <c r="D223" s="106"/>
      <c r="E223" s="13" t="s">
        <v>194</v>
      </c>
      <c r="F223" s="14" t="s">
        <v>195</v>
      </c>
      <c r="G223" s="72">
        <v>46447</v>
      </c>
      <c r="H223" s="72">
        <v>46477</v>
      </c>
      <c r="I223" s="73" t="s">
        <v>71</v>
      </c>
      <c r="J223" s="33" t="s">
        <v>188</v>
      </c>
    </row>
    <row r="224" spans="1:10" ht="15.75" customHeight="1" x14ac:dyDescent="0.35">
      <c r="A224" s="106"/>
      <c r="B224" s="106"/>
      <c r="C224" s="106"/>
      <c r="D224" s="106"/>
      <c r="E224" s="13" t="s">
        <v>197</v>
      </c>
      <c r="F224" s="14" t="s">
        <v>198</v>
      </c>
      <c r="G224" s="72">
        <v>46327</v>
      </c>
      <c r="H224" s="72">
        <v>46356</v>
      </c>
      <c r="I224" s="73" t="s">
        <v>80</v>
      </c>
      <c r="J224" s="33"/>
    </row>
    <row r="225" spans="1:10" ht="15.75" customHeight="1" x14ac:dyDescent="0.35">
      <c r="A225" s="106"/>
      <c r="B225" s="106"/>
      <c r="C225" s="106"/>
      <c r="D225" s="106"/>
      <c r="E225" s="13" t="s">
        <v>200</v>
      </c>
      <c r="F225" s="14" t="s">
        <v>201</v>
      </c>
      <c r="G225" s="72">
        <v>46447</v>
      </c>
      <c r="H225" s="72">
        <v>46477</v>
      </c>
      <c r="I225" s="73" t="s">
        <v>71</v>
      </c>
      <c r="J225" s="33" t="s">
        <v>188</v>
      </c>
    </row>
    <row r="226" spans="1:10" ht="15.75" customHeight="1" x14ac:dyDescent="0.35">
      <c r="A226" s="106"/>
      <c r="B226" s="106"/>
      <c r="C226" s="106"/>
      <c r="D226" s="106"/>
      <c r="E226" s="13" t="s">
        <v>202</v>
      </c>
      <c r="F226" s="14" t="s">
        <v>203</v>
      </c>
      <c r="G226" s="72">
        <v>46327</v>
      </c>
      <c r="H226" s="72">
        <v>46356</v>
      </c>
      <c r="I226" s="73" t="s">
        <v>80</v>
      </c>
      <c r="J226" s="33"/>
    </row>
    <row r="227" spans="1:10" ht="15.75" customHeight="1" x14ac:dyDescent="0.35">
      <c r="A227" s="106"/>
      <c r="B227" s="106"/>
      <c r="C227" s="106"/>
      <c r="D227" s="106"/>
      <c r="E227" s="13" t="s">
        <v>205</v>
      </c>
      <c r="F227" s="14" t="s">
        <v>206</v>
      </c>
      <c r="G227" s="72">
        <v>46447</v>
      </c>
      <c r="H227" s="72">
        <v>46477</v>
      </c>
      <c r="I227" s="73" t="s">
        <v>71</v>
      </c>
      <c r="J227" s="33" t="s">
        <v>188</v>
      </c>
    </row>
    <row r="228" spans="1:10" ht="15.75" customHeight="1" x14ac:dyDescent="0.35">
      <c r="A228" s="106"/>
      <c r="B228" s="106"/>
      <c r="C228" s="106"/>
      <c r="D228" s="106"/>
      <c r="E228" s="13" t="s">
        <v>208</v>
      </c>
      <c r="F228" s="14" t="s">
        <v>209</v>
      </c>
      <c r="G228" s="72">
        <v>46357</v>
      </c>
      <c r="H228" s="72">
        <v>46387</v>
      </c>
      <c r="I228" s="73" t="s">
        <v>80</v>
      </c>
      <c r="J228" s="33"/>
    </row>
    <row r="229" spans="1:10" ht="15.75" customHeight="1" x14ac:dyDescent="0.35">
      <c r="A229" s="106"/>
      <c r="B229" s="106"/>
      <c r="C229" s="106"/>
      <c r="D229" s="106"/>
      <c r="E229" s="13" t="s">
        <v>211</v>
      </c>
      <c r="F229" s="14" t="s">
        <v>212</v>
      </c>
      <c r="G229" s="72">
        <v>46357</v>
      </c>
      <c r="H229" s="72">
        <v>46387</v>
      </c>
      <c r="I229" s="73" t="s">
        <v>80</v>
      </c>
      <c r="J229" s="33"/>
    </row>
    <row r="230" spans="1:10" ht="15.75" customHeight="1" x14ac:dyDescent="0.35">
      <c r="A230" s="106"/>
      <c r="B230" s="106"/>
      <c r="C230" s="106"/>
      <c r="D230" s="106"/>
      <c r="E230" s="13" t="s">
        <v>45</v>
      </c>
      <c r="F230" s="14" t="s">
        <v>46</v>
      </c>
      <c r="G230" s="72">
        <v>46419</v>
      </c>
      <c r="H230" s="72">
        <v>46446</v>
      </c>
      <c r="I230" s="73" t="s">
        <v>71</v>
      </c>
      <c r="J230" s="33" t="s">
        <v>188</v>
      </c>
    </row>
    <row r="231" spans="1:10" ht="15.75" hidden="1" customHeight="1" x14ac:dyDescent="0.35">
      <c r="A231" s="106"/>
      <c r="B231" s="106"/>
      <c r="C231" s="106"/>
      <c r="D231" s="106"/>
      <c r="E231" s="13" t="s">
        <v>215</v>
      </c>
      <c r="F231" s="14" t="s">
        <v>216</v>
      </c>
      <c r="G231" s="72">
        <v>46321</v>
      </c>
      <c r="H231" s="72">
        <v>46321</v>
      </c>
      <c r="I231" s="73" t="s">
        <v>15</v>
      </c>
      <c r="J231" s="33"/>
    </row>
    <row r="232" spans="1:10" ht="15.75" customHeight="1" x14ac:dyDescent="0.35">
      <c r="A232" s="106"/>
      <c r="B232" s="106"/>
      <c r="C232" s="106"/>
      <c r="D232" s="106"/>
      <c r="E232" s="13" t="s">
        <v>217</v>
      </c>
      <c r="F232" s="14" t="s">
        <v>218</v>
      </c>
      <c r="G232" s="72">
        <v>46357</v>
      </c>
      <c r="H232" s="72">
        <v>46387</v>
      </c>
      <c r="I232" s="73" t="s">
        <v>80</v>
      </c>
      <c r="J232" s="33"/>
    </row>
    <row r="233" spans="1:10" ht="15.75" customHeight="1" x14ac:dyDescent="0.35">
      <c r="A233" s="106"/>
      <c r="B233" s="106"/>
      <c r="C233" s="106"/>
      <c r="D233" s="106"/>
      <c r="E233" s="13" t="s">
        <v>220</v>
      </c>
      <c r="F233" s="14" t="s">
        <v>221</v>
      </c>
      <c r="G233" s="72">
        <v>46419</v>
      </c>
      <c r="H233" s="72">
        <v>46446</v>
      </c>
      <c r="I233" s="73" t="s">
        <v>71</v>
      </c>
      <c r="J233" s="33" t="s">
        <v>373</v>
      </c>
    </row>
    <row r="234" spans="1:10" ht="15.75" hidden="1" customHeight="1" x14ac:dyDescent="0.35">
      <c r="A234" s="106"/>
      <c r="B234" s="106"/>
      <c r="C234" s="106"/>
      <c r="D234" s="106"/>
      <c r="E234" s="13" t="s">
        <v>223</v>
      </c>
      <c r="F234" s="14" t="s">
        <v>224</v>
      </c>
      <c r="G234" s="72">
        <v>46318</v>
      </c>
      <c r="H234" s="72">
        <v>46318</v>
      </c>
      <c r="I234" s="73" t="s">
        <v>15</v>
      </c>
      <c r="J234" s="33"/>
    </row>
    <row r="235" spans="1:10" ht="15.75" customHeight="1" x14ac:dyDescent="0.35">
      <c r="A235" s="106"/>
      <c r="B235" s="106"/>
      <c r="C235" s="106"/>
      <c r="D235" s="106"/>
      <c r="E235" s="13" t="s">
        <v>225</v>
      </c>
      <c r="F235" s="14" t="s">
        <v>226</v>
      </c>
      <c r="G235" s="72">
        <v>46357</v>
      </c>
      <c r="H235" s="72">
        <v>46387</v>
      </c>
      <c r="I235" s="73" t="s">
        <v>80</v>
      </c>
      <c r="J235" s="33"/>
    </row>
    <row r="236" spans="1:10" ht="15.75" customHeight="1" x14ac:dyDescent="0.35">
      <c r="A236" s="106"/>
      <c r="B236" s="106"/>
      <c r="C236" s="106"/>
      <c r="D236" s="106"/>
      <c r="E236" s="13" t="s">
        <v>228</v>
      </c>
      <c r="F236" s="14" t="s">
        <v>229</v>
      </c>
      <c r="G236" s="72">
        <v>46447</v>
      </c>
      <c r="H236" s="72">
        <v>46477</v>
      </c>
      <c r="I236" s="73" t="s">
        <v>71</v>
      </c>
      <c r="J236" s="33" t="s">
        <v>188</v>
      </c>
    </row>
    <row r="237" spans="1:10" ht="15.75" customHeight="1" x14ac:dyDescent="0.35">
      <c r="A237" s="106"/>
      <c r="B237" s="106"/>
      <c r="C237" s="106"/>
      <c r="D237" s="106"/>
      <c r="E237" s="13" t="s">
        <v>231</v>
      </c>
      <c r="F237" s="14" t="s">
        <v>232</v>
      </c>
      <c r="G237" s="72">
        <v>46357</v>
      </c>
      <c r="H237" s="72">
        <v>46387</v>
      </c>
      <c r="I237" s="73" t="s">
        <v>80</v>
      </c>
      <c r="J237" s="33"/>
    </row>
    <row r="238" spans="1:10" ht="15.75" customHeight="1" x14ac:dyDescent="0.35">
      <c r="A238" s="106"/>
      <c r="B238" s="106"/>
      <c r="C238" s="106"/>
      <c r="D238" s="106"/>
      <c r="E238" s="13" t="s">
        <v>234</v>
      </c>
      <c r="F238" s="14" t="s">
        <v>235</v>
      </c>
      <c r="G238" s="72">
        <v>46478</v>
      </c>
      <c r="H238" s="72">
        <v>46507</v>
      </c>
      <c r="I238" s="73" t="s">
        <v>71</v>
      </c>
      <c r="J238" s="33" t="s">
        <v>188</v>
      </c>
    </row>
    <row r="239" spans="1:10" ht="15.75" customHeight="1" x14ac:dyDescent="0.35">
      <c r="A239" s="106"/>
      <c r="B239" s="106"/>
      <c r="C239" s="106"/>
      <c r="D239" s="106"/>
      <c r="E239" s="13" t="s">
        <v>236</v>
      </c>
      <c r="F239" s="14" t="s">
        <v>237</v>
      </c>
      <c r="G239" s="72">
        <v>46478</v>
      </c>
      <c r="H239" s="72">
        <v>46507</v>
      </c>
      <c r="I239" s="73" t="s">
        <v>71</v>
      </c>
      <c r="J239" s="33" t="s">
        <v>188</v>
      </c>
    </row>
    <row r="240" spans="1:10" ht="15.75" customHeight="1" x14ac:dyDescent="0.35">
      <c r="A240" s="106"/>
      <c r="B240" s="106"/>
      <c r="C240" s="106"/>
      <c r="D240" s="106"/>
      <c r="E240" s="13" t="s">
        <v>47</v>
      </c>
      <c r="F240" s="14" t="s">
        <v>48</v>
      </c>
      <c r="G240" s="72">
        <v>46478</v>
      </c>
      <c r="H240" s="72">
        <v>46507</v>
      </c>
      <c r="I240" s="73" t="s">
        <v>71</v>
      </c>
      <c r="J240" s="33" t="s">
        <v>188</v>
      </c>
    </row>
    <row r="241" spans="1:10" ht="15.75" customHeight="1" x14ac:dyDescent="0.35">
      <c r="A241" s="106"/>
      <c r="B241" s="106"/>
      <c r="C241" s="106"/>
      <c r="D241" s="106"/>
      <c r="E241" s="13" t="s">
        <v>49</v>
      </c>
      <c r="F241" s="14" t="s">
        <v>50</v>
      </c>
      <c r="G241" s="72">
        <v>46419</v>
      </c>
      <c r="H241" s="72">
        <v>46446</v>
      </c>
      <c r="I241" s="73" t="s">
        <v>71</v>
      </c>
      <c r="J241" s="33" t="s">
        <v>188</v>
      </c>
    </row>
    <row r="242" spans="1:10" ht="15.75" customHeight="1" x14ac:dyDescent="0.35">
      <c r="A242" s="106"/>
      <c r="B242" s="106"/>
      <c r="C242" s="106"/>
      <c r="D242" s="106"/>
      <c r="E242" s="13" t="s">
        <v>240</v>
      </c>
      <c r="F242" s="14" t="s">
        <v>241</v>
      </c>
      <c r="G242" s="72">
        <v>46419</v>
      </c>
      <c r="H242" s="72">
        <v>46446</v>
      </c>
      <c r="I242" s="73" t="s">
        <v>71</v>
      </c>
      <c r="J242" s="33" t="s">
        <v>188</v>
      </c>
    </row>
    <row r="243" spans="1:10" ht="15.75" customHeight="1" x14ac:dyDescent="0.35">
      <c r="A243" s="106"/>
      <c r="B243" s="106"/>
      <c r="C243" s="106"/>
      <c r="D243" s="106"/>
      <c r="E243" s="13" t="s">
        <v>243</v>
      </c>
      <c r="F243" s="14" t="s">
        <v>244</v>
      </c>
      <c r="G243" s="72">
        <v>46478</v>
      </c>
      <c r="H243" s="72">
        <v>46507</v>
      </c>
      <c r="I243" s="73" t="s">
        <v>71</v>
      </c>
      <c r="J243" s="33" t="s">
        <v>188</v>
      </c>
    </row>
    <row r="244" spans="1:10" ht="15.75" customHeight="1" x14ac:dyDescent="0.35">
      <c r="A244" s="106"/>
      <c r="B244" s="106"/>
      <c r="C244" s="106"/>
      <c r="D244" s="106"/>
      <c r="E244" s="13" t="s">
        <v>246</v>
      </c>
      <c r="F244" s="14" t="s">
        <v>247</v>
      </c>
      <c r="G244" s="72">
        <v>46357</v>
      </c>
      <c r="H244" s="72">
        <v>46387</v>
      </c>
      <c r="I244" s="73" t="s">
        <v>80</v>
      </c>
      <c r="J244" s="33"/>
    </row>
    <row r="245" spans="1:10" ht="15.75" customHeight="1" x14ac:dyDescent="0.35">
      <c r="A245" s="106"/>
      <c r="B245" s="106"/>
      <c r="C245" s="106"/>
      <c r="D245" s="106"/>
      <c r="E245" s="13" t="s">
        <v>248</v>
      </c>
      <c r="F245" s="14" t="s">
        <v>249</v>
      </c>
      <c r="G245" s="72">
        <v>46478</v>
      </c>
      <c r="H245" s="72">
        <v>46507</v>
      </c>
      <c r="I245" s="73" t="s">
        <v>71</v>
      </c>
      <c r="J245" s="33" t="s">
        <v>188</v>
      </c>
    </row>
    <row r="246" spans="1:10" ht="15.75" customHeight="1" x14ac:dyDescent="0.35">
      <c r="A246" s="106"/>
      <c r="B246" s="106"/>
      <c r="C246" s="106"/>
      <c r="D246" s="106"/>
      <c r="E246" s="13" t="s">
        <v>250</v>
      </c>
      <c r="F246" s="14" t="s">
        <v>251</v>
      </c>
      <c r="G246" s="72">
        <v>46357</v>
      </c>
      <c r="H246" s="72">
        <v>46387</v>
      </c>
      <c r="I246" s="73" t="s">
        <v>80</v>
      </c>
      <c r="J246" s="33"/>
    </row>
    <row r="247" spans="1:10" ht="15.75" hidden="1" customHeight="1" x14ac:dyDescent="0.35">
      <c r="A247" s="106"/>
      <c r="B247" s="106"/>
      <c r="C247" s="106"/>
      <c r="D247" s="106"/>
      <c r="E247" s="27" t="s">
        <v>51</v>
      </c>
      <c r="F247" s="14" t="s">
        <v>52</v>
      </c>
      <c r="G247" s="72">
        <v>46322</v>
      </c>
      <c r="H247" s="72">
        <v>46322</v>
      </c>
      <c r="I247" s="73" t="s">
        <v>15</v>
      </c>
      <c r="J247" s="33"/>
    </row>
    <row r="248" spans="1:10" ht="15.75" customHeight="1" x14ac:dyDescent="0.35">
      <c r="A248" s="106"/>
      <c r="B248" s="106"/>
      <c r="C248" s="106"/>
      <c r="D248" s="106"/>
      <c r="E248" s="13" t="s">
        <v>252</v>
      </c>
      <c r="F248" s="14" t="s">
        <v>253</v>
      </c>
      <c r="G248" s="72">
        <v>46357</v>
      </c>
      <c r="H248" s="72">
        <v>46387</v>
      </c>
      <c r="I248" s="73" t="s">
        <v>80</v>
      </c>
      <c r="J248" s="33"/>
    </row>
    <row r="249" spans="1:10" ht="15.75" customHeight="1" x14ac:dyDescent="0.35">
      <c r="A249" s="106"/>
      <c r="B249" s="106"/>
      <c r="C249" s="106"/>
      <c r="D249" s="106"/>
      <c r="E249" s="13" t="s">
        <v>255</v>
      </c>
      <c r="F249" s="14" t="s">
        <v>256</v>
      </c>
      <c r="G249" s="72">
        <v>46478</v>
      </c>
      <c r="H249" s="72">
        <v>46507</v>
      </c>
      <c r="I249" s="73" t="s">
        <v>71</v>
      </c>
      <c r="J249" s="33" t="s">
        <v>188</v>
      </c>
    </row>
    <row r="250" spans="1:10" ht="15.75" customHeight="1" x14ac:dyDescent="0.35">
      <c r="A250" s="106"/>
      <c r="B250" s="106"/>
      <c r="C250" s="106"/>
      <c r="D250" s="106"/>
      <c r="E250" s="13" t="s">
        <v>53</v>
      </c>
      <c r="F250" s="14" t="s">
        <v>54</v>
      </c>
      <c r="G250" s="72">
        <v>46357</v>
      </c>
      <c r="H250" s="72">
        <v>46387</v>
      </c>
      <c r="I250" s="73" t="s">
        <v>80</v>
      </c>
      <c r="J250" s="33"/>
    </row>
    <row r="251" spans="1:10" ht="15.75" hidden="1" customHeight="1" x14ac:dyDescent="0.35">
      <c r="A251" s="106"/>
      <c r="B251" s="106"/>
      <c r="C251" s="106"/>
      <c r="D251" s="106"/>
      <c r="E251" s="13" t="s">
        <v>257</v>
      </c>
      <c r="F251" s="14" t="s">
        <v>258</v>
      </c>
      <c r="G251" s="72">
        <v>46318</v>
      </c>
      <c r="H251" s="72">
        <v>46318</v>
      </c>
      <c r="I251" s="73" t="s">
        <v>15</v>
      </c>
      <c r="J251" s="33"/>
    </row>
    <row r="252" spans="1:10" ht="15.75" customHeight="1" x14ac:dyDescent="0.35">
      <c r="A252" s="106"/>
      <c r="B252" s="106"/>
      <c r="C252" s="106"/>
      <c r="D252" s="106"/>
      <c r="E252" s="13" t="s">
        <v>259</v>
      </c>
      <c r="F252" s="14" t="s">
        <v>260</v>
      </c>
      <c r="G252" s="72">
        <v>46478</v>
      </c>
      <c r="H252" s="72">
        <v>46507</v>
      </c>
      <c r="I252" s="73" t="s">
        <v>71</v>
      </c>
      <c r="J252" s="33" t="s">
        <v>188</v>
      </c>
    </row>
    <row r="253" spans="1:10" ht="15.75" hidden="1" customHeight="1" x14ac:dyDescent="0.35">
      <c r="A253" s="106"/>
      <c r="B253" s="106"/>
      <c r="C253" s="106"/>
      <c r="D253" s="106"/>
      <c r="E253" s="13" t="s">
        <v>261</v>
      </c>
      <c r="F253" s="14" t="s">
        <v>262</v>
      </c>
      <c r="G253" s="72">
        <v>46322</v>
      </c>
      <c r="H253" s="72">
        <v>46322</v>
      </c>
      <c r="I253" s="73" t="s">
        <v>15</v>
      </c>
      <c r="J253" s="33"/>
    </row>
    <row r="254" spans="1:10" ht="15.75" customHeight="1" x14ac:dyDescent="0.35">
      <c r="A254" s="106"/>
      <c r="B254" s="106"/>
      <c r="C254" s="106"/>
      <c r="D254" s="106"/>
      <c r="E254" s="13" t="s">
        <v>263</v>
      </c>
      <c r="F254" s="14" t="s">
        <v>264</v>
      </c>
      <c r="G254" s="72">
        <v>46478</v>
      </c>
      <c r="H254" s="72">
        <v>46507</v>
      </c>
      <c r="I254" s="73" t="s">
        <v>71</v>
      </c>
      <c r="J254" s="33" t="s">
        <v>188</v>
      </c>
    </row>
    <row r="255" spans="1:10" ht="15.75" customHeight="1" x14ac:dyDescent="0.35">
      <c r="A255" s="106"/>
      <c r="B255" s="106"/>
      <c r="C255" s="106"/>
      <c r="D255" s="106"/>
      <c r="E255" s="13" t="s">
        <v>266</v>
      </c>
      <c r="F255" s="14" t="s">
        <v>267</v>
      </c>
      <c r="G255" s="72">
        <v>46478</v>
      </c>
      <c r="H255" s="72">
        <v>46507</v>
      </c>
      <c r="I255" s="73" t="s">
        <v>71</v>
      </c>
      <c r="J255" s="33" t="s">
        <v>188</v>
      </c>
    </row>
    <row r="256" spans="1:10" ht="15.75" customHeight="1" x14ac:dyDescent="0.35">
      <c r="A256" s="106"/>
      <c r="B256" s="106"/>
      <c r="C256" s="106"/>
      <c r="D256" s="106"/>
      <c r="E256" s="13" t="s">
        <v>268</v>
      </c>
      <c r="F256" s="14" t="s">
        <v>269</v>
      </c>
      <c r="G256" s="72">
        <v>46478</v>
      </c>
      <c r="H256" s="72">
        <v>46507</v>
      </c>
      <c r="I256" s="73" t="s">
        <v>71</v>
      </c>
      <c r="J256" s="33" t="s">
        <v>188</v>
      </c>
    </row>
    <row r="257" spans="1:10" ht="15.75" customHeight="1" x14ac:dyDescent="0.35">
      <c r="A257" s="106"/>
      <c r="B257" s="106"/>
      <c r="C257" s="106"/>
      <c r="D257" s="106"/>
      <c r="E257" s="13" t="s">
        <v>270</v>
      </c>
      <c r="F257" s="14" t="s">
        <v>271</v>
      </c>
      <c r="G257" s="72">
        <v>46357</v>
      </c>
      <c r="H257" s="72">
        <v>46387</v>
      </c>
      <c r="I257" s="73" t="s">
        <v>80</v>
      </c>
      <c r="J257" s="33"/>
    </row>
    <row r="258" spans="1:10" ht="15.75" customHeight="1" x14ac:dyDescent="0.35">
      <c r="A258" s="106"/>
      <c r="B258" s="106"/>
      <c r="C258" s="106"/>
      <c r="D258" s="106"/>
      <c r="E258" s="28" t="s">
        <v>272</v>
      </c>
      <c r="F258" s="14" t="s">
        <v>273</v>
      </c>
      <c r="G258" s="72">
        <v>46478</v>
      </c>
      <c r="H258" s="72">
        <v>46507</v>
      </c>
      <c r="I258" s="73" t="s">
        <v>71</v>
      </c>
      <c r="J258" s="33" t="s">
        <v>188</v>
      </c>
    </row>
    <row r="259" spans="1:10" ht="15.75" customHeight="1" x14ac:dyDescent="0.35">
      <c r="A259" s="106"/>
      <c r="B259" s="106"/>
      <c r="C259" s="106"/>
      <c r="D259" s="106"/>
      <c r="E259" s="13" t="s">
        <v>275</v>
      </c>
      <c r="F259" s="14" t="s">
        <v>276</v>
      </c>
      <c r="G259" s="72">
        <v>46357</v>
      </c>
      <c r="H259" s="72">
        <v>46387</v>
      </c>
      <c r="I259" s="73" t="s">
        <v>80</v>
      </c>
      <c r="J259" s="33"/>
    </row>
    <row r="260" spans="1:10" ht="15.75" customHeight="1" x14ac:dyDescent="0.35">
      <c r="A260" s="106"/>
      <c r="B260" s="106"/>
      <c r="C260" s="106"/>
      <c r="D260" s="106"/>
      <c r="E260" s="13" t="s">
        <v>277</v>
      </c>
      <c r="F260" s="14" t="s">
        <v>278</v>
      </c>
      <c r="G260" s="72">
        <v>46478</v>
      </c>
      <c r="H260" s="72">
        <v>46507</v>
      </c>
      <c r="I260" s="73" t="s">
        <v>71</v>
      </c>
      <c r="J260" s="33" t="s">
        <v>188</v>
      </c>
    </row>
    <row r="261" spans="1:10" ht="15.75" customHeight="1" x14ac:dyDescent="0.35">
      <c r="A261" s="106"/>
      <c r="B261" s="106"/>
      <c r="C261" s="106"/>
      <c r="D261" s="106"/>
      <c r="E261" s="13" t="s">
        <v>280</v>
      </c>
      <c r="F261" s="14" t="s">
        <v>281</v>
      </c>
      <c r="G261" s="72">
        <v>46478</v>
      </c>
      <c r="H261" s="72">
        <v>46507</v>
      </c>
      <c r="I261" s="73" t="s">
        <v>71</v>
      </c>
      <c r="J261" s="33" t="s">
        <v>188</v>
      </c>
    </row>
    <row r="262" spans="1:10" ht="15.75" customHeight="1" x14ac:dyDescent="0.35">
      <c r="A262" s="106"/>
      <c r="B262" s="106"/>
      <c r="C262" s="106"/>
      <c r="D262" s="106"/>
      <c r="E262" s="13" t="s">
        <v>282</v>
      </c>
      <c r="F262" s="14" t="s">
        <v>283</v>
      </c>
      <c r="G262" s="72">
        <v>46478</v>
      </c>
      <c r="H262" s="72">
        <v>46507</v>
      </c>
      <c r="I262" s="73" t="s">
        <v>71</v>
      </c>
      <c r="J262" s="33" t="s">
        <v>188</v>
      </c>
    </row>
    <row r="263" spans="1:10" ht="15.75" customHeight="1" x14ac:dyDescent="0.35">
      <c r="A263" s="106"/>
      <c r="B263" s="106"/>
      <c r="C263" s="106"/>
      <c r="D263" s="106"/>
      <c r="E263" s="13" t="s">
        <v>284</v>
      </c>
      <c r="F263" s="14" t="s">
        <v>285</v>
      </c>
      <c r="G263" s="72">
        <v>46357</v>
      </c>
      <c r="H263" s="72">
        <v>46387</v>
      </c>
      <c r="I263" s="73" t="s">
        <v>80</v>
      </c>
      <c r="J263" s="33"/>
    </row>
    <row r="264" spans="1:10" ht="15.75" customHeight="1" x14ac:dyDescent="0.35">
      <c r="A264" s="106"/>
      <c r="B264" s="106"/>
      <c r="C264" s="106"/>
      <c r="D264" s="106"/>
      <c r="E264" s="28" t="s">
        <v>286</v>
      </c>
      <c r="F264" s="14" t="s">
        <v>287</v>
      </c>
      <c r="G264" s="72">
        <v>46357</v>
      </c>
      <c r="H264" s="72">
        <v>46387</v>
      </c>
      <c r="I264" s="73" t="s">
        <v>80</v>
      </c>
      <c r="J264" s="33"/>
    </row>
    <row r="265" spans="1:10" ht="15.75" hidden="1" customHeight="1" x14ac:dyDescent="0.35">
      <c r="A265" s="106"/>
      <c r="B265" s="106"/>
      <c r="C265" s="106"/>
      <c r="D265" s="106"/>
      <c r="E265" s="70" t="s">
        <v>288</v>
      </c>
      <c r="F265" s="14" t="s">
        <v>289</v>
      </c>
      <c r="G265" s="72">
        <v>46322</v>
      </c>
      <c r="H265" s="72">
        <v>46322</v>
      </c>
      <c r="I265" s="73" t="s">
        <v>15</v>
      </c>
      <c r="J265" s="33"/>
    </row>
    <row r="266" spans="1:10" ht="15.75" customHeight="1" x14ac:dyDescent="0.35">
      <c r="A266" s="106"/>
      <c r="B266" s="106"/>
      <c r="C266" s="106"/>
      <c r="D266" s="106"/>
      <c r="E266" s="70" t="s">
        <v>290</v>
      </c>
      <c r="F266" s="14" t="s">
        <v>291</v>
      </c>
      <c r="G266" s="72">
        <v>46478</v>
      </c>
      <c r="H266" s="72">
        <v>46507</v>
      </c>
      <c r="I266" s="73" t="s">
        <v>71</v>
      </c>
      <c r="J266" s="33" t="s">
        <v>188</v>
      </c>
    </row>
    <row r="267" spans="1:10" ht="15.75" hidden="1" customHeight="1" x14ac:dyDescent="0.35">
      <c r="A267" s="106"/>
      <c r="B267" s="106"/>
      <c r="C267" s="106"/>
      <c r="D267" s="106"/>
      <c r="E267" s="70" t="s">
        <v>293</v>
      </c>
      <c r="F267" s="14" t="s">
        <v>294</v>
      </c>
      <c r="G267" s="15">
        <v>46315</v>
      </c>
      <c r="H267" s="15">
        <v>46317</v>
      </c>
      <c r="I267" s="16" t="s">
        <v>15</v>
      </c>
      <c r="J267" s="33"/>
    </row>
    <row r="268" spans="1:10" ht="15.75" customHeight="1" x14ac:dyDescent="0.35">
      <c r="A268" s="106"/>
      <c r="B268" s="106"/>
      <c r="C268" s="106"/>
      <c r="D268" s="106"/>
      <c r="E268" s="70" t="s">
        <v>295</v>
      </c>
      <c r="F268" s="14" t="s">
        <v>296</v>
      </c>
      <c r="G268" s="72">
        <v>46357</v>
      </c>
      <c r="H268" s="72">
        <v>46387</v>
      </c>
      <c r="I268" s="73" t="s">
        <v>80</v>
      </c>
      <c r="J268" s="33"/>
    </row>
    <row r="269" spans="1:10" ht="15.75" customHeight="1" x14ac:dyDescent="0.35">
      <c r="A269" s="106"/>
      <c r="B269" s="106"/>
      <c r="C269" s="106"/>
      <c r="D269" s="106"/>
      <c r="E269" s="70" t="s">
        <v>298</v>
      </c>
      <c r="F269" s="14" t="s">
        <v>299</v>
      </c>
      <c r="G269" s="72">
        <v>46357</v>
      </c>
      <c r="H269" s="72">
        <v>46387</v>
      </c>
      <c r="I269" s="73" t="s">
        <v>80</v>
      </c>
      <c r="J269" s="33"/>
    </row>
    <row r="270" spans="1:10" ht="15.75" customHeight="1" x14ac:dyDescent="0.35">
      <c r="A270" s="106"/>
      <c r="B270" s="106"/>
      <c r="C270" s="106"/>
      <c r="D270" s="106"/>
      <c r="E270" s="71" t="s">
        <v>301</v>
      </c>
      <c r="F270" s="14" t="s">
        <v>302</v>
      </c>
      <c r="G270" s="72">
        <v>46388</v>
      </c>
      <c r="H270" s="72">
        <v>46418</v>
      </c>
      <c r="I270" s="73" t="s">
        <v>80</v>
      </c>
      <c r="J270" s="33"/>
    </row>
    <row r="271" spans="1:10" ht="15.75" customHeight="1" x14ac:dyDescent="0.35">
      <c r="A271" s="106"/>
      <c r="B271" s="106"/>
      <c r="C271" s="106"/>
      <c r="D271" s="106"/>
      <c r="E271" s="13" t="s">
        <v>304</v>
      </c>
      <c r="F271" s="14" t="s">
        <v>305</v>
      </c>
      <c r="G271" s="72">
        <v>46508</v>
      </c>
      <c r="H271" s="72">
        <v>46538</v>
      </c>
      <c r="I271" s="73" t="s">
        <v>71</v>
      </c>
      <c r="J271" s="33" t="s">
        <v>188</v>
      </c>
    </row>
    <row r="272" spans="1:10" ht="15.75" customHeight="1" x14ac:dyDescent="0.35">
      <c r="A272" s="106"/>
      <c r="B272" s="106"/>
      <c r="C272" s="106"/>
      <c r="D272" s="106"/>
      <c r="E272" s="28" t="s">
        <v>55</v>
      </c>
      <c r="F272" s="14" t="s">
        <v>56</v>
      </c>
      <c r="G272" s="72">
        <v>46508</v>
      </c>
      <c r="H272" s="72">
        <v>46538</v>
      </c>
      <c r="I272" s="73" t="s">
        <v>71</v>
      </c>
      <c r="J272" s="33" t="s">
        <v>188</v>
      </c>
    </row>
    <row r="273" spans="1:10" ht="15.75" customHeight="1" x14ac:dyDescent="0.35">
      <c r="A273" s="106"/>
      <c r="B273" s="106"/>
      <c r="C273" s="106"/>
      <c r="D273" s="106"/>
      <c r="E273" s="28" t="s">
        <v>307</v>
      </c>
      <c r="F273" s="14" t="s">
        <v>308</v>
      </c>
      <c r="G273" s="72">
        <v>46388</v>
      </c>
      <c r="H273" s="72">
        <v>46418</v>
      </c>
      <c r="I273" s="73" t="s">
        <v>80</v>
      </c>
      <c r="J273" s="33"/>
    </row>
    <row r="274" spans="1:10" ht="15.75" customHeight="1" x14ac:dyDescent="0.35">
      <c r="A274" s="106"/>
      <c r="B274" s="106"/>
      <c r="C274" s="106"/>
      <c r="D274" s="106"/>
      <c r="E274" s="71" t="s">
        <v>309</v>
      </c>
      <c r="F274" s="14" t="s">
        <v>310</v>
      </c>
      <c r="G274" s="72">
        <v>46508</v>
      </c>
      <c r="H274" s="72">
        <v>46538</v>
      </c>
      <c r="I274" s="73" t="s">
        <v>71</v>
      </c>
      <c r="J274" s="33" t="s">
        <v>188</v>
      </c>
    </row>
    <row r="275" spans="1:10" ht="15.75" customHeight="1" x14ac:dyDescent="0.35">
      <c r="A275" s="106"/>
      <c r="B275" s="106"/>
      <c r="C275" s="106"/>
      <c r="D275" s="106"/>
      <c r="E275" s="71" t="s">
        <v>311</v>
      </c>
      <c r="F275" s="14" t="s">
        <v>312</v>
      </c>
      <c r="G275" s="72">
        <v>46388</v>
      </c>
      <c r="H275" s="72">
        <v>46418</v>
      </c>
      <c r="I275" s="73" t="s">
        <v>80</v>
      </c>
      <c r="J275" s="33"/>
    </row>
    <row r="276" spans="1:10" ht="15.75" customHeight="1" x14ac:dyDescent="0.35">
      <c r="A276" s="106"/>
      <c r="B276" s="106"/>
      <c r="C276" s="106"/>
      <c r="D276" s="106"/>
      <c r="E276" s="71" t="s">
        <v>314</v>
      </c>
      <c r="F276" s="14" t="s">
        <v>315</v>
      </c>
      <c r="G276" s="72">
        <v>46388</v>
      </c>
      <c r="H276" s="72">
        <v>46418</v>
      </c>
      <c r="I276" s="73" t="s">
        <v>80</v>
      </c>
      <c r="J276" s="33"/>
    </row>
    <row r="277" spans="1:10" ht="15.75" customHeight="1" x14ac:dyDescent="0.35">
      <c r="A277" s="106"/>
      <c r="B277" s="106"/>
      <c r="C277" s="106"/>
      <c r="D277" s="106"/>
      <c r="E277" s="71" t="s">
        <v>317</v>
      </c>
      <c r="F277" s="14" t="s">
        <v>318</v>
      </c>
      <c r="G277" s="72">
        <v>46508</v>
      </c>
      <c r="H277" s="72">
        <v>46538</v>
      </c>
      <c r="I277" s="73" t="s">
        <v>71</v>
      </c>
      <c r="J277" s="33" t="s">
        <v>188</v>
      </c>
    </row>
    <row r="278" spans="1:10" ht="15.75" customHeight="1" x14ac:dyDescent="0.35">
      <c r="A278" s="106"/>
      <c r="B278" s="106"/>
      <c r="C278" s="106"/>
      <c r="D278" s="106"/>
      <c r="E278" s="28" t="s">
        <v>319</v>
      </c>
      <c r="F278" s="14" t="s">
        <v>320</v>
      </c>
      <c r="G278" s="72">
        <v>46388</v>
      </c>
      <c r="H278" s="72">
        <v>46418</v>
      </c>
      <c r="I278" s="73" t="s">
        <v>80</v>
      </c>
      <c r="J278" s="33"/>
    </row>
    <row r="279" spans="1:10" ht="15.75" customHeight="1" x14ac:dyDescent="0.35">
      <c r="A279" s="106"/>
      <c r="B279" s="106"/>
      <c r="C279" s="106"/>
      <c r="D279" s="106"/>
      <c r="E279" s="28" t="s">
        <v>322</v>
      </c>
      <c r="F279" s="14" t="s">
        <v>323</v>
      </c>
      <c r="G279" s="72">
        <v>46388</v>
      </c>
      <c r="H279" s="72">
        <v>46418</v>
      </c>
      <c r="I279" s="73" t="s">
        <v>80</v>
      </c>
      <c r="J279" s="33"/>
    </row>
    <row r="280" spans="1:10" ht="15.75" customHeight="1" x14ac:dyDescent="0.35">
      <c r="A280" s="106"/>
      <c r="B280" s="106"/>
      <c r="C280" s="106"/>
      <c r="D280" s="106"/>
      <c r="E280" s="28" t="s">
        <v>325</v>
      </c>
      <c r="F280" s="14" t="s">
        <v>326</v>
      </c>
      <c r="G280" s="72">
        <v>46388</v>
      </c>
      <c r="H280" s="72">
        <v>46418</v>
      </c>
      <c r="I280" s="73" t="s">
        <v>80</v>
      </c>
      <c r="J280" s="33"/>
    </row>
    <row r="281" spans="1:10" ht="15.75" customHeight="1" x14ac:dyDescent="0.35">
      <c r="A281" s="106"/>
      <c r="B281" s="106"/>
      <c r="C281" s="106"/>
      <c r="D281" s="106"/>
      <c r="E281" s="28" t="s">
        <v>328</v>
      </c>
      <c r="F281" s="14" t="s">
        <v>329</v>
      </c>
      <c r="G281" s="72">
        <v>46508</v>
      </c>
      <c r="H281" s="72">
        <v>46538</v>
      </c>
      <c r="I281" s="73" t="s">
        <v>71</v>
      </c>
      <c r="J281" s="33" t="s">
        <v>188</v>
      </c>
    </row>
    <row r="282" spans="1:10" ht="15.75" customHeight="1" x14ac:dyDescent="0.35">
      <c r="A282" s="106"/>
      <c r="B282" s="106"/>
      <c r="C282" s="106"/>
      <c r="D282" s="106"/>
      <c r="E282" s="28" t="s">
        <v>331</v>
      </c>
      <c r="F282" s="14" t="s">
        <v>332</v>
      </c>
      <c r="G282" s="72">
        <v>46508</v>
      </c>
      <c r="H282" s="72">
        <v>46538</v>
      </c>
      <c r="I282" s="73" t="s">
        <v>71</v>
      </c>
      <c r="J282" s="33" t="s">
        <v>188</v>
      </c>
    </row>
    <row r="283" spans="1:10" ht="15.75" customHeight="1" x14ac:dyDescent="0.35">
      <c r="A283" s="106"/>
      <c r="B283" s="106"/>
      <c r="C283" s="106"/>
      <c r="D283" s="106"/>
      <c r="E283" s="28" t="s">
        <v>333</v>
      </c>
      <c r="F283" s="14" t="s">
        <v>334</v>
      </c>
      <c r="G283" s="72">
        <v>46508</v>
      </c>
      <c r="H283" s="72">
        <v>46538</v>
      </c>
      <c r="I283" s="73" t="s">
        <v>71</v>
      </c>
      <c r="J283" s="33" t="s">
        <v>188</v>
      </c>
    </row>
    <row r="284" spans="1:10" ht="15.75" customHeight="1" x14ac:dyDescent="0.35">
      <c r="A284" s="106"/>
      <c r="B284" s="106"/>
      <c r="C284" s="106"/>
      <c r="D284" s="106"/>
      <c r="E284" s="28" t="s">
        <v>335</v>
      </c>
      <c r="F284" s="14" t="s">
        <v>336</v>
      </c>
      <c r="G284" s="72">
        <v>46508</v>
      </c>
      <c r="H284" s="72">
        <v>46538</v>
      </c>
      <c r="I284" s="73" t="s">
        <v>71</v>
      </c>
      <c r="J284" s="33" t="s">
        <v>188</v>
      </c>
    </row>
    <row r="285" spans="1:10" ht="15.75" customHeight="1" x14ac:dyDescent="0.35">
      <c r="A285" s="106"/>
      <c r="B285" s="106"/>
      <c r="C285" s="106"/>
      <c r="D285" s="106"/>
      <c r="E285" s="28" t="s">
        <v>338</v>
      </c>
      <c r="F285" s="14" t="s">
        <v>339</v>
      </c>
      <c r="G285" s="72">
        <v>46508</v>
      </c>
      <c r="H285" s="72">
        <v>46538</v>
      </c>
      <c r="I285" s="73" t="s">
        <v>71</v>
      </c>
      <c r="J285" s="33" t="s">
        <v>188</v>
      </c>
    </row>
    <row r="286" spans="1:10" ht="15.75" customHeight="1" x14ac:dyDescent="0.35">
      <c r="A286" s="106"/>
      <c r="B286" s="106"/>
      <c r="C286" s="106"/>
      <c r="D286" s="106"/>
      <c r="E286" s="28" t="s">
        <v>341</v>
      </c>
      <c r="F286" s="14" t="s">
        <v>342</v>
      </c>
      <c r="G286" s="72">
        <v>46388</v>
      </c>
      <c r="H286" s="72">
        <v>46418</v>
      </c>
      <c r="I286" s="73" t="s">
        <v>80</v>
      </c>
      <c r="J286" s="33"/>
    </row>
    <row r="287" spans="1:10" ht="15.75" customHeight="1" x14ac:dyDescent="0.35">
      <c r="A287" s="106"/>
      <c r="B287" s="106"/>
      <c r="C287" s="106"/>
      <c r="D287" s="106"/>
      <c r="E287" s="28" t="s">
        <v>343</v>
      </c>
      <c r="F287" s="14" t="s">
        <v>344</v>
      </c>
      <c r="G287" s="72">
        <v>46508</v>
      </c>
      <c r="H287" s="72">
        <v>46538</v>
      </c>
      <c r="I287" s="73" t="s">
        <v>71</v>
      </c>
      <c r="J287" s="33" t="s">
        <v>188</v>
      </c>
    </row>
    <row r="288" spans="1:10" ht="15.75" customHeight="1" x14ac:dyDescent="0.35">
      <c r="A288" s="106"/>
      <c r="B288" s="106"/>
      <c r="C288" s="106"/>
      <c r="D288" s="106"/>
      <c r="E288" s="28" t="s">
        <v>345</v>
      </c>
      <c r="F288" s="14" t="s">
        <v>346</v>
      </c>
      <c r="G288" s="72">
        <v>46388</v>
      </c>
      <c r="H288" s="72">
        <v>46418</v>
      </c>
      <c r="I288" s="73" t="s">
        <v>80</v>
      </c>
      <c r="J288" s="33"/>
    </row>
    <row r="289" spans="1:10" ht="15.75" customHeight="1" x14ac:dyDescent="0.35">
      <c r="A289" s="106"/>
      <c r="B289" s="106"/>
      <c r="C289" s="106"/>
      <c r="D289" s="106"/>
      <c r="E289" s="28" t="s">
        <v>347</v>
      </c>
      <c r="F289" s="14" t="s">
        <v>348</v>
      </c>
      <c r="G289" s="72">
        <v>46388</v>
      </c>
      <c r="H289" s="72">
        <v>46418</v>
      </c>
      <c r="I289" s="73" t="s">
        <v>80</v>
      </c>
      <c r="J289" s="33"/>
    </row>
    <row r="290" spans="1:10" ht="15.75" customHeight="1" x14ac:dyDescent="0.35">
      <c r="A290" s="106"/>
      <c r="B290" s="106"/>
      <c r="C290" s="106"/>
      <c r="D290" s="106"/>
      <c r="E290" s="28" t="s">
        <v>349</v>
      </c>
      <c r="F290" s="14" t="s">
        <v>350</v>
      </c>
      <c r="G290" s="72">
        <v>46508</v>
      </c>
      <c r="H290" s="72">
        <v>46538</v>
      </c>
      <c r="I290" s="73" t="s">
        <v>71</v>
      </c>
      <c r="J290" s="33" t="s">
        <v>188</v>
      </c>
    </row>
    <row r="291" spans="1:10" ht="15.75" customHeight="1" x14ac:dyDescent="0.35">
      <c r="A291" s="106"/>
      <c r="B291" s="106"/>
      <c r="C291" s="106"/>
      <c r="D291" s="106"/>
      <c r="E291" s="28" t="s">
        <v>352</v>
      </c>
      <c r="F291" s="14" t="s">
        <v>353</v>
      </c>
      <c r="G291" s="72">
        <v>46388</v>
      </c>
      <c r="H291" s="72">
        <v>46418</v>
      </c>
      <c r="I291" s="73" t="s">
        <v>80</v>
      </c>
      <c r="J291" s="33"/>
    </row>
    <row r="292" spans="1:10" ht="15.75" customHeight="1" x14ac:dyDescent="0.35">
      <c r="A292" s="106"/>
      <c r="B292" s="106"/>
      <c r="C292" s="106"/>
      <c r="D292" s="106"/>
      <c r="E292" s="28" t="s">
        <v>355</v>
      </c>
      <c r="F292" s="14" t="s">
        <v>356</v>
      </c>
      <c r="G292" s="72">
        <v>46508</v>
      </c>
      <c r="H292" s="72">
        <v>46538</v>
      </c>
      <c r="I292" s="73" t="s">
        <v>71</v>
      </c>
      <c r="J292" s="33" t="s">
        <v>188</v>
      </c>
    </row>
    <row r="293" spans="1:10" ht="15.75" customHeight="1" x14ac:dyDescent="0.35">
      <c r="A293" s="106"/>
      <c r="B293" s="106"/>
      <c r="C293" s="106"/>
      <c r="D293" s="106"/>
      <c r="E293" s="28" t="s">
        <v>358</v>
      </c>
      <c r="F293" s="14" t="s">
        <v>359</v>
      </c>
      <c r="G293" s="72">
        <v>46508</v>
      </c>
      <c r="H293" s="72">
        <v>46538</v>
      </c>
      <c r="I293" s="73" t="s">
        <v>71</v>
      </c>
      <c r="J293" s="33" t="s">
        <v>188</v>
      </c>
    </row>
    <row r="294" spans="1:10" ht="15.75" customHeight="1" x14ac:dyDescent="0.35">
      <c r="A294" s="106"/>
      <c r="B294" s="106"/>
      <c r="C294" s="106"/>
      <c r="D294" s="106"/>
      <c r="E294" s="28" t="s">
        <v>361</v>
      </c>
      <c r="F294" s="14" t="s">
        <v>362</v>
      </c>
      <c r="G294" s="72">
        <v>46388</v>
      </c>
      <c r="H294" s="72">
        <v>46418</v>
      </c>
      <c r="I294" s="73" t="s">
        <v>80</v>
      </c>
      <c r="J294" s="33"/>
    </row>
    <row r="295" spans="1:10" ht="15.75" customHeight="1" x14ac:dyDescent="0.35">
      <c r="A295" s="106"/>
      <c r="B295" s="106"/>
      <c r="C295" s="106"/>
      <c r="D295" s="106"/>
      <c r="E295" s="28" t="s">
        <v>363</v>
      </c>
      <c r="F295" s="14" t="s">
        <v>364</v>
      </c>
      <c r="G295" s="72">
        <v>46508</v>
      </c>
      <c r="H295" s="72">
        <v>46538</v>
      </c>
      <c r="I295" s="73" t="s">
        <v>71</v>
      </c>
      <c r="J295" s="33" t="s">
        <v>188</v>
      </c>
    </row>
    <row r="296" spans="1:10" ht="15.75" customHeight="1" x14ac:dyDescent="0.35">
      <c r="A296" s="106"/>
      <c r="B296" s="106"/>
      <c r="C296" s="106"/>
      <c r="D296" s="106"/>
      <c r="E296" s="28" t="s">
        <v>365</v>
      </c>
      <c r="F296" s="14" t="s">
        <v>366</v>
      </c>
      <c r="G296" s="72">
        <v>46388</v>
      </c>
      <c r="H296" s="72">
        <v>46418</v>
      </c>
      <c r="I296" s="73" t="s">
        <v>80</v>
      </c>
      <c r="J296" s="33"/>
    </row>
    <row r="297" spans="1:10" ht="15.75" customHeight="1" x14ac:dyDescent="0.35">
      <c r="A297" s="106"/>
      <c r="B297" s="106"/>
      <c r="C297" s="106"/>
      <c r="D297" s="106"/>
      <c r="E297" s="28" t="s">
        <v>367</v>
      </c>
      <c r="F297" s="14" t="s">
        <v>368</v>
      </c>
      <c r="G297" s="72">
        <v>46508</v>
      </c>
      <c r="H297" s="72">
        <v>46538</v>
      </c>
      <c r="I297" s="73" t="s">
        <v>71</v>
      </c>
      <c r="J297" s="33" t="s">
        <v>188</v>
      </c>
    </row>
    <row r="298" spans="1:10" ht="15.75" customHeight="1" x14ac:dyDescent="0.35">
      <c r="A298" s="107"/>
      <c r="B298" s="107"/>
      <c r="C298" s="107"/>
      <c r="D298" s="107"/>
      <c r="E298" s="28" t="s">
        <v>57</v>
      </c>
      <c r="F298" s="14" t="s">
        <v>58</v>
      </c>
      <c r="G298" s="72">
        <v>46388</v>
      </c>
      <c r="H298" s="72">
        <v>46418</v>
      </c>
      <c r="I298" s="73" t="s">
        <v>80</v>
      </c>
      <c r="J298" s="33"/>
    </row>
    <row r="299" spans="1:10" ht="15.75" customHeight="1" x14ac:dyDescent="0.35">
      <c r="I299" s="62"/>
      <c r="J299" s="33"/>
    </row>
    <row r="300" spans="1:10" ht="15.75" customHeight="1" x14ac:dyDescent="0.35">
      <c r="I300" s="62"/>
      <c r="J300" s="33"/>
    </row>
    <row r="301" spans="1:10" ht="15.75" customHeight="1" x14ac:dyDescent="0.35">
      <c r="I301" s="62"/>
      <c r="J301" s="33"/>
    </row>
    <row r="302" spans="1:10" ht="15.75" customHeight="1" x14ac:dyDescent="0.35">
      <c r="I302" s="62"/>
      <c r="J302" s="33"/>
    </row>
    <row r="303" spans="1:10" ht="15.75" customHeight="1" x14ac:dyDescent="0.35">
      <c r="I303" s="62"/>
      <c r="J303" s="33"/>
    </row>
    <row r="304" spans="1:10" ht="15.75" customHeight="1" x14ac:dyDescent="0.35">
      <c r="I304" s="62"/>
      <c r="J304" s="33"/>
    </row>
    <row r="305" spans="9:10" ht="15.75" customHeight="1" x14ac:dyDescent="0.35">
      <c r="I305" s="62"/>
      <c r="J305" s="33"/>
    </row>
    <row r="306" spans="9:10" ht="15.75" customHeight="1" x14ac:dyDescent="0.35">
      <c r="I306" s="62"/>
      <c r="J306" s="33"/>
    </row>
    <row r="307" spans="9:10" ht="15.75" customHeight="1" x14ac:dyDescent="0.35">
      <c r="I307" s="62"/>
      <c r="J307" s="33"/>
    </row>
    <row r="308" spans="9:10" ht="15.75" customHeight="1" x14ac:dyDescent="0.35">
      <c r="I308" s="62"/>
      <c r="J308" s="33"/>
    </row>
    <row r="309" spans="9:10" ht="15.75" customHeight="1" x14ac:dyDescent="0.35">
      <c r="I309" s="62"/>
      <c r="J309" s="33"/>
    </row>
    <row r="310" spans="9:10" ht="15.75" customHeight="1" x14ac:dyDescent="0.35">
      <c r="I310" s="62"/>
      <c r="J310" s="33"/>
    </row>
    <row r="311" spans="9:10" ht="15.75" customHeight="1" x14ac:dyDescent="0.35">
      <c r="I311" s="62"/>
      <c r="J311" s="33"/>
    </row>
    <row r="312" spans="9:10" ht="15.75" customHeight="1" x14ac:dyDescent="0.35">
      <c r="I312" s="62"/>
      <c r="J312" s="33"/>
    </row>
    <row r="313" spans="9:10" ht="15.75" customHeight="1" x14ac:dyDescent="0.35">
      <c r="I313" s="62"/>
      <c r="J313" s="33"/>
    </row>
    <row r="314" spans="9:10" ht="15.75" customHeight="1" x14ac:dyDescent="0.35">
      <c r="I314" s="62"/>
      <c r="J314" s="33"/>
    </row>
    <row r="315" spans="9:10" ht="15.75" customHeight="1" x14ac:dyDescent="0.35">
      <c r="I315" s="62"/>
      <c r="J315" s="33"/>
    </row>
    <row r="316" spans="9:10" ht="15.75" customHeight="1" x14ac:dyDescent="0.35">
      <c r="I316" s="62"/>
      <c r="J316" s="33"/>
    </row>
    <row r="317" spans="9:10" ht="15.75" customHeight="1" x14ac:dyDescent="0.35">
      <c r="I317" s="62"/>
      <c r="J317" s="33"/>
    </row>
    <row r="318" spans="9:10" ht="15.75" customHeight="1" x14ac:dyDescent="0.35">
      <c r="I318" s="62"/>
      <c r="J318" s="33"/>
    </row>
    <row r="319" spans="9:10" ht="15.75" customHeight="1" x14ac:dyDescent="0.35">
      <c r="I319" s="62"/>
      <c r="J319" s="33"/>
    </row>
    <row r="320" spans="9:10" ht="15.75" customHeight="1" x14ac:dyDescent="0.35">
      <c r="I320" s="62"/>
      <c r="J320" s="33"/>
    </row>
    <row r="321" spans="9:10" ht="15.75" customHeight="1" x14ac:dyDescent="0.35">
      <c r="I321" s="62"/>
      <c r="J321" s="33"/>
    </row>
    <row r="322" spans="9:10" ht="15.75" customHeight="1" x14ac:dyDescent="0.35">
      <c r="I322" s="62"/>
      <c r="J322" s="33"/>
    </row>
    <row r="323" spans="9:10" ht="15.75" customHeight="1" x14ac:dyDescent="0.35">
      <c r="I323" s="62"/>
      <c r="J323" s="33"/>
    </row>
    <row r="324" spans="9:10" ht="15.75" customHeight="1" x14ac:dyDescent="0.35">
      <c r="I324" s="62"/>
      <c r="J324" s="33"/>
    </row>
    <row r="325" spans="9:10" ht="15.75" customHeight="1" x14ac:dyDescent="0.35">
      <c r="I325" s="62"/>
      <c r="J325" s="33"/>
    </row>
    <row r="326" spans="9:10" ht="15.75" customHeight="1" x14ac:dyDescent="0.35">
      <c r="I326" s="62"/>
      <c r="J326" s="33"/>
    </row>
    <row r="327" spans="9:10" ht="15.75" customHeight="1" x14ac:dyDescent="0.35">
      <c r="I327" s="62"/>
      <c r="J327" s="33"/>
    </row>
    <row r="328" spans="9:10" ht="15.75" customHeight="1" x14ac:dyDescent="0.35">
      <c r="I328" s="62"/>
      <c r="J328" s="33"/>
    </row>
    <row r="329" spans="9:10" ht="15.75" customHeight="1" x14ac:dyDescent="0.35">
      <c r="I329" s="62"/>
      <c r="J329" s="33"/>
    </row>
    <row r="330" spans="9:10" ht="15.75" customHeight="1" x14ac:dyDescent="0.35">
      <c r="I330" s="62"/>
      <c r="J330" s="33"/>
    </row>
    <row r="331" spans="9:10" ht="15.75" customHeight="1" x14ac:dyDescent="0.35">
      <c r="I331" s="62"/>
      <c r="J331" s="33"/>
    </row>
    <row r="332" spans="9:10" ht="15.75" customHeight="1" x14ac:dyDescent="0.35">
      <c r="I332" s="62"/>
      <c r="J332" s="33"/>
    </row>
    <row r="333" spans="9:10" ht="15.75" customHeight="1" x14ac:dyDescent="0.35">
      <c r="I333" s="62"/>
      <c r="J333" s="33"/>
    </row>
    <row r="334" spans="9:10" ht="15.75" customHeight="1" x14ac:dyDescent="0.35">
      <c r="I334" s="62"/>
      <c r="J334" s="33"/>
    </row>
    <row r="335" spans="9:10" ht="15.75" customHeight="1" x14ac:dyDescent="0.35">
      <c r="I335" s="62"/>
      <c r="J335" s="33"/>
    </row>
    <row r="336" spans="9:10" ht="15.75" customHeight="1" x14ac:dyDescent="0.35">
      <c r="I336" s="62"/>
      <c r="J336" s="33"/>
    </row>
    <row r="337" spans="9:10" ht="15.75" customHeight="1" x14ac:dyDescent="0.35">
      <c r="I337" s="62"/>
      <c r="J337" s="33"/>
    </row>
    <row r="338" spans="9:10" ht="15.75" customHeight="1" x14ac:dyDescent="0.35">
      <c r="I338" s="62"/>
      <c r="J338" s="33"/>
    </row>
    <row r="339" spans="9:10" ht="15.75" customHeight="1" x14ac:dyDescent="0.35">
      <c r="I339" s="62"/>
      <c r="J339" s="33"/>
    </row>
    <row r="340" spans="9:10" ht="15.75" customHeight="1" x14ac:dyDescent="0.35">
      <c r="I340" s="62"/>
      <c r="J340" s="33"/>
    </row>
    <row r="341" spans="9:10" ht="15.75" customHeight="1" x14ac:dyDescent="0.35">
      <c r="I341" s="62"/>
      <c r="J341" s="33"/>
    </row>
    <row r="342" spans="9:10" ht="15.75" customHeight="1" x14ac:dyDescent="0.35">
      <c r="I342" s="62"/>
      <c r="J342" s="33"/>
    </row>
    <row r="343" spans="9:10" ht="15.75" customHeight="1" x14ac:dyDescent="0.35">
      <c r="I343" s="62"/>
      <c r="J343" s="33"/>
    </row>
    <row r="344" spans="9:10" ht="15.75" customHeight="1" x14ac:dyDescent="0.35">
      <c r="I344" s="62"/>
      <c r="J344" s="33"/>
    </row>
    <row r="345" spans="9:10" ht="15.75" customHeight="1" x14ac:dyDescent="0.35">
      <c r="I345" s="62"/>
      <c r="J345" s="33"/>
    </row>
    <row r="346" spans="9:10" ht="15.75" customHeight="1" x14ac:dyDescent="0.35">
      <c r="I346" s="62"/>
      <c r="J346" s="33"/>
    </row>
    <row r="347" spans="9:10" ht="15.75" customHeight="1" x14ac:dyDescent="0.35">
      <c r="I347" s="62"/>
      <c r="J347" s="33"/>
    </row>
    <row r="348" spans="9:10" ht="15.75" customHeight="1" x14ac:dyDescent="0.35">
      <c r="I348" s="62"/>
      <c r="J348" s="33"/>
    </row>
    <row r="349" spans="9:10" ht="15.75" customHeight="1" x14ac:dyDescent="0.35">
      <c r="I349" s="62"/>
      <c r="J349" s="33"/>
    </row>
    <row r="350" spans="9:10" ht="15.75" customHeight="1" x14ac:dyDescent="0.35">
      <c r="I350" s="62"/>
      <c r="J350" s="33"/>
    </row>
    <row r="351" spans="9:10" ht="15.75" customHeight="1" x14ac:dyDescent="0.35">
      <c r="I351" s="62"/>
      <c r="J351" s="33"/>
    </row>
    <row r="352" spans="9:10" ht="15.75" customHeight="1" x14ac:dyDescent="0.35">
      <c r="I352" s="62"/>
      <c r="J352" s="33"/>
    </row>
    <row r="353" spans="9:10" ht="15.75" customHeight="1" x14ac:dyDescent="0.35">
      <c r="I353" s="62"/>
      <c r="J353" s="33"/>
    </row>
    <row r="354" spans="9:10" ht="15.75" customHeight="1" x14ac:dyDescent="0.35">
      <c r="I354" s="62"/>
      <c r="J354" s="33"/>
    </row>
    <row r="355" spans="9:10" ht="15.75" customHeight="1" x14ac:dyDescent="0.35">
      <c r="I355" s="62"/>
      <c r="J355" s="33"/>
    </row>
    <row r="356" spans="9:10" ht="15.75" customHeight="1" x14ac:dyDescent="0.35">
      <c r="I356" s="62"/>
      <c r="J356" s="33"/>
    </row>
    <row r="357" spans="9:10" ht="15.75" customHeight="1" x14ac:dyDescent="0.35">
      <c r="I357" s="62"/>
      <c r="J357" s="33"/>
    </row>
    <row r="358" spans="9:10" ht="15.75" customHeight="1" x14ac:dyDescent="0.35">
      <c r="I358" s="62"/>
      <c r="J358" s="33"/>
    </row>
    <row r="359" spans="9:10" ht="15.75" customHeight="1" x14ac:dyDescent="0.35">
      <c r="I359" s="62"/>
      <c r="J359" s="33"/>
    </row>
    <row r="360" spans="9:10" ht="15.75" customHeight="1" x14ac:dyDescent="0.35">
      <c r="I360" s="62"/>
      <c r="J360" s="33"/>
    </row>
    <row r="361" spans="9:10" ht="15.75" customHeight="1" x14ac:dyDescent="0.35">
      <c r="I361" s="62"/>
      <c r="J361" s="33"/>
    </row>
    <row r="362" spans="9:10" ht="15.75" customHeight="1" x14ac:dyDescent="0.35">
      <c r="I362" s="62"/>
      <c r="J362" s="33"/>
    </row>
    <row r="363" spans="9:10" ht="15.75" customHeight="1" x14ac:dyDescent="0.35">
      <c r="I363" s="62"/>
      <c r="J363" s="33"/>
    </row>
    <row r="364" spans="9:10" ht="15.75" customHeight="1" x14ac:dyDescent="0.35">
      <c r="I364" s="62"/>
      <c r="J364" s="33"/>
    </row>
    <row r="365" spans="9:10" ht="15.75" customHeight="1" x14ac:dyDescent="0.35">
      <c r="I365" s="62"/>
      <c r="J365" s="33"/>
    </row>
    <row r="366" spans="9:10" ht="15.75" customHeight="1" x14ac:dyDescent="0.35">
      <c r="I366" s="62"/>
      <c r="J366" s="33"/>
    </row>
    <row r="367" spans="9:10" ht="15.75" customHeight="1" x14ac:dyDescent="0.35">
      <c r="I367" s="62"/>
      <c r="J367" s="33"/>
    </row>
    <row r="368" spans="9:10" ht="15.75" customHeight="1" x14ac:dyDescent="0.35">
      <c r="I368" s="62"/>
      <c r="J368" s="33"/>
    </row>
    <row r="369" spans="9:10" ht="15.75" customHeight="1" x14ac:dyDescent="0.35">
      <c r="I369" s="62"/>
      <c r="J369" s="33"/>
    </row>
    <row r="370" spans="9:10" ht="15.75" customHeight="1" x14ac:dyDescent="0.35">
      <c r="I370" s="62"/>
      <c r="J370" s="33"/>
    </row>
    <row r="371" spans="9:10" ht="15.75" customHeight="1" x14ac:dyDescent="0.35">
      <c r="I371" s="62"/>
      <c r="J371" s="33"/>
    </row>
    <row r="372" spans="9:10" ht="15.75" customHeight="1" x14ac:dyDescent="0.35">
      <c r="I372" s="62"/>
      <c r="J372" s="33"/>
    </row>
    <row r="373" spans="9:10" ht="15.75" customHeight="1" x14ac:dyDescent="0.35">
      <c r="I373" s="62"/>
      <c r="J373" s="33"/>
    </row>
    <row r="374" spans="9:10" ht="15.75" customHeight="1" x14ac:dyDescent="0.35">
      <c r="I374" s="62"/>
      <c r="J374" s="33"/>
    </row>
    <row r="375" spans="9:10" ht="15.75" customHeight="1" x14ac:dyDescent="0.35">
      <c r="I375" s="62"/>
      <c r="J375" s="33"/>
    </row>
    <row r="376" spans="9:10" ht="15.75" customHeight="1" x14ac:dyDescent="0.35">
      <c r="I376" s="62"/>
      <c r="J376" s="33"/>
    </row>
    <row r="377" spans="9:10" ht="15.75" customHeight="1" x14ac:dyDescent="0.35">
      <c r="I377" s="62"/>
      <c r="J377" s="33"/>
    </row>
    <row r="378" spans="9:10" ht="15.75" customHeight="1" x14ac:dyDescent="0.35">
      <c r="I378" s="62"/>
      <c r="J378" s="33"/>
    </row>
    <row r="379" spans="9:10" ht="15.75" customHeight="1" x14ac:dyDescent="0.35">
      <c r="I379" s="62"/>
      <c r="J379" s="33"/>
    </row>
    <row r="380" spans="9:10" ht="15.75" customHeight="1" x14ac:dyDescent="0.35">
      <c r="I380" s="62"/>
      <c r="J380" s="33"/>
    </row>
    <row r="381" spans="9:10" ht="15.75" customHeight="1" x14ac:dyDescent="0.35">
      <c r="I381" s="62"/>
      <c r="J381" s="33"/>
    </row>
    <row r="382" spans="9:10" ht="15.75" customHeight="1" x14ac:dyDescent="0.35">
      <c r="I382" s="62"/>
      <c r="J382" s="33"/>
    </row>
    <row r="383" spans="9:10" ht="15.75" customHeight="1" x14ac:dyDescent="0.35">
      <c r="I383" s="62"/>
      <c r="J383" s="33"/>
    </row>
    <row r="384" spans="9:10" ht="15.75" customHeight="1" x14ac:dyDescent="0.35">
      <c r="I384" s="62"/>
      <c r="J384" s="33"/>
    </row>
    <row r="385" spans="9:10" ht="15.75" customHeight="1" x14ac:dyDescent="0.35">
      <c r="I385" s="62"/>
      <c r="J385" s="33"/>
    </row>
    <row r="386" spans="9:10" ht="15.75" customHeight="1" x14ac:dyDescent="0.35">
      <c r="I386" s="62"/>
      <c r="J386" s="33"/>
    </row>
    <row r="387" spans="9:10" ht="15.75" customHeight="1" x14ac:dyDescent="0.35">
      <c r="I387" s="62"/>
      <c r="J387" s="33"/>
    </row>
    <row r="388" spans="9:10" ht="15.75" customHeight="1" x14ac:dyDescent="0.35">
      <c r="I388" s="62"/>
      <c r="J388" s="33"/>
    </row>
    <row r="389" spans="9:10" ht="15.75" customHeight="1" x14ac:dyDescent="0.35">
      <c r="I389" s="62"/>
      <c r="J389" s="33"/>
    </row>
    <row r="390" spans="9:10" ht="15.75" customHeight="1" x14ac:dyDescent="0.35">
      <c r="I390" s="62"/>
      <c r="J390" s="33"/>
    </row>
    <row r="391" spans="9:10" ht="15.75" customHeight="1" x14ac:dyDescent="0.35">
      <c r="I391" s="62"/>
      <c r="J391" s="33"/>
    </row>
    <row r="392" spans="9:10" ht="15.75" customHeight="1" x14ac:dyDescent="0.35">
      <c r="I392" s="62"/>
      <c r="J392" s="33"/>
    </row>
    <row r="393" spans="9:10" ht="15.75" customHeight="1" x14ac:dyDescent="0.35">
      <c r="I393" s="62"/>
      <c r="J393" s="33"/>
    </row>
    <row r="394" spans="9:10" ht="15.75" customHeight="1" x14ac:dyDescent="0.35">
      <c r="I394" s="62"/>
      <c r="J394" s="33"/>
    </row>
    <row r="395" spans="9:10" ht="15.75" customHeight="1" x14ac:dyDescent="0.35">
      <c r="I395" s="62"/>
      <c r="J395" s="33"/>
    </row>
    <row r="396" spans="9:10" ht="15.75" customHeight="1" x14ac:dyDescent="0.35">
      <c r="I396" s="62"/>
      <c r="J396" s="33"/>
    </row>
    <row r="397" spans="9:10" ht="15.75" customHeight="1" x14ac:dyDescent="0.35">
      <c r="I397" s="62"/>
      <c r="J397" s="33"/>
    </row>
    <row r="398" spans="9:10" ht="15.75" customHeight="1" x14ac:dyDescent="0.35">
      <c r="I398" s="62"/>
      <c r="J398" s="33"/>
    </row>
    <row r="399" spans="9:10" ht="15.75" customHeight="1" x14ac:dyDescent="0.35">
      <c r="I399" s="62"/>
      <c r="J399" s="33"/>
    </row>
    <row r="400" spans="9:10" ht="15.75" customHeight="1" x14ac:dyDescent="0.35">
      <c r="I400" s="62"/>
      <c r="J400" s="33"/>
    </row>
    <row r="401" spans="9:10" ht="15.75" customHeight="1" x14ac:dyDescent="0.35">
      <c r="I401" s="62"/>
      <c r="J401" s="33"/>
    </row>
    <row r="402" spans="9:10" ht="15.75" customHeight="1" x14ac:dyDescent="0.35">
      <c r="I402" s="62"/>
      <c r="J402" s="33"/>
    </row>
    <row r="403" spans="9:10" ht="15.75" customHeight="1" x14ac:dyDescent="0.35">
      <c r="I403" s="62"/>
      <c r="J403" s="33"/>
    </row>
    <row r="404" spans="9:10" ht="15.75" customHeight="1" x14ac:dyDescent="0.35">
      <c r="I404" s="62"/>
      <c r="J404" s="33"/>
    </row>
    <row r="405" spans="9:10" ht="15.75" customHeight="1" x14ac:dyDescent="0.35">
      <c r="I405" s="62"/>
      <c r="J405" s="33"/>
    </row>
    <row r="406" spans="9:10" ht="15.75" customHeight="1" x14ac:dyDescent="0.35">
      <c r="I406" s="62"/>
      <c r="J406" s="33"/>
    </row>
    <row r="407" spans="9:10" ht="15.75" customHeight="1" x14ac:dyDescent="0.35">
      <c r="I407" s="62"/>
      <c r="J407" s="33"/>
    </row>
    <row r="408" spans="9:10" ht="15.75" customHeight="1" x14ac:dyDescent="0.35">
      <c r="I408" s="62"/>
      <c r="J408" s="33"/>
    </row>
    <row r="409" spans="9:10" ht="15.75" customHeight="1" x14ac:dyDescent="0.35">
      <c r="I409" s="62"/>
      <c r="J409" s="33"/>
    </row>
    <row r="410" spans="9:10" ht="15.75" customHeight="1" x14ac:dyDescent="0.35">
      <c r="I410" s="62"/>
      <c r="J410" s="33"/>
    </row>
    <row r="411" spans="9:10" ht="15.75" customHeight="1" x14ac:dyDescent="0.35">
      <c r="I411" s="62"/>
      <c r="J411" s="33"/>
    </row>
    <row r="412" spans="9:10" ht="15.75" customHeight="1" x14ac:dyDescent="0.35">
      <c r="I412" s="62"/>
      <c r="J412" s="33"/>
    </row>
    <row r="413" spans="9:10" ht="15.75" customHeight="1" x14ac:dyDescent="0.35">
      <c r="I413" s="62"/>
      <c r="J413" s="33"/>
    </row>
    <row r="414" spans="9:10" ht="15.75" customHeight="1" x14ac:dyDescent="0.35">
      <c r="I414" s="62"/>
      <c r="J414" s="33"/>
    </row>
    <row r="415" spans="9:10" ht="15.75" customHeight="1" x14ac:dyDescent="0.35">
      <c r="I415" s="62"/>
      <c r="J415" s="33"/>
    </row>
    <row r="416" spans="9:10" ht="15.75" customHeight="1" x14ac:dyDescent="0.35">
      <c r="I416" s="62"/>
      <c r="J416" s="33"/>
    </row>
    <row r="417" spans="9:10" ht="15.75" customHeight="1" x14ac:dyDescent="0.35">
      <c r="I417" s="62"/>
      <c r="J417" s="33"/>
    </row>
    <row r="418" spans="9:10" ht="15.75" customHeight="1" x14ac:dyDescent="0.35">
      <c r="I418" s="62"/>
      <c r="J418" s="33"/>
    </row>
    <row r="419" spans="9:10" ht="15.75" customHeight="1" x14ac:dyDescent="0.35">
      <c r="I419" s="62"/>
      <c r="J419" s="33"/>
    </row>
    <row r="420" spans="9:10" ht="15.75" customHeight="1" x14ac:dyDescent="0.35">
      <c r="I420" s="62"/>
      <c r="J420" s="33"/>
    </row>
    <row r="421" spans="9:10" ht="15.75" customHeight="1" x14ac:dyDescent="0.35">
      <c r="I421" s="62"/>
      <c r="J421" s="33"/>
    </row>
    <row r="422" spans="9:10" ht="15.75" customHeight="1" x14ac:dyDescent="0.35">
      <c r="I422" s="62"/>
      <c r="J422" s="33"/>
    </row>
    <row r="423" spans="9:10" ht="15.75" customHeight="1" x14ac:dyDescent="0.35">
      <c r="I423" s="62"/>
      <c r="J423" s="33"/>
    </row>
    <row r="424" spans="9:10" ht="15.75" customHeight="1" x14ac:dyDescent="0.35">
      <c r="I424" s="62"/>
      <c r="J424" s="33"/>
    </row>
    <row r="425" spans="9:10" ht="15.75" customHeight="1" x14ac:dyDescent="0.35">
      <c r="I425" s="62"/>
      <c r="J425" s="33"/>
    </row>
    <row r="426" spans="9:10" ht="15.75" customHeight="1" x14ac:dyDescent="0.35">
      <c r="I426" s="62"/>
      <c r="J426" s="33"/>
    </row>
    <row r="427" spans="9:10" ht="15.75" customHeight="1" x14ac:dyDescent="0.35">
      <c r="I427" s="62"/>
      <c r="J427" s="33"/>
    </row>
    <row r="428" spans="9:10" ht="15.75" customHeight="1" x14ac:dyDescent="0.35">
      <c r="I428" s="62"/>
      <c r="J428" s="33"/>
    </row>
    <row r="429" spans="9:10" ht="15.75" customHeight="1" x14ac:dyDescent="0.35">
      <c r="I429" s="62"/>
      <c r="J429" s="33"/>
    </row>
    <row r="430" spans="9:10" ht="15.75" customHeight="1" x14ac:dyDescent="0.35">
      <c r="I430" s="62"/>
      <c r="J430" s="33"/>
    </row>
    <row r="431" spans="9:10" ht="15.75" customHeight="1" x14ac:dyDescent="0.35">
      <c r="I431" s="62"/>
      <c r="J431" s="33"/>
    </row>
    <row r="432" spans="9:10" ht="15.75" customHeight="1" x14ac:dyDescent="0.35">
      <c r="I432" s="62"/>
      <c r="J432" s="33"/>
    </row>
    <row r="433" spans="9:10" ht="15.75" customHeight="1" x14ac:dyDescent="0.35">
      <c r="I433" s="62"/>
      <c r="J433" s="33"/>
    </row>
    <row r="434" spans="9:10" ht="15.75" customHeight="1" x14ac:dyDescent="0.35">
      <c r="I434" s="62"/>
      <c r="J434" s="33"/>
    </row>
    <row r="435" spans="9:10" ht="15.75" customHeight="1" x14ac:dyDescent="0.35">
      <c r="I435" s="62"/>
      <c r="J435" s="33"/>
    </row>
    <row r="436" spans="9:10" ht="15.75" customHeight="1" x14ac:dyDescent="0.35">
      <c r="I436" s="62"/>
      <c r="J436" s="33"/>
    </row>
    <row r="437" spans="9:10" ht="15.75" customHeight="1" x14ac:dyDescent="0.35">
      <c r="I437" s="62"/>
      <c r="J437" s="33"/>
    </row>
    <row r="438" spans="9:10" ht="15.75" customHeight="1" x14ac:dyDescent="0.35">
      <c r="I438" s="62"/>
      <c r="J438" s="33"/>
    </row>
    <row r="439" spans="9:10" ht="15.75" customHeight="1" x14ac:dyDescent="0.35">
      <c r="I439" s="62"/>
      <c r="J439" s="33"/>
    </row>
    <row r="440" spans="9:10" ht="15.75" customHeight="1" x14ac:dyDescent="0.35">
      <c r="I440" s="62"/>
      <c r="J440" s="33"/>
    </row>
    <row r="441" spans="9:10" ht="15.75" customHeight="1" x14ac:dyDescent="0.35">
      <c r="I441" s="62"/>
      <c r="J441" s="33"/>
    </row>
    <row r="442" spans="9:10" ht="15.75" customHeight="1" x14ac:dyDescent="0.35">
      <c r="I442" s="62"/>
      <c r="J442" s="33"/>
    </row>
    <row r="443" spans="9:10" ht="15.75" customHeight="1" x14ac:dyDescent="0.35">
      <c r="I443" s="62"/>
      <c r="J443" s="33"/>
    </row>
    <row r="444" spans="9:10" ht="15.75" customHeight="1" x14ac:dyDescent="0.35">
      <c r="I444" s="62"/>
      <c r="J444" s="33"/>
    </row>
    <row r="445" spans="9:10" ht="15.75" customHeight="1" x14ac:dyDescent="0.35">
      <c r="I445" s="62"/>
      <c r="J445" s="33"/>
    </row>
    <row r="446" spans="9:10" ht="15.75" customHeight="1" x14ac:dyDescent="0.35">
      <c r="I446" s="62"/>
      <c r="J446" s="33"/>
    </row>
    <row r="447" spans="9:10" ht="15.75" customHeight="1" x14ac:dyDescent="0.35">
      <c r="I447" s="62"/>
      <c r="J447" s="33"/>
    </row>
    <row r="448" spans="9:10" ht="15.75" customHeight="1" x14ac:dyDescent="0.35">
      <c r="I448" s="62"/>
      <c r="J448" s="33"/>
    </row>
    <row r="449" spans="9:10" ht="15.75" customHeight="1" x14ac:dyDescent="0.35">
      <c r="I449" s="62"/>
      <c r="J449" s="33"/>
    </row>
    <row r="450" spans="9:10" ht="15.75" customHeight="1" x14ac:dyDescent="0.35">
      <c r="I450" s="62"/>
      <c r="J450" s="33"/>
    </row>
    <row r="451" spans="9:10" ht="15.75" customHeight="1" x14ac:dyDescent="0.35">
      <c r="I451" s="62"/>
      <c r="J451" s="33"/>
    </row>
    <row r="452" spans="9:10" ht="15.75" customHeight="1" x14ac:dyDescent="0.35">
      <c r="I452" s="62"/>
      <c r="J452" s="33"/>
    </row>
    <row r="453" spans="9:10" ht="15.75" customHeight="1" x14ac:dyDescent="0.35">
      <c r="I453" s="62"/>
      <c r="J453" s="33"/>
    </row>
    <row r="454" spans="9:10" ht="15.75" customHeight="1" x14ac:dyDescent="0.35">
      <c r="I454" s="62"/>
      <c r="J454" s="33"/>
    </row>
    <row r="455" spans="9:10" ht="15.75" customHeight="1" x14ac:dyDescent="0.35">
      <c r="I455" s="62"/>
      <c r="J455" s="33"/>
    </row>
    <row r="456" spans="9:10" ht="15.75" customHeight="1" x14ac:dyDescent="0.35">
      <c r="I456" s="62"/>
      <c r="J456" s="33"/>
    </row>
    <row r="457" spans="9:10" ht="15.75" customHeight="1" x14ac:dyDescent="0.35">
      <c r="I457" s="62"/>
      <c r="J457" s="33"/>
    </row>
    <row r="458" spans="9:10" ht="15.75" customHeight="1" x14ac:dyDescent="0.35">
      <c r="I458" s="62"/>
      <c r="J458" s="33"/>
    </row>
    <row r="459" spans="9:10" ht="15.75" customHeight="1" x14ac:dyDescent="0.35">
      <c r="I459" s="62"/>
      <c r="J459" s="33"/>
    </row>
    <row r="460" spans="9:10" ht="15.75" customHeight="1" x14ac:dyDescent="0.35">
      <c r="I460" s="62"/>
      <c r="J460" s="33"/>
    </row>
    <row r="461" spans="9:10" ht="15.75" customHeight="1" x14ac:dyDescent="0.35">
      <c r="I461" s="62"/>
      <c r="J461" s="33"/>
    </row>
    <row r="462" spans="9:10" ht="15.75" customHeight="1" x14ac:dyDescent="0.35">
      <c r="I462" s="62"/>
      <c r="J462" s="33"/>
    </row>
    <row r="463" spans="9:10" ht="15.75" customHeight="1" x14ac:dyDescent="0.35">
      <c r="I463" s="62"/>
      <c r="J463" s="33"/>
    </row>
    <row r="464" spans="9:10" ht="15.75" customHeight="1" x14ac:dyDescent="0.35">
      <c r="I464" s="62"/>
      <c r="J464" s="33"/>
    </row>
    <row r="465" spans="9:10" ht="15.75" customHeight="1" x14ac:dyDescent="0.35">
      <c r="I465" s="62"/>
      <c r="J465" s="33"/>
    </row>
    <row r="466" spans="9:10" ht="15.75" customHeight="1" x14ac:dyDescent="0.35">
      <c r="I466" s="62"/>
      <c r="J466" s="33"/>
    </row>
    <row r="467" spans="9:10" ht="15.75" customHeight="1" x14ac:dyDescent="0.35">
      <c r="I467" s="62"/>
      <c r="J467" s="33"/>
    </row>
    <row r="468" spans="9:10" ht="15.75" customHeight="1" x14ac:dyDescent="0.35">
      <c r="I468" s="62"/>
      <c r="J468" s="33"/>
    </row>
    <row r="469" spans="9:10" ht="15.75" customHeight="1" x14ac:dyDescent="0.35">
      <c r="I469" s="62"/>
      <c r="J469" s="33"/>
    </row>
    <row r="470" spans="9:10" ht="15.75" customHeight="1" x14ac:dyDescent="0.35">
      <c r="I470" s="62"/>
      <c r="J470" s="33"/>
    </row>
    <row r="471" spans="9:10" ht="15.75" customHeight="1" x14ac:dyDescent="0.35">
      <c r="I471" s="62"/>
      <c r="J471" s="33"/>
    </row>
    <row r="472" spans="9:10" ht="15.75" customHeight="1" x14ac:dyDescent="0.35">
      <c r="I472" s="62"/>
      <c r="J472" s="33"/>
    </row>
    <row r="473" spans="9:10" ht="15.75" customHeight="1" x14ac:dyDescent="0.35">
      <c r="I473" s="62"/>
      <c r="J473" s="33"/>
    </row>
    <row r="474" spans="9:10" ht="15.75" customHeight="1" x14ac:dyDescent="0.35">
      <c r="I474" s="62"/>
      <c r="J474" s="33"/>
    </row>
    <row r="475" spans="9:10" ht="15.75" customHeight="1" x14ac:dyDescent="0.35">
      <c r="I475" s="62"/>
      <c r="J475" s="33"/>
    </row>
    <row r="476" spans="9:10" ht="15.75" customHeight="1" x14ac:dyDescent="0.35">
      <c r="I476" s="62"/>
      <c r="J476" s="33"/>
    </row>
    <row r="477" spans="9:10" ht="15.75" customHeight="1" x14ac:dyDescent="0.35">
      <c r="I477" s="62"/>
      <c r="J477" s="33"/>
    </row>
    <row r="478" spans="9:10" ht="15.75" customHeight="1" x14ac:dyDescent="0.35">
      <c r="I478" s="62"/>
      <c r="J478" s="33"/>
    </row>
    <row r="479" spans="9:10" ht="15.75" customHeight="1" x14ac:dyDescent="0.35">
      <c r="I479" s="62"/>
      <c r="J479" s="33"/>
    </row>
    <row r="480" spans="9:10" ht="15.75" customHeight="1" x14ac:dyDescent="0.35">
      <c r="I480" s="62"/>
      <c r="J480" s="33"/>
    </row>
    <row r="481" spans="9:10" ht="15.75" customHeight="1" x14ac:dyDescent="0.35">
      <c r="I481" s="62"/>
      <c r="J481" s="33"/>
    </row>
    <row r="482" spans="9:10" ht="15.75" customHeight="1" x14ac:dyDescent="0.35">
      <c r="I482" s="62"/>
      <c r="J482" s="33"/>
    </row>
    <row r="483" spans="9:10" ht="15.75" customHeight="1" x14ac:dyDescent="0.35">
      <c r="I483" s="62"/>
      <c r="J483" s="33"/>
    </row>
    <row r="484" spans="9:10" ht="15.75" customHeight="1" x14ac:dyDescent="0.35">
      <c r="I484" s="62"/>
      <c r="J484" s="33"/>
    </row>
    <row r="485" spans="9:10" ht="15.75" customHeight="1" x14ac:dyDescent="0.35">
      <c r="I485" s="62"/>
      <c r="J485" s="33"/>
    </row>
    <row r="486" spans="9:10" ht="15.75" customHeight="1" x14ac:dyDescent="0.35">
      <c r="I486" s="62"/>
      <c r="J486" s="33"/>
    </row>
    <row r="487" spans="9:10" ht="15.75" customHeight="1" x14ac:dyDescent="0.35">
      <c r="I487" s="62"/>
      <c r="J487" s="33"/>
    </row>
    <row r="488" spans="9:10" ht="15.75" customHeight="1" x14ac:dyDescent="0.35">
      <c r="I488" s="62"/>
      <c r="J488" s="33"/>
    </row>
    <row r="489" spans="9:10" ht="15.75" customHeight="1" x14ac:dyDescent="0.35">
      <c r="I489" s="62"/>
      <c r="J489" s="33"/>
    </row>
    <row r="490" spans="9:10" ht="15.75" customHeight="1" x14ac:dyDescent="0.35">
      <c r="I490" s="62"/>
      <c r="J490" s="33"/>
    </row>
    <row r="491" spans="9:10" ht="15.75" customHeight="1" x14ac:dyDescent="0.35">
      <c r="I491" s="62"/>
      <c r="J491" s="33"/>
    </row>
    <row r="492" spans="9:10" ht="15.75" customHeight="1" x14ac:dyDescent="0.35">
      <c r="I492" s="62"/>
      <c r="J492" s="33"/>
    </row>
    <row r="493" spans="9:10" ht="15.75" customHeight="1" x14ac:dyDescent="0.35">
      <c r="I493" s="62"/>
      <c r="J493" s="33"/>
    </row>
    <row r="494" spans="9:10" ht="15.75" customHeight="1" x14ac:dyDescent="0.35">
      <c r="I494" s="62"/>
      <c r="J494" s="33"/>
    </row>
    <row r="495" spans="9:10" ht="15.75" customHeight="1" x14ac:dyDescent="0.35">
      <c r="I495" s="62"/>
      <c r="J495" s="33"/>
    </row>
    <row r="496" spans="9:10" ht="15.75" customHeight="1" x14ac:dyDescent="0.35">
      <c r="I496" s="62"/>
      <c r="J496" s="33"/>
    </row>
    <row r="497" spans="9:10" ht="15.75" customHeight="1" x14ac:dyDescent="0.35">
      <c r="I497" s="62"/>
      <c r="J497" s="33"/>
    </row>
    <row r="498" spans="9:10" ht="15.75" customHeight="1" x14ac:dyDescent="0.35">
      <c r="I498" s="62"/>
      <c r="J498" s="33"/>
    </row>
    <row r="499" spans="9:10" ht="15.75" customHeight="1" x14ac:dyDescent="0.35">
      <c r="J499" s="33"/>
    </row>
    <row r="500" spans="9:10" ht="15.75" customHeight="1" x14ac:dyDescent="0.35">
      <c r="J500" s="33"/>
    </row>
    <row r="501" spans="9:10" ht="15.75" customHeight="1" x14ac:dyDescent="0.35">
      <c r="J501" s="33"/>
    </row>
    <row r="502" spans="9:10" ht="15.75" customHeight="1" x14ac:dyDescent="0.35">
      <c r="J502" s="33"/>
    </row>
    <row r="503" spans="9:10" ht="15.75" customHeight="1" x14ac:dyDescent="0.35">
      <c r="J503" s="33"/>
    </row>
    <row r="504" spans="9:10" ht="15.75" customHeight="1" x14ac:dyDescent="0.35">
      <c r="J504" s="33"/>
    </row>
    <row r="505" spans="9:10" ht="15.75" customHeight="1" x14ac:dyDescent="0.35">
      <c r="J505" s="33"/>
    </row>
    <row r="506" spans="9:10" ht="15.75" customHeight="1" x14ac:dyDescent="0.35">
      <c r="J506" s="33"/>
    </row>
    <row r="507" spans="9:10" ht="15.75" customHeight="1" x14ac:dyDescent="0.35">
      <c r="J507" s="33"/>
    </row>
    <row r="508" spans="9:10" ht="15.75" customHeight="1" x14ac:dyDescent="0.35">
      <c r="J508" s="33"/>
    </row>
    <row r="509" spans="9:10" ht="15.75" customHeight="1" x14ac:dyDescent="0.35">
      <c r="J509" s="33"/>
    </row>
    <row r="510" spans="9:10" ht="15.75" customHeight="1" x14ac:dyDescent="0.35">
      <c r="J510" s="33"/>
    </row>
    <row r="511" spans="9:10" ht="15.75" customHeight="1" x14ac:dyDescent="0.35">
      <c r="J511" s="33"/>
    </row>
    <row r="512" spans="9:10" ht="15.75" customHeight="1" x14ac:dyDescent="0.35">
      <c r="J512" s="33"/>
    </row>
    <row r="513" spans="10:10" ht="15.75" customHeight="1" x14ac:dyDescent="0.35">
      <c r="J513" s="33"/>
    </row>
    <row r="514" spans="10:10" ht="15.75" customHeight="1" x14ac:dyDescent="0.35">
      <c r="J514" s="33"/>
    </row>
    <row r="515" spans="10:10" ht="15.75" customHeight="1" x14ac:dyDescent="0.35">
      <c r="J515" s="33"/>
    </row>
    <row r="516" spans="10:10" ht="15.75" customHeight="1" x14ac:dyDescent="0.35">
      <c r="J516" s="33"/>
    </row>
    <row r="517" spans="10:10" ht="15.75" customHeight="1" x14ac:dyDescent="0.35">
      <c r="J517" s="33"/>
    </row>
    <row r="518" spans="10:10" ht="15.75" customHeight="1" x14ac:dyDescent="0.35">
      <c r="J518" s="33"/>
    </row>
    <row r="519" spans="10:10" ht="15.75" customHeight="1" x14ac:dyDescent="0.35">
      <c r="J519" s="33"/>
    </row>
    <row r="520" spans="10:10" ht="15.75" customHeight="1" x14ac:dyDescent="0.35">
      <c r="J520" s="33"/>
    </row>
    <row r="521" spans="10:10" ht="15.75" customHeight="1" x14ac:dyDescent="0.35">
      <c r="J521" s="33"/>
    </row>
    <row r="522" spans="10:10" ht="15.75" customHeight="1" x14ac:dyDescent="0.35">
      <c r="J522" s="33"/>
    </row>
    <row r="523" spans="10:10" ht="15.75" customHeight="1" x14ac:dyDescent="0.35">
      <c r="J523" s="33"/>
    </row>
    <row r="524" spans="10:10" ht="15.75" customHeight="1" x14ac:dyDescent="0.35">
      <c r="J524" s="33"/>
    </row>
    <row r="525" spans="10:10" ht="15.75" customHeight="1" x14ac:dyDescent="0.35">
      <c r="J525" s="33"/>
    </row>
    <row r="526" spans="10:10" ht="15.75" customHeight="1" x14ac:dyDescent="0.35">
      <c r="J526" s="33"/>
    </row>
    <row r="527" spans="10:10" ht="15.75" customHeight="1" x14ac:dyDescent="0.35">
      <c r="J527" s="33"/>
    </row>
    <row r="528" spans="10:10" ht="15.75" customHeight="1" x14ac:dyDescent="0.35">
      <c r="J528" s="33"/>
    </row>
    <row r="529" spans="10:10" ht="15.75" customHeight="1" x14ac:dyDescent="0.35">
      <c r="J529" s="33"/>
    </row>
    <row r="530" spans="10:10" ht="15.75" customHeight="1" x14ac:dyDescent="0.35">
      <c r="J530" s="33"/>
    </row>
    <row r="531" spans="10:10" ht="15.75" customHeight="1" x14ac:dyDescent="0.35">
      <c r="J531" s="33"/>
    </row>
    <row r="532" spans="10:10" ht="15.75" customHeight="1" x14ac:dyDescent="0.35">
      <c r="J532" s="33"/>
    </row>
    <row r="533" spans="10:10" ht="15.75" customHeight="1" x14ac:dyDescent="0.35">
      <c r="J533" s="33"/>
    </row>
    <row r="534" spans="10:10" ht="15.75" customHeight="1" x14ac:dyDescent="0.35">
      <c r="J534" s="33"/>
    </row>
    <row r="535" spans="10:10" ht="15.75" customHeight="1" x14ac:dyDescent="0.35">
      <c r="J535" s="33"/>
    </row>
    <row r="536" spans="10:10" ht="15.75" customHeight="1" x14ac:dyDescent="0.35">
      <c r="J536" s="33"/>
    </row>
    <row r="537" spans="10:10" ht="15.75" customHeight="1" x14ac:dyDescent="0.35">
      <c r="J537" s="33"/>
    </row>
    <row r="538" spans="10:10" ht="15.75" customHeight="1" x14ac:dyDescent="0.35">
      <c r="J538" s="33"/>
    </row>
    <row r="539" spans="10:10" ht="15.75" customHeight="1" x14ac:dyDescent="0.35">
      <c r="J539" s="33"/>
    </row>
    <row r="540" spans="10:10" ht="15.75" customHeight="1" x14ac:dyDescent="0.35">
      <c r="J540" s="33"/>
    </row>
    <row r="541" spans="10:10" ht="15.75" customHeight="1" x14ac:dyDescent="0.35">
      <c r="J541" s="33"/>
    </row>
    <row r="542" spans="10:10" ht="15.75" customHeight="1" x14ac:dyDescent="0.35">
      <c r="J542" s="33"/>
    </row>
    <row r="543" spans="10:10" ht="15.75" customHeight="1" x14ac:dyDescent="0.35">
      <c r="J543" s="33"/>
    </row>
    <row r="544" spans="10:10" ht="15.75" customHeight="1" x14ac:dyDescent="0.35">
      <c r="J544" s="33"/>
    </row>
    <row r="545" spans="10:10" ht="15.75" customHeight="1" x14ac:dyDescent="0.35">
      <c r="J545" s="33"/>
    </row>
    <row r="546" spans="10:10" ht="15.75" customHeight="1" x14ac:dyDescent="0.35">
      <c r="J546" s="33"/>
    </row>
    <row r="547" spans="10:10" ht="15.75" customHeight="1" x14ac:dyDescent="0.35">
      <c r="J547" s="33"/>
    </row>
    <row r="548" spans="10:10" ht="15.75" customHeight="1" x14ac:dyDescent="0.35">
      <c r="J548" s="33"/>
    </row>
    <row r="549" spans="10:10" ht="15.75" customHeight="1" x14ac:dyDescent="0.35">
      <c r="J549" s="33"/>
    </row>
    <row r="550" spans="10:10" ht="15.75" customHeight="1" x14ac:dyDescent="0.35">
      <c r="J550" s="33"/>
    </row>
    <row r="551" spans="10:10" ht="15.75" customHeight="1" x14ac:dyDescent="0.35">
      <c r="J551" s="33"/>
    </row>
    <row r="552" spans="10:10" ht="15.75" customHeight="1" x14ac:dyDescent="0.35">
      <c r="J552" s="33"/>
    </row>
    <row r="553" spans="10:10" ht="15.75" customHeight="1" x14ac:dyDescent="0.35">
      <c r="J553" s="33"/>
    </row>
    <row r="554" spans="10:10" ht="15.75" customHeight="1" x14ac:dyDescent="0.35">
      <c r="J554" s="33"/>
    </row>
    <row r="555" spans="10:10" ht="15.75" customHeight="1" x14ac:dyDescent="0.35">
      <c r="J555" s="33"/>
    </row>
    <row r="556" spans="10:10" ht="15.75" customHeight="1" x14ac:dyDescent="0.35">
      <c r="J556" s="33"/>
    </row>
    <row r="557" spans="10:10" ht="15.75" customHeight="1" x14ac:dyDescent="0.35">
      <c r="J557" s="33"/>
    </row>
    <row r="558" spans="10:10" ht="15.75" customHeight="1" x14ac:dyDescent="0.35">
      <c r="J558" s="33"/>
    </row>
    <row r="559" spans="10:10" ht="15.75" customHeight="1" x14ac:dyDescent="0.35">
      <c r="J559" s="33"/>
    </row>
    <row r="560" spans="10:10" ht="15.75" customHeight="1" x14ac:dyDescent="0.35">
      <c r="J560" s="33"/>
    </row>
    <row r="561" spans="10:10" ht="15.75" customHeight="1" x14ac:dyDescent="0.35">
      <c r="J561" s="33"/>
    </row>
    <row r="562" spans="10:10" ht="15.75" customHeight="1" x14ac:dyDescent="0.35">
      <c r="J562" s="33"/>
    </row>
    <row r="563" spans="10:10" ht="15.75" customHeight="1" x14ac:dyDescent="0.35">
      <c r="J563" s="33"/>
    </row>
    <row r="564" spans="10:10" ht="15.75" customHeight="1" x14ac:dyDescent="0.35">
      <c r="J564" s="33"/>
    </row>
    <row r="565" spans="10:10" ht="15.75" customHeight="1" x14ac:dyDescent="0.35">
      <c r="J565" s="33"/>
    </row>
    <row r="566" spans="10:10" ht="15.75" customHeight="1" x14ac:dyDescent="0.35">
      <c r="J566" s="33"/>
    </row>
    <row r="567" spans="10:10" ht="15.75" customHeight="1" x14ac:dyDescent="0.35">
      <c r="J567" s="33"/>
    </row>
    <row r="568" spans="10:10" ht="15.75" customHeight="1" x14ac:dyDescent="0.35">
      <c r="J568" s="33"/>
    </row>
    <row r="569" spans="10:10" ht="15.75" customHeight="1" x14ac:dyDescent="0.35">
      <c r="J569" s="33"/>
    </row>
    <row r="570" spans="10:10" ht="15.75" customHeight="1" x14ac:dyDescent="0.35">
      <c r="J570" s="33"/>
    </row>
    <row r="571" spans="10:10" ht="15.75" customHeight="1" x14ac:dyDescent="0.35">
      <c r="J571" s="33"/>
    </row>
    <row r="572" spans="10:10" ht="15.75" customHeight="1" x14ac:dyDescent="0.35">
      <c r="J572" s="33"/>
    </row>
    <row r="573" spans="10:10" ht="15.75" customHeight="1" x14ac:dyDescent="0.35">
      <c r="J573" s="33"/>
    </row>
    <row r="574" spans="10:10" ht="15.75" customHeight="1" x14ac:dyDescent="0.35">
      <c r="J574" s="33"/>
    </row>
    <row r="575" spans="10:10" ht="15.75" customHeight="1" x14ac:dyDescent="0.35">
      <c r="J575" s="33"/>
    </row>
    <row r="576" spans="10:10" ht="15.75" customHeight="1" x14ac:dyDescent="0.35">
      <c r="J576" s="33"/>
    </row>
    <row r="577" spans="10:10" ht="15.75" customHeight="1" x14ac:dyDescent="0.35">
      <c r="J577" s="33"/>
    </row>
    <row r="578" spans="10:10" ht="15.75" customHeight="1" x14ac:dyDescent="0.35">
      <c r="J578" s="33"/>
    </row>
    <row r="579" spans="10:10" ht="15.75" customHeight="1" x14ac:dyDescent="0.35">
      <c r="J579" s="33"/>
    </row>
    <row r="580" spans="10:10" ht="15.75" customHeight="1" x14ac:dyDescent="0.35">
      <c r="J580" s="33"/>
    </row>
    <row r="581" spans="10:10" ht="15.75" customHeight="1" x14ac:dyDescent="0.35">
      <c r="J581" s="33"/>
    </row>
    <row r="582" spans="10:10" ht="15.75" customHeight="1" x14ac:dyDescent="0.35">
      <c r="J582" s="33"/>
    </row>
    <row r="583" spans="10:10" ht="15.75" customHeight="1" x14ac:dyDescent="0.35">
      <c r="J583" s="33"/>
    </row>
    <row r="584" spans="10:10" ht="15.75" customHeight="1" x14ac:dyDescent="0.35">
      <c r="J584" s="33"/>
    </row>
    <row r="585" spans="10:10" ht="15.75" customHeight="1" x14ac:dyDescent="0.35">
      <c r="J585" s="33"/>
    </row>
    <row r="586" spans="10:10" ht="15.75" customHeight="1" x14ac:dyDescent="0.35">
      <c r="J586" s="33"/>
    </row>
    <row r="587" spans="10:10" ht="15.75" customHeight="1" x14ac:dyDescent="0.35">
      <c r="J587" s="33"/>
    </row>
    <row r="588" spans="10:10" ht="15.75" customHeight="1" x14ac:dyDescent="0.35">
      <c r="J588" s="33"/>
    </row>
    <row r="589" spans="10:10" ht="15.75" customHeight="1" x14ac:dyDescent="0.35">
      <c r="J589" s="33"/>
    </row>
    <row r="590" spans="10:10" ht="15.75" customHeight="1" x14ac:dyDescent="0.35">
      <c r="J590" s="33"/>
    </row>
    <row r="591" spans="10:10" ht="15.75" customHeight="1" x14ac:dyDescent="0.35">
      <c r="J591" s="33"/>
    </row>
    <row r="592" spans="10:10" ht="15.75" customHeight="1" x14ac:dyDescent="0.35">
      <c r="J592" s="33"/>
    </row>
    <row r="593" spans="10:10" ht="15.75" customHeight="1" x14ac:dyDescent="0.35">
      <c r="J593" s="33"/>
    </row>
    <row r="594" spans="10:10" ht="15.75" customHeight="1" x14ac:dyDescent="0.35">
      <c r="J594" s="33"/>
    </row>
    <row r="595" spans="10:10" ht="15.75" customHeight="1" x14ac:dyDescent="0.35">
      <c r="J595" s="33"/>
    </row>
    <row r="596" spans="10:10" ht="15.75" customHeight="1" x14ac:dyDescent="0.35">
      <c r="J596" s="33"/>
    </row>
    <row r="597" spans="10:10" ht="15.75" customHeight="1" x14ac:dyDescent="0.35">
      <c r="J597" s="33"/>
    </row>
    <row r="598" spans="10:10" ht="15.75" customHeight="1" x14ac:dyDescent="0.35">
      <c r="J598" s="33"/>
    </row>
    <row r="599" spans="10:10" ht="15.75" customHeight="1" x14ac:dyDescent="0.35">
      <c r="J599" s="33"/>
    </row>
    <row r="600" spans="10:10" ht="15.75" customHeight="1" x14ac:dyDescent="0.35">
      <c r="J600" s="33"/>
    </row>
    <row r="601" spans="10:10" ht="15.75" customHeight="1" x14ac:dyDescent="0.35">
      <c r="J601" s="33"/>
    </row>
    <row r="602" spans="10:10" ht="15.75" customHeight="1" x14ac:dyDescent="0.35">
      <c r="J602" s="33"/>
    </row>
    <row r="603" spans="10:10" ht="15.75" customHeight="1" x14ac:dyDescent="0.35">
      <c r="J603" s="33"/>
    </row>
    <row r="604" spans="10:10" ht="15.75" customHeight="1" x14ac:dyDescent="0.35">
      <c r="J604" s="33"/>
    </row>
    <row r="605" spans="10:10" ht="15.75" customHeight="1" x14ac:dyDescent="0.35">
      <c r="J605" s="33"/>
    </row>
    <row r="606" spans="10:10" ht="15.75" customHeight="1" x14ac:dyDescent="0.35">
      <c r="J606" s="33"/>
    </row>
    <row r="607" spans="10:10" ht="15.75" customHeight="1" x14ac:dyDescent="0.35">
      <c r="J607" s="33"/>
    </row>
    <row r="608" spans="10:10" ht="15.75" customHeight="1" x14ac:dyDescent="0.35">
      <c r="J608" s="33"/>
    </row>
    <row r="609" spans="10:10" ht="15.75" customHeight="1" x14ac:dyDescent="0.35">
      <c r="J609" s="33"/>
    </row>
    <row r="610" spans="10:10" ht="15.75" customHeight="1" x14ac:dyDescent="0.35">
      <c r="J610" s="33"/>
    </row>
    <row r="611" spans="10:10" ht="15.75" customHeight="1" x14ac:dyDescent="0.35">
      <c r="J611" s="33"/>
    </row>
    <row r="612" spans="10:10" ht="15.75" customHeight="1" x14ac:dyDescent="0.35">
      <c r="J612" s="33"/>
    </row>
    <row r="613" spans="10:10" ht="15.75" customHeight="1" x14ac:dyDescent="0.35">
      <c r="J613" s="33"/>
    </row>
    <row r="614" spans="10:10" ht="15.75" customHeight="1" x14ac:dyDescent="0.35">
      <c r="J614" s="33"/>
    </row>
    <row r="615" spans="10:10" ht="15.75" customHeight="1" x14ac:dyDescent="0.35">
      <c r="J615" s="33"/>
    </row>
    <row r="616" spans="10:10" ht="15.75" customHeight="1" x14ac:dyDescent="0.35">
      <c r="J616" s="33"/>
    </row>
    <row r="617" spans="10:10" ht="15.75" customHeight="1" x14ac:dyDescent="0.35">
      <c r="J617" s="33"/>
    </row>
    <row r="618" spans="10:10" ht="15.75" customHeight="1" x14ac:dyDescent="0.35">
      <c r="J618" s="33"/>
    </row>
    <row r="619" spans="10:10" ht="15.75" customHeight="1" x14ac:dyDescent="0.35">
      <c r="J619" s="33"/>
    </row>
    <row r="620" spans="10:10" ht="15.75" customHeight="1" x14ac:dyDescent="0.35">
      <c r="J620" s="33"/>
    </row>
    <row r="621" spans="10:10" ht="15.75" customHeight="1" x14ac:dyDescent="0.35">
      <c r="J621" s="33"/>
    </row>
    <row r="622" spans="10:10" ht="15.75" customHeight="1" x14ac:dyDescent="0.35">
      <c r="J622" s="33"/>
    </row>
    <row r="623" spans="10:10" ht="15.75" customHeight="1" x14ac:dyDescent="0.35">
      <c r="J623" s="33"/>
    </row>
    <row r="624" spans="10:10" ht="15.75" customHeight="1" x14ac:dyDescent="0.35">
      <c r="J624" s="33"/>
    </row>
    <row r="625" spans="10:10" ht="15.75" customHeight="1" x14ac:dyDescent="0.35">
      <c r="J625" s="33"/>
    </row>
    <row r="626" spans="10:10" ht="15.75" customHeight="1" x14ac:dyDescent="0.35">
      <c r="J626" s="33"/>
    </row>
    <row r="627" spans="10:10" ht="15.75" customHeight="1" x14ac:dyDescent="0.35">
      <c r="J627" s="33"/>
    </row>
    <row r="628" spans="10:10" ht="15.75" customHeight="1" x14ac:dyDescent="0.35">
      <c r="J628" s="33"/>
    </row>
    <row r="629" spans="10:10" ht="15.75" customHeight="1" x14ac:dyDescent="0.35">
      <c r="J629" s="33"/>
    </row>
    <row r="630" spans="10:10" ht="15.75" customHeight="1" x14ac:dyDescent="0.35">
      <c r="J630" s="33"/>
    </row>
    <row r="631" spans="10:10" ht="15.75" customHeight="1" x14ac:dyDescent="0.35">
      <c r="J631" s="33"/>
    </row>
    <row r="632" spans="10:10" ht="15.75" customHeight="1" x14ac:dyDescent="0.35">
      <c r="J632" s="33"/>
    </row>
    <row r="633" spans="10:10" ht="15.75" customHeight="1" x14ac:dyDescent="0.35">
      <c r="J633" s="33"/>
    </row>
    <row r="634" spans="10:10" ht="15.75" customHeight="1" x14ac:dyDescent="0.35">
      <c r="J634" s="33"/>
    </row>
    <row r="635" spans="10:10" ht="15.75" customHeight="1" x14ac:dyDescent="0.35">
      <c r="J635" s="33"/>
    </row>
    <row r="636" spans="10:10" ht="15.75" customHeight="1" x14ac:dyDescent="0.35">
      <c r="J636" s="33"/>
    </row>
    <row r="637" spans="10:10" ht="15.75" customHeight="1" x14ac:dyDescent="0.35">
      <c r="J637" s="33"/>
    </row>
    <row r="638" spans="10:10" ht="15.75" customHeight="1" x14ac:dyDescent="0.35">
      <c r="J638" s="33"/>
    </row>
    <row r="639" spans="10:10" ht="15.75" customHeight="1" x14ac:dyDescent="0.35">
      <c r="J639" s="33"/>
    </row>
    <row r="640" spans="10:10" ht="15.75" customHeight="1" x14ac:dyDescent="0.35">
      <c r="J640" s="33"/>
    </row>
    <row r="641" spans="10:10" ht="15.75" customHeight="1" x14ac:dyDescent="0.35">
      <c r="J641" s="33"/>
    </row>
    <row r="642" spans="10:10" ht="15.75" customHeight="1" x14ac:dyDescent="0.35">
      <c r="J642" s="33"/>
    </row>
    <row r="643" spans="10:10" ht="15.75" customHeight="1" x14ac:dyDescent="0.35">
      <c r="J643" s="33"/>
    </row>
    <row r="644" spans="10:10" ht="15.75" customHeight="1" x14ac:dyDescent="0.35">
      <c r="J644" s="33"/>
    </row>
    <row r="645" spans="10:10" ht="15.75" customHeight="1" x14ac:dyDescent="0.35">
      <c r="J645" s="33"/>
    </row>
    <row r="646" spans="10:10" ht="15.75" customHeight="1" x14ac:dyDescent="0.35">
      <c r="J646" s="33"/>
    </row>
    <row r="647" spans="10:10" ht="15.75" customHeight="1" x14ac:dyDescent="0.35">
      <c r="J647" s="33"/>
    </row>
    <row r="648" spans="10:10" ht="15.75" customHeight="1" x14ac:dyDescent="0.35">
      <c r="J648" s="33"/>
    </row>
    <row r="649" spans="10:10" ht="15.75" customHeight="1" x14ac:dyDescent="0.35">
      <c r="J649" s="33"/>
    </row>
    <row r="650" spans="10:10" ht="15.75" customHeight="1" x14ac:dyDescent="0.35">
      <c r="J650" s="33"/>
    </row>
    <row r="651" spans="10:10" ht="15.75" customHeight="1" x14ac:dyDescent="0.35">
      <c r="J651" s="33"/>
    </row>
    <row r="652" spans="10:10" ht="15.75" customHeight="1" x14ac:dyDescent="0.35">
      <c r="J652" s="33"/>
    </row>
    <row r="653" spans="10:10" ht="15.75" customHeight="1" x14ac:dyDescent="0.35">
      <c r="J653" s="33"/>
    </row>
    <row r="654" spans="10:10" ht="15.75" customHeight="1" x14ac:dyDescent="0.35">
      <c r="J654" s="33"/>
    </row>
    <row r="655" spans="10:10" ht="15.75" customHeight="1" x14ac:dyDescent="0.35">
      <c r="J655" s="33"/>
    </row>
    <row r="656" spans="10:10" ht="15.75" customHeight="1" x14ac:dyDescent="0.35">
      <c r="J656" s="33"/>
    </row>
    <row r="657" spans="10:10" ht="15.75" customHeight="1" x14ac:dyDescent="0.35">
      <c r="J657" s="33"/>
    </row>
    <row r="658" spans="10:10" ht="15.75" customHeight="1" x14ac:dyDescent="0.35">
      <c r="J658" s="33"/>
    </row>
    <row r="659" spans="10:10" ht="15.75" customHeight="1" x14ac:dyDescent="0.35">
      <c r="J659" s="33"/>
    </row>
    <row r="660" spans="10:10" ht="15.75" customHeight="1" x14ac:dyDescent="0.35">
      <c r="J660" s="33"/>
    </row>
    <row r="661" spans="10:10" ht="15.75" customHeight="1" x14ac:dyDescent="0.35">
      <c r="J661" s="33"/>
    </row>
    <row r="662" spans="10:10" ht="15.75" customHeight="1" x14ac:dyDescent="0.35">
      <c r="J662" s="33"/>
    </row>
    <row r="663" spans="10:10" ht="15.75" customHeight="1" x14ac:dyDescent="0.35">
      <c r="J663" s="33"/>
    </row>
    <row r="664" spans="10:10" ht="15.75" customHeight="1" x14ac:dyDescent="0.35">
      <c r="J664" s="33"/>
    </row>
    <row r="665" spans="10:10" ht="15.75" customHeight="1" x14ac:dyDescent="0.35">
      <c r="J665" s="33"/>
    </row>
    <row r="666" spans="10:10" ht="15.75" customHeight="1" x14ac:dyDescent="0.35">
      <c r="J666" s="33"/>
    </row>
    <row r="667" spans="10:10" ht="15.75" customHeight="1" x14ac:dyDescent="0.35">
      <c r="J667" s="33"/>
    </row>
    <row r="668" spans="10:10" ht="15.75" customHeight="1" x14ac:dyDescent="0.35">
      <c r="J668" s="33"/>
    </row>
    <row r="669" spans="10:10" ht="15.75" customHeight="1" x14ac:dyDescent="0.35">
      <c r="J669" s="33"/>
    </row>
    <row r="670" spans="10:10" ht="15.75" customHeight="1" x14ac:dyDescent="0.35">
      <c r="J670" s="33"/>
    </row>
    <row r="671" spans="10:10" ht="15.75" customHeight="1" x14ac:dyDescent="0.35">
      <c r="J671" s="33"/>
    </row>
    <row r="672" spans="10:10" ht="15.75" customHeight="1" x14ac:dyDescent="0.35">
      <c r="J672" s="33"/>
    </row>
    <row r="673" spans="10:10" ht="15.75" customHeight="1" x14ac:dyDescent="0.35">
      <c r="J673" s="33"/>
    </row>
    <row r="674" spans="10:10" ht="15.75" customHeight="1" x14ac:dyDescent="0.35">
      <c r="J674" s="33"/>
    </row>
    <row r="675" spans="10:10" ht="15.75" customHeight="1" x14ac:dyDescent="0.35">
      <c r="J675" s="33"/>
    </row>
    <row r="676" spans="10:10" ht="15.75" customHeight="1" x14ac:dyDescent="0.35">
      <c r="J676" s="33"/>
    </row>
    <row r="677" spans="10:10" ht="15.75" customHeight="1" x14ac:dyDescent="0.35">
      <c r="J677" s="33"/>
    </row>
    <row r="678" spans="10:10" ht="15.75" customHeight="1" x14ac:dyDescent="0.35">
      <c r="J678" s="33"/>
    </row>
    <row r="679" spans="10:10" ht="15.75" customHeight="1" x14ac:dyDescent="0.35">
      <c r="J679" s="33"/>
    </row>
    <row r="680" spans="10:10" ht="15.75" customHeight="1" x14ac:dyDescent="0.35">
      <c r="J680" s="33"/>
    </row>
    <row r="681" spans="10:10" ht="15.75" customHeight="1" x14ac:dyDescent="0.35">
      <c r="J681" s="33"/>
    </row>
    <row r="682" spans="10:10" ht="15.75" customHeight="1" x14ac:dyDescent="0.35">
      <c r="J682" s="33"/>
    </row>
    <row r="683" spans="10:10" ht="15.75" customHeight="1" x14ac:dyDescent="0.35">
      <c r="J683" s="33"/>
    </row>
    <row r="684" spans="10:10" ht="15.75" customHeight="1" x14ac:dyDescent="0.35">
      <c r="J684" s="33"/>
    </row>
    <row r="685" spans="10:10" ht="15.75" customHeight="1" x14ac:dyDescent="0.35">
      <c r="J685" s="33"/>
    </row>
    <row r="686" spans="10:10" ht="15.75" customHeight="1" x14ac:dyDescent="0.35">
      <c r="J686" s="33"/>
    </row>
    <row r="687" spans="10:10" ht="15.75" customHeight="1" x14ac:dyDescent="0.35">
      <c r="J687" s="33"/>
    </row>
    <row r="688" spans="10:10" ht="15.75" customHeight="1" x14ac:dyDescent="0.35">
      <c r="J688" s="33"/>
    </row>
    <row r="689" spans="10:10" ht="15.75" customHeight="1" x14ac:dyDescent="0.35">
      <c r="J689" s="33"/>
    </row>
    <row r="690" spans="10:10" ht="15.75" customHeight="1" x14ac:dyDescent="0.35">
      <c r="J690" s="33"/>
    </row>
    <row r="691" spans="10:10" ht="15.75" customHeight="1" x14ac:dyDescent="0.35">
      <c r="J691" s="33"/>
    </row>
    <row r="692" spans="10:10" ht="15.75" customHeight="1" x14ac:dyDescent="0.35">
      <c r="J692" s="33"/>
    </row>
    <row r="693" spans="10:10" ht="15.75" customHeight="1" x14ac:dyDescent="0.35">
      <c r="J693" s="33"/>
    </row>
    <row r="694" spans="10:10" ht="15.75" customHeight="1" x14ac:dyDescent="0.35">
      <c r="J694" s="33"/>
    </row>
    <row r="695" spans="10:10" ht="15.75" customHeight="1" x14ac:dyDescent="0.35">
      <c r="J695" s="33"/>
    </row>
    <row r="696" spans="10:10" ht="15.75" customHeight="1" x14ac:dyDescent="0.35">
      <c r="J696" s="33"/>
    </row>
    <row r="697" spans="10:10" ht="15.75" customHeight="1" x14ac:dyDescent="0.35">
      <c r="J697" s="33"/>
    </row>
    <row r="698" spans="10:10" ht="15.75" customHeight="1" x14ac:dyDescent="0.35">
      <c r="J698" s="33"/>
    </row>
    <row r="699" spans="10:10" ht="15.75" customHeight="1" x14ac:dyDescent="0.35">
      <c r="J699" s="33"/>
    </row>
    <row r="700" spans="10:10" ht="15.75" customHeight="1" x14ac:dyDescent="0.35">
      <c r="J700" s="33"/>
    </row>
    <row r="701" spans="10:10" ht="15.75" customHeight="1" x14ac:dyDescent="0.35">
      <c r="J701" s="33"/>
    </row>
    <row r="702" spans="10:10" ht="15.75" customHeight="1" x14ac:dyDescent="0.35">
      <c r="J702" s="33"/>
    </row>
    <row r="703" spans="10:10" ht="15.75" customHeight="1" x14ac:dyDescent="0.35">
      <c r="J703" s="33"/>
    </row>
    <row r="704" spans="10:10" ht="15.75" customHeight="1" x14ac:dyDescent="0.35">
      <c r="J704" s="33"/>
    </row>
    <row r="705" spans="10:10" ht="15.75" customHeight="1" x14ac:dyDescent="0.35">
      <c r="J705" s="33"/>
    </row>
    <row r="706" spans="10:10" ht="15.75" customHeight="1" x14ac:dyDescent="0.35">
      <c r="J706" s="33"/>
    </row>
    <row r="707" spans="10:10" ht="15.75" customHeight="1" x14ac:dyDescent="0.35">
      <c r="J707" s="33"/>
    </row>
    <row r="708" spans="10:10" ht="15.75" customHeight="1" x14ac:dyDescent="0.35">
      <c r="J708" s="33"/>
    </row>
    <row r="709" spans="10:10" ht="15.75" customHeight="1" x14ac:dyDescent="0.35">
      <c r="J709" s="33"/>
    </row>
    <row r="710" spans="10:10" ht="15.75" customHeight="1" x14ac:dyDescent="0.35">
      <c r="J710" s="33"/>
    </row>
    <row r="711" spans="10:10" ht="15.75" customHeight="1" x14ac:dyDescent="0.35">
      <c r="J711" s="33"/>
    </row>
    <row r="712" spans="10:10" ht="15.75" customHeight="1" x14ac:dyDescent="0.35">
      <c r="J712" s="33"/>
    </row>
    <row r="713" spans="10:10" ht="15.75" customHeight="1" x14ac:dyDescent="0.35">
      <c r="J713" s="33"/>
    </row>
    <row r="714" spans="10:10" ht="15.75" customHeight="1" x14ac:dyDescent="0.35">
      <c r="J714" s="33"/>
    </row>
    <row r="715" spans="10:10" ht="15.75" customHeight="1" x14ac:dyDescent="0.35">
      <c r="J715" s="33"/>
    </row>
    <row r="716" spans="10:10" ht="15.75" customHeight="1" x14ac:dyDescent="0.35">
      <c r="J716" s="33"/>
    </row>
    <row r="717" spans="10:10" ht="15.75" customHeight="1" x14ac:dyDescent="0.35">
      <c r="J717" s="33"/>
    </row>
    <row r="718" spans="10:10" ht="15.75" customHeight="1" x14ac:dyDescent="0.35">
      <c r="J718" s="33"/>
    </row>
    <row r="719" spans="10:10" ht="15.75" customHeight="1" x14ac:dyDescent="0.35">
      <c r="J719" s="33"/>
    </row>
    <row r="720" spans="10:10" ht="15.75" customHeight="1" x14ac:dyDescent="0.35">
      <c r="J720" s="33"/>
    </row>
    <row r="721" spans="10:10" ht="15.75" customHeight="1" x14ac:dyDescent="0.35">
      <c r="J721" s="33"/>
    </row>
    <row r="722" spans="10:10" ht="15.75" customHeight="1" x14ac:dyDescent="0.35">
      <c r="J722" s="33"/>
    </row>
    <row r="723" spans="10:10" ht="15.75" customHeight="1" x14ac:dyDescent="0.35">
      <c r="J723" s="33"/>
    </row>
    <row r="724" spans="10:10" ht="15.75" customHeight="1" x14ac:dyDescent="0.35">
      <c r="J724" s="33"/>
    </row>
    <row r="725" spans="10:10" ht="15.75" customHeight="1" x14ac:dyDescent="0.35">
      <c r="J725" s="33"/>
    </row>
    <row r="726" spans="10:10" ht="15.75" customHeight="1" x14ac:dyDescent="0.35">
      <c r="J726" s="33"/>
    </row>
    <row r="727" spans="10:10" ht="15.75" customHeight="1" x14ac:dyDescent="0.35">
      <c r="J727" s="33"/>
    </row>
    <row r="728" spans="10:10" ht="15.75" customHeight="1" x14ac:dyDescent="0.35">
      <c r="J728" s="33"/>
    </row>
    <row r="729" spans="10:10" ht="15.75" customHeight="1" x14ac:dyDescent="0.35">
      <c r="J729" s="33"/>
    </row>
    <row r="730" spans="10:10" ht="15.75" customHeight="1" x14ac:dyDescent="0.35">
      <c r="J730" s="33"/>
    </row>
    <row r="731" spans="10:10" ht="15.75" customHeight="1" x14ac:dyDescent="0.35">
      <c r="J731" s="33"/>
    </row>
    <row r="732" spans="10:10" ht="15.75" customHeight="1" x14ac:dyDescent="0.35">
      <c r="J732" s="33"/>
    </row>
    <row r="733" spans="10:10" ht="15.75" customHeight="1" x14ac:dyDescent="0.35">
      <c r="J733" s="33"/>
    </row>
    <row r="734" spans="10:10" ht="15.75" customHeight="1" x14ac:dyDescent="0.35">
      <c r="J734" s="33"/>
    </row>
    <row r="735" spans="10:10" ht="15.75" customHeight="1" x14ac:dyDescent="0.35">
      <c r="J735" s="33"/>
    </row>
    <row r="736" spans="10:10" ht="15.75" customHeight="1" x14ac:dyDescent="0.35">
      <c r="J736" s="33"/>
    </row>
    <row r="737" spans="10:10" ht="15.75" customHeight="1" x14ac:dyDescent="0.35">
      <c r="J737" s="33"/>
    </row>
    <row r="738" spans="10:10" ht="15.75" customHeight="1" x14ac:dyDescent="0.35">
      <c r="J738" s="33"/>
    </row>
    <row r="739" spans="10:10" ht="15.75" customHeight="1" x14ac:dyDescent="0.35">
      <c r="J739" s="33"/>
    </row>
    <row r="740" spans="10:10" ht="15.75" customHeight="1" x14ac:dyDescent="0.35">
      <c r="J740" s="33"/>
    </row>
    <row r="741" spans="10:10" ht="15.75" customHeight="1" x14ac:dyDescent="0.35">
      <c r="J741" s="33"/>
    </row>
    <row r="742" spans="10:10" ht="15.75" customHeight="1" x14ac:dyDescent="0.35">
      <c r="J742" s="33"/>
    </row>
    <row r="743" spans="10:10" ht="15.75" customHeight="1" x14ac:dyDescent="0.35">
      <c r="J743" s="33"/>
    </row>
    <row r="744" spans="10:10" ht="15.75" customHeight="1" x14ac:dyDescent="0.35">
      <c r="J744" s="33"/>
    </row>
    <row r="745" spans="10:10" ht="15.75" customHeight="1" x14ac:dyDescent="0.35">
      <c r="J745" s="33"/>
    </row>
    <row r="746" spans="10:10" ht="15.75" customHeight="1" x14ac:dyDescent="0.35">
      <c r="J746" s="33"/>
    </row>
    <row r="747" spans="10:10" ht="15.75" customHeight="1" x14ac:dyDescent="0.35">
      <c r="J747" s="33"/>
    </row>
    <row r="748" spans="10:10" ht="15.75" customHeight="1" x14ac:dyDescent="0.35">
      <c r="J748" s="33"/>
    </row>
    <row r="749" spans="10:10" ht="15.75" customHeight="1" x14ac:dyDescent="0.35">
      <c r="J749" s="33"/>
    </row>
    <row r="750" spans="10:10" ht="15.75" customHeight="1" x14ac:dyDescent="0.35">
      <c r="J750" s="33"/>
    </row>
    <row r="751" spans="10:10" ht="15.75" customHeight="1" x14ac:dyDescent="0.35">
      <c r="J751" s="33"/>
    </row>
    <row r="752" spans="10:10" ht="15.75" customHeight="1" x14ac:dyDescent="0.35">
      <c r="J752" s="33"/>
    </row>
    <row r="753" spans="10:10" ht="15.75" customHeight="1" x14ac:dyDescent="0.35">
      <c r="J753" s="33"/>
    </row>
    <row r="754" spans="10:10" ht="15.75" customHeight="1" x14ac:dyDescent="0.35">
      <c r="J754" s="33"/>
    </row>
    <row r="755" spans="10:10" ht="15.75" customHeight="1" x14ac:dyDescent="0.35">
      <c r="J755" s="33"/>
    </row>
    <row r="756" spans="10:10" ht="15.75" customHeight="1" x14ac:dyDescent="0.35">
      <c r="J756" s="33"/>
    </row>
    <row r="757" spans="10:10" ht="15.75" customHeight="1" x14ac:dyDescent="0.35">
      <c r="J757" s="33"/>
    </row>
    <row r="758" spans="10:10" ht="15.75" customHeight="1" x14ac:dyDescent="0.35">
      <c r="J758" s="33"/>
    </row>
    <row r="759" spans="10:10" ht="15.75" customHeight="1" x14ac:dyDescent="0.35">
      <c r="J759" s="33"/>
    </row>
    <row r="760" spans="10:10" ht="15.75" customHeight="1" x14ac:dyDescent="0.35">
      <c r="J760" s="33"/>
    </row>
    <row r="761" spans="10:10" ht="15.75" customHeight="1" x14ac:dyDescent="0.35">
      <c r="J761" s="33"/>
    </row>
    <row r="762" spans="10:10" ht="15.75" customHeight="1" x14ac:dyDescent="0.35">
      <c r="J762" s="33"/>
    </row>
    <row r="763" spans="10:10" ht="15.75" customHeight="1" x14ac:dyDescent="0.35">
      <c r="J763" s="33"/>
    </row>
    <row r="764" spans="10:10" ht="15.75" customHeight="1" x14ac:dyDescent="0.35">
      <c r="J764" s="33"/>
    </row>
    <row r="765" spans="10:10" ht="15.75" customHeight="1" x14ac:dyDescent="0.35">
      <c r="J765" s="33"/>
    </row>
    <row r="766" spans="10:10" ht="15.75" customHeight="1" x14ac:dyDescent="0.35">
      <c r="J766" s="33"/>
    </row>
    <row r="767" spans="10:10" ht="15.75" customHeight="1" x14ac:dyDescent="0.35">
      <c r="J767" s="33"/>
    </row>
    <row r="768" spans="10:10" ht="15.75" customHeight="1" x14ac:dyDescent="0.35">
      <c r="J768" s="33"/>
    </row>
    <row r="769" spans="10:10" ht="15.75" customHeight="1" x14ac:dyDescent="0.35">
      <c r="J769" s="33"/>
    </row>
    <row r="770" spans="10:10" ht="15.75" customHeight="1" x14ac:dyDescent="0.35">
      <c r="J770" s="33"/>
    </row>
    <row r="771" spans="10:10" ht="15.75" customHeight="1" x14ac:dyDescent="0.35">
      <c r="J771" s="33"/>
    </row>
    <row r="772" spans="10:10" ht="15.75" customHeight="1" x14ac:dyDescent="0.35">
      <c r="J772" s="33"/>
    </row>
    <row r="773" spans="10:10" ht="15.75" customHeight="1" x14ac:dyDescent="0.35">
      <c r="J773" s="33"/>
    </row>
    <row r="774" spans="10:10" ht="15.75" customHeight="1" x14ac:dyDescent="0.35">
      <c r="J774" s="33"/>
    </row>
    <row r="775" spans="10:10" ht="15.75" customHeight="1" x14ac:dyDescent="0.35">
      <c r="J775" s="33"/>
    </row>
    <row r="776" spans="10:10" ht="15.75" customHeight="1" x14ac:dyDescent="0.35">
      <c r="J776" s="33"/>
    </row>
    <row r="777" spans="10:10" ht="15.75" customHeight="1" x14ac:dyDescent="0.35">
      <c r="J777" s="33"/>
    </row>
    <row r="778" spans="10:10" ht="15.75" customHeight="1" x14ac:dyDescent="0.35">
      <c r="J778" s="33"/>
    </row>
    <row r="779" spans="10:10" ht="15.75" customHeight="1" x14ac:dyDescent="0.35">
      <c r="J779" s="33"/>
    </row>
    <row r="780" spans="10:10" ht="15.75" customHeight="1" x14ac:dyDescent="0.35">
      <c r="J780" s="33"/>
    </row>
    <row r="781" spans="10:10" ht="15.75" customHeight="1" x14ac:dyDescent="0.35">
      <c r="J781" s="33"/>
    </row>
    <row r="782" spans="10:10" ht="15.75" customHeight="1" x14ac:dyDescent="0.35">
      <c r="J782" s="33"/>
    </row>
    <row r="783" spans="10:10" ht="15.75" customHeight="1" x14ac:dyDescent="0.35">
      <c r="J783" s="33"/>
    </row>
    <row r="784" spans="10:10" ht="15.75" customHeight="1" x14ac:dyDescent="0.35">
      <c r="J784" s="33"/>
    </row>
    <row r="785" spans="10:10" ht="15.75" customHeight="1" x14ac:dyDescent="0.35">
      <c r="J785" s="33"/>
    </row>
    <row r="786" spans="10:10" ht="15.75" customHeight="1" x14ac:dyDescent="0.35">
      <c r="J786" s="33"/>
    </row>
    <row r="787" spans="10:10" ht="15.75" customHeight="1" x14ac:dyDescent="0.35">
      <c r="J787" s="33"/>
    </row>
    <row r="788" spans="10:10" ht="15.75" customHeight="1" x14ac:dyDescent="0.35">
      <c r="J788" s="33"/>
    </row>
    <row r="789" spans="10:10" ht="15.75" customHeight="1" x14ac:dyDescent="0.35">
      <c r="J789" s="33"/>
    </row>
    <row r="790" spans="10:10" ht="15.75" customHeight="1" x14ac:dyDescent="0.35">
      <c r="J790" s="33"/>
    </row>
    <row r="791" spans="10:10" ht="15.75" customHeight="1" x14ac:dyDescent="0.35">
      <c r="J791" s="33"/>
    </row>
    <row r="792" spans="10:10" ht="15.75" customHeight="1" x14ac:dyDescent="0.35">
      <c r="J792" s="33"/>
    </row>
    <row r="793" spans="10:10" ht="15.75" customHeight="1" x14ac:dyDescent="0.35">
      <c r="J793" s="33"/>
    </row>
    <row r="794" spans="10:10" ht="15.75" customHeight="1" x14ac:dyDescent="0.35">
      <c r="J794" s="33"/>
    </row>
    <row r="795" spans="10:10" ht="15.75" customHeight="1" x14ac:dyDescent="0.35">
      <c r="J795" s="33"/>
    </row>
    <row r="796" spans="10:10" ht="15.75" customHeight="1" x14ac:dyDescent="0.35">
      <c r="J796" s="33"/>
    </row>
    <row r="797" spans="10:10" ht="15.75" customHeight="1" x14ac:dyDescent="0.35">
      <c r="J797" s="33"/>
    </row>
    <row r="798" spans="10:10" ht="15.75" customHeight="1" x14ac:dyDescent="0.35">
      <c r="J798" s="33"/>
    </row>
    <row r="799" spans="10:10" ht="15.75" customHeight="1" x14ac:dyDescent="0.35">
      <c r="J799" s="33"/>
    </row>
    <row r="800" spans="10:10" ht="15.75" customHeight="1" x14ac:dyDescent="0.35">
      <c r="J800" s="33"/>
    </row>
    <row r="801" spans="10:10" ht="15.75" customHeight="1" x14ac:dyDescent="0.35">
      <c r="J801" s="33"/>
    </row>
    <row r="802" spans="10:10" ht="15.75" customHeight="1" x14ac:dyDescent="0.35">
      <c r="J802" s="33"/>
    </row>
    <row r="803" spans="10:10" ht="15.75" customHeight="1" x14ac:dyDescent="0.35">
      <c r="J803" s="33"/>
    </row>
    <row r="804" spans="10:10" ht="15.75" customHeight="1" x14ac:dyDescent="0.35">
      <c r="J804" s="33"/>
    </row>
    <row r="805" spans="10:10" ht="15.75" customHeight="1" x14ac:dyDescent="0.35">
      <c r="J805" s="33"/>
    </row>
    <row r="806" spans="10:10" ht="15.75" customHeight="1" x14ac:dyDescent="0.35">
      <c r="J806" s="33"/>
    </row>
    <row r="807" spans="10:10" ht="15.75" customHeight="1" x14ac:dyDescent="0.35">
      <c r="J807" s="33"/>
    </row>
    <row r="808" spans="10:10" ht="15.75" customHeight="1" x14ac:dyDescent="0.35">
      <c r="J808" s="33"/>
    </row>
    <row r="809" spans="10:10" ht="15.75" customHeight="1" x14ac:dyDescent="0.35">
      <c r="J809" s="33"/>
    </row>
    <row r="810" spans="10:10" ht="15.75" customHeight="1" x14ac:dyDescent="0.35">
      <c r="J810" s="33"/>
    </row>
    <row r="811" spans="10:10" ht="15.75" customHeight="1" x14ac:dyDescent="0.35">
      <c r="J811" s="33"/>
    </row>
    <row r="812" spans="10:10" ht="15.75" customHeight="1" x14ac:dyDescent="0.35">
      <c r="J812" s="33"/>
    </row>
    <row r="813" spans="10:10" ht="15.75" customHeight="1" x14ac:dyDescent="0.35">
      <c r="J813" s="33"/>
    </row>
    <row r="814" spans="10:10" ht="15.75" customHeight="1" x14ac:dyDescent="0.35">
      <c r="J814" s="33"/>
    </row>
    <row r="815" spans="10:10" ht="15.75" customHeight="1" x14ac:dyDescent="0.35">
      <c r="J815" s="33"/>
    </row>
    <row r="816" spans="10:10" ht="15.75" customHeight="1" x14ac:dyDescent="0.35">
      <c r="J816" s="33"/>
    </row>
    <row r="817" spans="10:10" ht="15.75" customHeight="1" x14ac:dyDescent="0.35">
      <c r="J817" s="33"/>
    </row>
    <row r="818" spans="10:10" ht="15.75" customHeight="1" x14ac:dyDescent="0.35">
      <c r="J818" s="33"/>
    </row>
    <row r="819" spans="10:10" ht="15.75" customHeight="1" x14ac:dyDescent="0.35">
      <c r="J819" s="33"/>
    </row>
    <row r="820" spans="10:10" ht="15.75" customHeight="1" x14ac:dyDescent="0.35">
      <c r="J820" s="33"/>
    </row>
    <row r="821" spans="10:10" ht="15.75" customHeight="1" x14ac:dyDescent="0.35">
      <c r="J821" s="33"/>
    </row>
    <row r="822" spans="10:10" ht="15.75" customHeight="1" x14ac:dyDescent="0.35">
      <c r="J822" s="33"/>
    </row>
    <row r="823" spans="10:10" ht="15.75" customHeight="1" x14ac:dyDescent="0.35">
      <c r="J823" s="33"/>
    </row>
    <row r="824" spans="10:10" ht="15.75" customHeight="1" x14ac:dyDescent="0.35">
      <c r="J824" s="33"/>
    </row>
    <row r="825" spans="10:10" ht="15.75" customHeight="1" x14ac:dyDescent="0.35">
      <c r="J825" s="33"/>
    </row>
    <row r="826" spans="10:10" ht="15.75" customHeight="1" x14ac:dyDescent="0.35">
      <c r="J826" s="33"/>
    </row>
    <row r="827" spans="10:10" ht="15.75" customHeight="1" x14ac:dyDescent="0.35">
      <c r="J827" s="33"/>
    </row>
    <row r="828" spans="10:10" ht="15.75" customHeight="1" x14ac:dyDescent="0.35">
      <c r="J828" s="33"/>
    </row>
    <row r="829" spans="10:10" ht="15.75" customHeight="1" x14ac:dyDescent="0.35">
      <c r="J829" s="33"/>
    </row>
    <row r="830" spans="10:10" ht="15.75" customHeight="1" x14ac:dyDescent="0.35">
      <c r="J830" s="33"/>
    </row>
    <row r="831" spans="10:10" ht="15.75" customHeight="1" x14ac:dyDescent="0.35">
      <c r="J831" s="33"/>
    </row>
    <row r="832" spans="10:10" ht="15.75" customHeight="1" x14ac:dyDescent="0.35">
      <c r="J832" s="33"/>
    </row>
    <row r="833" spans="10:10" ht="15.75" customHeight="1" x14ac:dyDescent="0.35">
      <c r="J833" s="33"/>
    </row>
    <row r="834" spans="10:10" ht="15.75" customHeight="1" x14ac:dyDescent="0.35">
      <c r="J834" s="33"/>
    </row>
    <row r="835" spans="10:10" ht="15.75" customHeight="1" x14ac:dyDescent="0.35">
      <c r="J835" s="33"/>
    </row>
    <row r="836" spans="10:10" ht="15.75" customHeight="1" x14ac:dyDescent="0.35">
      <c r="J836" s="33"/>
    </row>
    <row r="837" spans="10:10" ht="15.75" customHeight="1" x14ac:dyDescent="0.35">
      <c r="J837" s="33"/>
    </row>
    <row r="838" spans="10:10" ht="15.75" customHeight="1" x14ac:dyDescent="0.35">
      <c r="J838" s="33"/>
    </row>
    <row r="839" spans="10:10" ht="15.75" customHeight="1" x14ac:dyDescent="0.35">
      <c r="J839" s="33"/>
    </row>
    <row r="840" spans="10:10" ht="15.75" customHeight="1" x14ac:dyDescent="0.35">
      <c r="J840" s="33"/>
    </row>
    <row r="841" spans="10:10" ht="15.75" customHeight="1" x14ac:dyDescent="0.35">
      <c r="J841" s="33"/>
    </row>
    <row r="842" spans="10:10" ht="15.75" customHeight="1" x14ac:dyDescent="0.35">
      <c r="J842" s="33"/>
    </row>
    <row r="843" spans="10:10" ht="15.75" customHeight="1" x14ac:dyDescent="0.35">
      <c r="J843" s="33"/>
    </row>
    <row r="844" spans="10:10" ht="15.75" customHeight="1" x14ac:dyDescent="0.35">
      <c r="J844" s="33"/>
    </row>
    <row r="845" spans="10:10" ht="15.75" customHeight="1" x14ac:dyDescent="0.35">
      <c r="J845" s="33"/>
    </row>
    <row r="846" spans="10:10" ht="15.75" customHeight="1" x14ac:dyDescent="0.35">
      <c r="J846" s="33"/>
    </row>
    <row r="847" spans="10:10" ht="15.75" customHeight="1" x14ac:dyDescent="0.35">
      <c r="J847" s="33"/>
    </row>
    <row r="848" spans="10:10" ht="15.75" customHeight="1" x14ac:dyDescent="0.35">
      <c r="J848" s="33"/>
    </row>
    <row r="849" spans="10:10" ht="15.75" customHeight="1" x14ac:dyDescent="0.35">
      <c r="J849" s="33"/>
    </row>
    <row r="850" spans="10:10" ht="15.75" customHeight="1" x14ac:dyDescent="0.35">
      <c r="J850" s="33"/>
    </row>
    <row r="851" spans="10:10" ht="15.75" customHeight="1" x14ac:dyDescent="0.35">
      <c r="J851" s="33"/>
    </row>
    <row r="852" spans="10:10" ht="15.75" customHeight="1" x14ac:dyDescent="0.35">
      <c r="J852" s="33"/>
    </row>
    <row r="853" spans="10:10" ht="15.75" customHeight="1" x14ac:dyDescent="0.35">
      <c r="J853" s="33"/>
    </row>
    <row r="854" spans="10:10" ht="15.75" customHeight="1" x14ac:dyDescent="0.35">
      <c r="J854" s="33"/>
    </row>
    <row r="855" spans="10:10" ht="15.75" customHeight="1" x14ac:dyDescent="0.35">
      <c r="J855" s="33"/>
    </row>
    <row r="856" spans="10:10" ht="15.75" customHeight="1" x14ac:dyDescent="0.35">
      <c r="J856" s="33"/>
    </row>
    <row r="857" spans="10:10" ht="15.75" customHeight="1" x14ac:dyDescent="0.35">
      <c r="J857" s="33"/>
    </row>
    <row r="858" spans="10:10" ht="15.75" customHeight="1" x14ac:dyDescent="0.35">
      <c r="J858" s="33"/>
    </row>
    <row r="859" spans="10:10" ht="15.75" customHeight="1" x14ac:dyDescent="0.35">
      <c r="J859" s="33"/>
    </row>
    <row r="860" spans="10:10" ht="15.75" customHeight="1" x14ac:dyDescent="0.35">
      <c r="J860" s="33"/>
    </row>
    <row r="861" spans="10:10" ht="15.75" customHeight="1" x14ac:dyDescent="0.35">
      <c r="J861" s="33"/>
    </row>
    <row r="862" spans="10:10" ht="15.75" customHeight="1" x14ac:dyDescent="0.35">
      <c r="J862" s="33"/>
    </row>
    <row r="863" spans="10:10" ht="15.75" customHeight="1" x14ac:dyDescent="0.35">
      <c r="J863" s="33"/>
    </row>
    <row r="864" spans="10:10" ht="15.75" customHeight="1" x14ac:dyDescent="0.35">
      <c r="J864" s="33"/>
    </row>
    <row r="865" spans="10:10" ht="15.75" customHeight="1" x14ac:dyDescent="0.35">
      <c r="J865" s="33"/>
    </row>
    <row r="866" spans="10:10" ht="15.75" customHeight="1" x14ac:dyDescent="0.35">
      <c r="J866" s="33"/>
    </row>
    <row r="867" spans="10:10" ht="15.75" customHeight="1" x14ac:dyDescent="0.35">
      <c r="J867" s="33"/>
    </row>
    <row r="868" spans="10:10" ht="15.75" customHeight="1" x14ac:dyDescent="0.35">
      <c r="J868" s="33"/>
    </row>
    <row r="869" spans="10:10" ht="15.75" customHeight="1" x14ac:dyDescent="0.35">
      <c r="J869" s="33"/>
    </row>
    <row r="870" spans="10:10" ht="15.75" customHeight="1" x14ac:dyDescent="0.35">
      <c r="J870" s="33"/>
    </row>
    <row r="871" spans="10:10" ht="15.75" customHeight="1" x14ac:dyDescent="0.35">
      <c r="J871" s="33"/>
    </row>
    <row r="872" spans="10:10" ht="15.75" customHeight="1" x14ac:dyDescent="0.35">
      <c r="J872" s="33"/>
    </row>
    <row r="873" spans="10:10" ht="15.75" customHeight="1" x14ac:dyDescent="0.35">
      <c r="J873" s="33"/>
    </row>
    <row r="874" spans="10:10" ht="15.75" customHeight="1" x14ac:dyDescent="0.35">
      <c r="J874" s="33"/>
    </row>
    <row r="875" spans="10:10" ht="15.75" customHeight="1" x14ac:dyDescent="0.35">
      <c r="J875" s="33"/>
    </row>
    <row r="876" spans="10:10" ht="15.75" customHeight="1" x14ac:dyDescent="0.35">
      <c r="J876" s="33"/>
    </row>
    <row r="877" spans="10:10" ht="15.75" customHeight="1" x14ac:dyDescent="0.35">
      <c r="J877" s="33"/>
    </row>
    <row r="878" spans="10:10" ht="15.75" customHeight="1" x14ac:dyDescent="0.35">
      <c r="J878" s="33"/>
    </row>
    <row r="879" spans="10:10" ht="15.75" customHeight="1" x14ac:dyDescent="0.35">
      <c r="J879" s="33"/>
    </row>
    <row r="880" spans="10:10" ht="15.75" customHeight="1" x14ac:dyDescent="0.35">
      <c r="J880" s="33"/>
    </row>
    <row r="881" spans="10:10" ht="15.75" customHeight="1" x14ac:dyDescent="0.35">
      <c r="J881" s="33"/>
    </row>
    <row r="882" spans="10:10" ht="15.75" customHeight="1" x14ac:dyDescent="0.35">
      <c r="J882" s="33"/>
    </row>
    <row r="883" spans="10:10" ht="15.75" customHeight="1" x14ac:dyDescent="0.35">
      <c r="J883" s="33"/>
    </row>
    <row r="884" spans="10:10" ht="15.75" customHeight="1" x14ac:dyDescent="0.35">
      <c r="J884" s="33"/>
    </row>
    <row r="885" spans="10:10" ht="15.75" customHeight="1" x14ac:dyDescent="0.35">
      <c r="J885" s="33"/>
    </row>
    <row r="886" spans="10:10" ht="15.75" customHeight="1" x14ac:dyDescent="0.35">
      <c r="J886" s="33"/>
    </row>
    <row r="887" spans="10:10" ht="15.75" customHeight="1" x14ac:dyDescent="0.35">
      <c r="J887" s="33"/>
    </row>
    <row r="888" spans="10:10" ht="15.75" customHeight="1" x14ac:dyDescent="0.35">
      <c r="J888" s="33"/>
    </row>
    <row r="889" spans="10:10" ht="15.75" customHeight="1" x14ac:dyDescent="0.35">
      <c r="J889" s="33"/>
    </row>
    <row r="890" spans="10:10" ht="15.75" customHeight="1" x14ac:dyDescent="0.35">
      <c r="J890" s="33"/>
    </row>
    <row r="891" spans="10:10" ht="15.75" customHeight="1" x14ac:dyDescent="0.35">
      <c r="J891" s="33"/>
    </row>
    <row r="892" spans="10:10" ht="15.75" customHeight="1" x14ac:dyDescent="0.35">
      <c r="J892" s="33"/>
    </row>
    <row r="893" spans="10:10" ht="15.75" customHeight="1" x14ac:dyDescent="0.35">
      <c r="J893" s="33"/>
    </row>
    <row r="894" spans="10:10" ht="15.75" customHeight="1" x14ac:dyDescent="0.35">
      <c r="J894" s="33"/>
    </row>
    <row r="895" spans="10:10" ht="15.75" customHeight="1" x14ac:dyDescent="0.35">
      <c r="J895" s="33"/>
    </row>
    <row r="896" spans="10:10" ht="15.75" customHeight="1" x14ac:dyDescent="0.35">
      <c r="J896" s="33"/>
    </row>
    <row r="897" spans="10:10" ht="15.75" customHeight="1" x14ac:dyDescent="0.35">
      <c r="J897" s="33"/>
    </row>
    <row r="898" spans="10:10" ht="15.75" customHeight="1" x14ac:dyDescent="0.35">
      <c r="J898" s="33"/>
    </row>
    <row r="899" spans="10:10" ht="15.75" customHeight="1" x14ac:dyDescent="0.35">
      <c r="J899" s="33"/>
    </row>
    <row r="900" spans="10:10" ht="15.75" customHeight="1" x14ac:dyDescent="0.35">
      <c r="J900" s="33"/>
    </row>
    <row r="901" spans="10:10" ht="15.75" customHeight="1" x14ac:dyDescent="0.35">
      <c r="J901" s="33"/>
    </row>
    <row r="902" spans="10:10" ht="15.75" customHeight="1" x14ac:dyDescent="0.35">
      <c r="J902" s="33"/>
    </row>
    <row r="903" spans="10:10" ht="15.75" customHeight="1" x14ac:dyDescent="0.35">
      <c r="J903" s="33"/>
    </row>
    <row r="904" spans="10:10" ht="15.75" customHeight="1" x14ac:dyDescent="0.35">
      <c r="J904" s="33"/>
    </row>
    <row r="905" spans="10:10" ht="15.75" customHeight="1" x14ac:dyDescent="0.35">
      <c r="J905" s="33"/>
    </row>
    <row r="906" spans="10:10" ht="15.75" customHeight="1" x14ac:dyDescent="0.35">
      <c r="J906" s="33"/>
    </row>
    <row r="907" spans="10:10" ht="15.75" customHeight="1" x14ac:dyDescent="0.35">
      <c r="J907" s="33"/>
    </row>
    <row r="908" spans="10:10" ht="15.75" customHeight="1" x14ac:dyDescent="0.35">
      <c r="J908" s="33"/>
    </row>
    <row r="909" spans="10:10" ht="15.75" customHeight="1" x14ac:dyDescent="0.35">
      <c r="J909" s="33"/>
    </row>
    <row r="910" spans="10:10" ht="15.75" customHeight="1" x14ac:dyDescent="0.35">
      <c r="J910" s="33"/>
    </row>
    <row r="911" spans="10:10" ht="15.75" customHeight="1" x14ac:dyDescent="0.35">
      <c r="J911" s="33"/>
    </row>
    <row r="912" spans="10:10" ht="15.75" customHeight="1" x14ac:dyDescent="0.35">
      <c r="J912" s="33"/>
    </row>
    <row r="913" spans="10:10" ht="15.75" customHeight="1" x14ac:dyDescent="0.35">
      <c r="J913" s="33"/>
    </row>
    <row r="914" spans="10:10" ht="15.75" customHeight="1" x14ac:dyDescent="0.35">
      <c r="J914" s="33"/>
    </row>
    <row r="915" spans="10:10" ht="15.75" customHeight="1" x14ac:dyDescent="0.35">
      <c r="J915" s="33"/>
    </row>
    <row r="916" spans="10:10" ht="15.75" customHeight="1" x14ac:dyDescent="0.35">
      <c r="J916" s="33"/>
    </row>
    <row r="917" spans="10:10" ht="15.75" customHeight="1" x14ac:dyDescent="0.35">
      <c r="J917" s="33"/>
    </row>
    <row r="918" spans="10:10" ht="15.75" customHeight="1" x14ac:dyDescent="0.35">
      <c r="J918" s="33"/>
    </row>
    <row r="919" spans="10:10" ht="15.75" customHeight="1" x14ac:dyDescent="0.35">
      <c r="J919" s="33"/>
    </row>
    <row r="920" spans="10:10" ht="15.75" customHeight="1" x14ac:dyDescent="0.35">
      <c r="J920" s="33"/>
    </row>
    <row r="921" spans="10:10" ht="15.75" customHeight="1" x14ac:dyDescent="0.35">
      <c r="J921" s="33"/>
    </row>
    <row r="922" spans="10:10" ht="15.75" customHeight="1" x14ac:dyDescent="0.35">
      <c r="J922" s="33"/>
    </row>
    <row r="923" spans="10:10" ht="15.75" customHeight="1" x14ac:dyDescent="0.35">
      <c r="J923" s="33"/>
    </row>
    <row r="924" spans="10:10" ht="15.75" customHeight="1" x14ac:dyDescent="0.35">
      <c r="J924" s="33"/>
    </row>
    <row r="925" spans="10:10" ht="15.75" customHeight="1" x14ac:dyDescent="0.35">
      <c r="J925" s="33"/>
    </row>
    <row r="926" spans="10:10" ht="15.75" customHeight="1" x14ac:dyDescent="0.35">
      <c r="J926" s="33"/>
    </row>
    <row r="927" spans="10:10" ht="15.75" customHeight="1" x14ac:dyDescent="0.35">
      <c r="J927" s="33"/>
    </row>
    <row r="928" spans="10:10" ht="15.75" customHeight="1" x14ac:dyDescent="0.35">
      <c r="J928" s="33"/>
    </row>
    <row r="929" spans="10:10" ht="15.75" customHeight="1" x14ac:dyDescent="0.35">
      <c r="J929" s="33"/>
    </row>
    <row r="930" spans="10:10" ht="15.75" customHeight="1" x14ac:dyDescent="0.35">
      <c r="J930" s="33"/>
    </row>
    <row r="931" spans="10:10" ht="15.75" customHeight="1" x14ac:dyDescent="0.35">
      <c r="J931" s="33"/>
    </row>
    <row r="932" spans="10:10" ht="15.75" customHeight="1" x14ac:dyDescent="0.35">
      <c r="J932" s="33"/>
    </row>
    <row r="933" spans="10:10" ht="15.75" customHeight="1" x14ac:dyDescent="0.35">
      <c r="J933" s="33"/>
    </row>
    <row r="934" spans="10:10" ht="15.75" customHeight="1" x14ac:dyDescent="0.35">
      <c r="J934" s="33"/>
    </row>
    <row r="935" spans="10:10" ht="15.75" customHeight="1" x14ac:dyDescent="0.35">
      <c r="J935" s="33"/>
    </row>
    <row r="936" spans="10:10" ht="15.75" customHeight="1" x14ac:dyDescent="0.35">
      <c r="J936" s="33"/>
    </row>
    <row r="937" spans="10:10" ht="15.75" customHeight="1" x14ac:dyDescent="0.35">
      <c r="J937" s="33"/>
    </row>
    <row r="938" spans="10:10" ht="15.75" customHeight="1" x14ac:dyDescent="0.35">
      <c r="J938" s="33"/>
    </row>
    <row r="939" spans="10:10" ht="15.75" customHeight="1" x14ac:dyDescent="0.35">
      <c r="J939" s="33"/>
    </row>
    <row r="940" spans="10:10" ht="15.75" customHeight="1" x14ac:dyDescent="0.35">
      <c r="J940" s="33"/>
    </row>
    <row r="941" spans="10:10" ht="15.75" customHeight="1" x14ac:dyDescent="0.35">
      <c r="J941" s="33"/>
    </row>
    <row r="942" spans="10:10" ht="15.75" customHeight="1" x14ac:dyDescent="0.35">
      <c r="J942" s="33"/>
    </row>
    <row r="943" spans="10:10" ht="15.75" customHeight="1" x14ac:dyDescent="0.35">
      <c r="J943" s="33"/>
    </row>
    <row r="944" spans="10:10" ht="15.75" customHeight="1" x14ac:dyDescent="0.35">
      <c r="J944" s="33"/>
    </row>
    <row r="945" spans="10:10" ht="15.75" customHeight="1" x14ac:dyDescent="0.35">
      <c r="J945" s="33"/>
    </row>
    <row r="946" spans="10:10" ht="15.75" customHeight="1" x14ac:dyDescent="0.35">
      <c r="J946" s="33"/>
    </row>
    <row r="947" spans="10:10" ht="15.75" customHeight="1" x14ac:dyDescent="0.35">
      <c r="J947" s="33"/>
    </row>
    <row r="948" spans="10:10" ht="15.75" customHeight="1" x14ac:dyDescent="0.35">
      <c r="J948" s="33"/>
    </row>
    <row r="949" spans="10:10" ht="15.75" customHeight="1" x14ac:dyDescent="0.35">
      <c r="J949" s="33"/>
    </row>
    <row r="950" spans="10:10" ht="15.75" customHeight="1" x14ac:dyDescent="0.35">
      <c r="J950" s="33"/>
    </row>
    <row r="951" spans="10:10" ht="15.75" customHeight="1" x14ac:dyDescent="0.35">
      <c r="J951" s="33"/>
    </row>
    <row r="952" spans="10:10" ht="15.75" customHeight="1" x14ac:dyDescent="0.35">
      <c r="J952" s="33"/>
    </row>
    <row r="953" spans="10:10" ht="15.75" customHeight="1" x14ac:dyDescent="0.35">
      <c r="J953" s="33"/>
    </row>
    <row r="954" spans="10:10" ht="15.75" customHeight="1" x14ac:dyDescent="0.35">
      <c r="J954" s="33"/>
    </row>
    <row r="955" spans="10:10" ht="15.75" customHeight="1" x14ac:dyDescent="0.35">
      <c r="J955" s="33"/>
    </row>
    <row r="956" spans="10:10" ht="15.75" customHeight="1" x14ac:dyDescent="0.35">
      <c r="J956" s="33"/>
    </row>
    <row r="957" spans="10:10" ht="15.75" customHeight="1" x14ac:dyDescent="0.35">
      <c r="J957" s="33"/>
    </row>
    <row r="958" spans="10:10" ht="15.75" customHeight="1" x14ac:dyDescent="0.35">
      <c r="J958" s="33"/>
    </row>
    <row r="959" spans="10:10" ht="15.75" customHeight="1" x14ac:dyDescent="0.35">
      <c r="J959" s="33"/>
    </row>
    <row r="960" spans="10:10" ht="15.75" customHeight="1" x14ac:dyDescent="0.35">
      <c r="J960" s="33"/>
    </row>
    <row r="961" spans="10:10" ht="15.75" customHeight="1" x14ac:dyDescent="0.35">
      <c r="J961" s="33"/>
    </row>
    <row r="962" spans="10:10" ht="15.75" customHeight="1" x14ac:dyDescent="0.35">
      <c r="J962" s="33"/>
    </row>
    <row r="963" spans="10:10" ht="15.75" customHeight="1" x14ac:dyDescent="0.35">
      <c r="J963" s="33"/>
    </row>
    <row r="964" spans="10:10" ht="15.75" customHeight="1" x14ac:dyDescent="0.35">
      <c r="J964" s="33"/>
    </row>
    <row r="965" spans="10:10" ht="15.75" customHeight="1" x14ac:dyDescent="0.35">
      <c r="J965" s="33"/>
    </row>
    <row r="966" spans="10:10" ht="15.75" customHeight="1" x14ac:dyDescent="0.35">
      <c r="J966" s="33"/>
    </row>
    <row r="967" spans="10:10" ht="15.75" customHeight="1" x14ac:dyDescent="0.35">
      <c r="J967" s="33"/>
    </row>
    <row r="968" spans="10:10" ht="15.75" customHeight="1" x14ac:dyDescent="0.35">
      <c r="J968" s="33"/>
    </row>
    <row r="969" spans="10:10" ht="15.75" customHeight="1" x14ac:dyDescent="0.35">
      <c r="J969" s="33"/>
    </row>
    <row r="970" spans="10:10" ht="15.75" customHeight="1" x14ac:dyDescent="0.35">
      <c r="J970" s="33"/>
    </row>
    <row r="971" spans="10:10" ht="15.75" customHeight="1" x14ac:dyDescent="0.35">
      <c r="J971" s="33"/>
    </row>
    <row r="972" spans="10:10" ht="15.75" customHeight="1" x14ac:dyDescent="0.35">
      <c r="J972" s="33"/>
    </row>
    <row r="973" spans="10:10" ht="15.75" customHeight="1" x14ac:dyDescent="0.35">
      <c r="J973" s="33"/>
    </row>
    <row r="974" spans="10:10" ht="15.75" customHeight="1" x14ac:dyDescent="0.35">
      <c r="J974" s="33"/>
    </row>
    <row r="975" spans="10:10" ht="15.75" customHeight="1" x14ac:dyDescent="0.35">
      <c r="J975" s="33"/>
    </row>
    <row r="976" spans="10:10" ht="15.75" customHeight="1" x14ac:dyDescent="0.35">
      <c r="J976" s="33"/>
    </row>
    <row r="977" spans="10:10" ht="15.75" customHeight="1" x14ac:dyDescent="0.35">
      <c r="J977" s="33"/>
    </row>
    <row r="978" spans="10:10" ht="15.75" customHeight="1" x14ac:dyDescent="0.35">
      <c r="J978" s="33"/>
    </row>
    <row r="979" spans="10:10" ht="15.75" customHeight="1" x14ac:dyDescent="0.35">
      <c r="J979" s="33"/>
    </row>
    <row r="980" spans="10:10" ht="15.75" customHeight="1" x14ac:dyDescent="0.35">
      <c r="J980" s="33"/>
    </row>
    <row r="981" spans="10:10" ht="15.75" customHeight="1" x14ac:dyDescent="0.35">
      <c r="J981" s="33"/>
    </row>
    <row r="982" spans="10:10" ht="15.75" customHeight="1" x14ac:dyDescent="0.35">
      <c r="J982" s="33"/>
    </row>
    <row r="983" spans="10:10" ht="15.75" customHeight="1" x14ac:dyDescent="0.35">
      <c r="J983" s="33"/>
    </row>
    <row r="984" spans="10:10" ht="15.75" customHeight="1" x14ac:dyDescent="0.35">
      <c r="J984" s="33"/>
    </row>
    <row r="985" spans="10:10" ht="15.75" customHeight="1" x14ac:dyDescent="0.35">
      <c r="J985" s="33"/>
    </row>
    <row r="986" spans="10:10" ht="15.75" customHeight="1" x14ac:dyDescent="0.35">
      <c r="J986" s="33"/>
    </row>
    <row r="987" spans="10:10" ht="15.75" customHeight="1" x14ac:dyDescent="0.35">
      <c r="J987" s="33"/>
    </row>
    <row r="988" spans="10:10" ht="15.75" customHeight="1" x14ac:dyDescent="0.35">
      <c r="J988" s="33"/>
    </row>
    <row r="989" spans="10:10" ht="15.75" customHeight="1" x14ac:dyDescent="0.35">
      <c r="J989" s="33"/>
    </row>
    <row r="990" spans="10:10" ht="15.75" customHeight="1" x14ac:dyDescent="0.35">
      <c r="J990" s="33"/>
    </row>
    <row r="991" spans="10:10" ht="15.75" customHeight="1" x14ac:dyDescent="0.35">
      <c r="J991" s="33"/>
    </row>
    <row r="992" spans="10:10" ht="15.75" customHeight="1" x14ac:dyDescent="0.35">
      <c r="J992" s="33"/>
    </row>
    <row r="993" spans="10:10" ht="15.75" customHeight="1" x14ac:dyDescent="0.35">
      <c r="J993" s="33"/>
    </row>
    <row r="994" spans="10:10" ht="15.75" customHeight="1" x14ac:dyDescent="0.35">
      <c r="J994" s="33"/>
    </row>
    <row r="995" spans="10:10" ht="15.75" customHeight="1" x14ac:dyDescent="0.35">
      <c r="J995" s="33"/>
    </row>
    <row r="996" spans="10:10" ht="15.75" customHeight="1" x14ac:dyDescent="0.35">
      <c r="J996" s="33"/>
    </row>
    <row r="997" spans="10:10" ht="15.75" customHeight="1" x14ac:dyDescent="0.35">
      <c r="J997" s="33"/>
    </row>
    <row r="998" spans="10:10" ht="15.75" customHeight="1" x14ac:dyDescent="0.35">
      <c r="J998" s="33"/>
    </row>
    <row r="999" spans="10:10" ht="15.75" customHeight="1" x14ac:dyDescent="0.35">
      <c r="J999" s="33"/>
    </row>
    <row r="1000" spans="10:10" ht="15.75" customHeight="1" x14ac:dyDescent="0.35">
      <c r="J1000" s="33"/>
    </row>
    <row r="1001" spans="10:10" ht="15.75" customHeight="1" x14ac:dyDescent="0.35">
      <c r="J1001" s="33"/>
    </row>
    <row r="1002" spans="10:10" ht="15.75" customHeight="1" x14ac:dyDescent="0.35">
      <c r="J1002" s="33"/>
    </row>
    <row r="1003" spans="10:10" ht="15.75" customHeight="1" x14ac:dyDescent="0.35">
      <c r="J1003" s="33"/>
    </row>
    <row r="1004" spans="10:10" ht="15.75" customHeight="1" x14ac:dyDescent="0.35">
      <c r="J1004" s="33"/>
    </row>
    <row r="1005" spans="10:10" ht="15.75" customHeight="1" x14ac:dyDescent="0.35">
      <c r="J1005" s="33"/>
    </row>
    <row r="1006" spans="10:10" ht="15.75" customHeight="1" x14ac:dyDescent="0.35">
      <c r="J1006" s="33"/>
    </row>
    <row r="1007" spans="10:10" ht="15.75" customHeight="1" x14ac:dyDescent="0.35">
      <c r="J1007" s="33"/>
    </row>
    <row r="1008" spans="10:10" ht="15.75" customHeight="1" x14ac:dyDescent="0.35">
      <c r="J1008" s="33"/>
    </row>
    <row r="1009" spans="10:10" ht="15.75" customHeight="1" x14ac:dyDescent="0.35">
      <c r="J1009" s="33"/>
    </row>
    <row r="1010" spans="10:10" ht="15.75" customHeight="1" x14ac:dyDescent="0.35">
      <c r="J1010" s="33"/>
    </row>
    <row r="1011" spans="10:10" ht="15.75" customHeight="1" x14ac:dyDescent="0.35">
      <c r="J1011" s="33"/>
    </row>
    <row r="1012" spans="10:10" ht="15.75" customHeight="1" x14ac:dyDescent="0.35">
      <c r="J1012" s="33"/>
    </row>
    <row r="1013" spans="10:10" ht="15.75" customHeight="1" x14ac:dyDescent="0.35">
      <c r="J1013" s="33"/>
    </row>
    <row r="1014" spans="10:10" ht="15.75" customHeight="1" x14ac:dyDescent="0.35">
      <c r="J1014" s="33"/>
    </row>
    <row r="1015" spans="10:10" ht="15.75" customHeight="1" x14ac:dyDescent="0.35">
      <c r="J1015" s="33"/>
    </row>
    <row r="1016" spans="10:10" ht="15.75" customHeight="1" x14ac:dyDescent="0.35">
      <c r="J1016" s="33"/>
    </row>
    <row r="1017" spans="10:10" ht="15.75" customHeight="1" x14ac:dyDescent="0.35">
      <c r="J1017" s="33"/>
    </row>
    <row r="1018" spans="10:10" ht="15.75" customHeight="1" x14ac:dyDescent="0.35">
      <c r="J1018" s="33"/>
    </row>
    <row r="1019" spans="10:10" ht="15.75" customHeight="1" x14ac:dyDescent="0.35">
      <c r="J1019" s="33"/>
    </row>
    <row r="1020" spans="10:10" ht="15.75" customHeight="1" x14ac:dyDescent="0.35">
      <c r="J1020" s="33"/>
    </row>
    <row r="1021" spans="10:10" ht="15.75" customHeight="1" x14ac:dyDescent="0.35">
      <c r="J1021" s="33"/>
    </row>
    <row r="1022" spans="10:10" ht="15.75" customHeight="1" x14ac:dyDescent="0.35">
      <c r="J1022" s="33"/>
    </row>
    <row r="1023" spans="10:10" ht="15.75" customHeight="1" x14ac:dyDescent="0.35">
      <c r="J1023" s="33"/>
    </row>
    <row r="1024" spans="10:10" ht="15.75" customHeight="1" x14ac:dyDescent="0.35">
      <c r="J1024" s="33"/>
    </row>
    <row r="1025" spans="10:10" ht="15.75" customHeight="1" x14ac:dyDescent="0.35">
      <c r="J1025" s="33"/>
    </row>
    <row r="1026" spans="10:10" ht="15.75" customHeight="1" x14ac:dyDescent="0.35">
      <c r="J1026" s="33"/>
    </row>
    <row r="1027" spans="10:10" ht="15.75" customHeight="1" x14ac:dyDescent="0.35">
      <c r="J1027" s="33"/>
    </row>
    <row r="1028" spans="10:10" ht="15.75" customHeight="1" x14ac:dyDescent="0.35">
      <c r="J1028" s="33"/>
    </row>
    <row r="1029" spans="10:10" ht="15.75" customHeight="1" x14ac:dyDescent="0.35">
      <c r="J1029" s="33"/>
    </row>
    <row r="1030" spans="10:10" ht="15.75" customHeight="1" x14ac:dyDescent="0.35">
      <c r="J1030" s="33"/>
    </row>
    <row r="1031" spans="10:10" ht="15.75" customHeight="1" x14ac:dyDescent="0.35">
      <c r="J1031" s="33"/>
    </row>
    <row r="1032" spans="10:10" ht="15.75" customHeight="1" x14ac:dyDescent="0.35">
      <c r="J1032" s="33"/>
    </row>
    <row r="1033" spans="10:10" ht="15.75" customHeight="1" x14ac:dyDescent="0.35">
      <c r="J1033" s="33"/>
    </row>
    <row r="1034" spans="10:10" ht="15.75" customHeight="1" x14ac:dyDescent="0.35">
      <c r="J1034" s="33"/>
    </row>
    <row r="1035" spans="10:10" ht="15.75" customHeight="1" x14ac:dyDescent="0.35">
      <c r="J1035" s="33"/>
    </row>
    <row r="1036" spans="10:10" ht="15.75" customHeight="1" x14ac:dyDescent="0.35">
      <c r="J1036" s="33"/>
    </row>
    <row r="1037" spans="10:10" ht="15.75" customHeight="1" x14ac:dyDescent="0.35">
      <c r="J1037" s="33"/>
    </row>
    <row r="1038" spans="10:10" ht="15.75" customHeight="1" x14ac:dyDescent="0.35">
      <c r="J1038" s="33"/>
    </row>
    <row r="1039" spans="10:10" ht="15.75" customHeight="1" x14ac:dyDescent="0.35">
      <c r="J1039" s="33"/>
    </row>
    <row r="1040" spans="10:10" ht="15.75" customHeight="1" x14ac:dyDescent="0.35">
      <c r="J1040" s="33"/>
    </row>
    <row r="1041" spans="10:10" ht="15.75" customHeight="1" x14ac:dyDescent="0.35">
      <c r="J1041" s="33"/>
    </row>
    <row r="1042" spans="10:10" ht="15.75" customHeight="1" x14ac:dyDescent="0.35">
      <c r="J1042" s="33"/>
    </row>
    <row r="1043" spans="10:10" ht="15.75" customHeight="1" x14ac:dyDescent="0.35">
      <c r="J1043" s="33"/>
    </row>
    <row r="1044" spans="10:10" ht="15.75" customHeight="1" x14ac:dyDescent="0.35">
      <c r="J1044" s="33"/>
    </row>
    <row r="1045" spans="10:10" ht="15.75" customHeight="1" x14ac:dyDescent="0.35">
      <c r="J1045" s="33"/>
    </row>
    <row r="1046" spans="10:10" ht="15.75" customHeight="1" x14ac:dyDescent="0.35">
      <c r="J1046" s="33"/>
    </row>
    <row r="1047" spans="10:10" ht="15.75" customHeight="1" x14ac:dyDescent="0.35">
      <c r="J1047" s="33"/>
    </row>
    <row r="1048" spans="10:10" ht="15.75" customHeight="1" x14ac:dyDescent="0.35">
      <c r="J1048" s="33"/>
    </row>
    <row r="1049" spans="10:10" ht="15.75" customHeight="1" x14ac:dyDescent="0.35">
      <c r="J1049" s="33"/>
    </row>
    <row r="1050" spans="10:10" ht="15.75" customHeight="1" x14ac:dyDescent="0.35">
      <c r="J1050" s="33"/>
    </row>
    <row r="1051" spans="10:10" ht="15.75" customHeight="1" x14ac:dyDescent="0.35">
      <c r="J1051" s="33"/>
    </row>
    <row r="1052" spans="10:10" ht="15.75" customHeight="1" x14ac:dyDescent="0.35">
      <c r="J1052" s="33"/>
    </row>
    <row r="1053" spans="10:10" ht="15.75" customHeight="1" x14ac:dyDescent="0.35">
      <c r="J1053" s="33"/>
    </row>
    <row r="1054" spans="10:10" ht="15.75" customHeight="1" x14ac:dyDescent="0.35">
      <c r="J1054" s="33"/>
    </row>
    <row r="1055" spans="10:10" ht="15.75" customHeight="1" x14ac:dyDescent="0.35">
      <c r="J1055" s="33"/>
    </row>
    <row r="1056" spans="10:10" ht="15.75" customHeight="1" x14ac:dyDescent="0.35">
      <c r="J1056" s="33"/>
    </row>
    <row r="1057" spans="10:10" ht="15.75" customHeight="1" x14ac:dyDescent="0.35">
      <c r="J1057" s="33"/>
    </row>
    <row r="1058" spans="10:10" ht="15.75" customHeight="1" x14ac:dyDescent="0.35">
      <c r="J1058" s="33"/>
    </row>
    <row r="1059" spans="10:10" ht="15.75" customHeight="1" x14ac:dyDescent="0.35">
      <c r="J1059" s="33"/>
    </row>
    <row r="1060" spans="10:10" ht="15.75" customHeight="1" x14ac:dyDescent="0.35">
      <c r="J1060" s="33"/>
    </row>
    <row r="1061" spans="10:10" ht="15.75" customHeight="1" x14ac:dyDescent="0.35">
      <c r="J1061" s="33"/>
    </row>
    <row r="1062" spans="10:10" ht="15.75" customHeight="1" x14ac:dyDescent="0.35">
      <c r="J1062" s="33"/>
    </row>
    <row r="1063" spans="10:10" ht="15.75" customHeight="1" x14ac:dyDescent="0.35">
      <c r="J1063" s="33"/>
    </row>
    <row r="1064" spans="10:10" ht="15.75" customHeight="1" x14ac:dyDescent="0.35">
      <c r="J1064" s="33"/>
    </row>
    <row r="1065" spans="10:10" ht="15.75" customHeight="1" x14ac:dyDescent="0.35">
      <c r="J1065" s="33"/>
    </row>
    <row r="1066" spans="10:10" ht="15.75" customHeight="1" x14ac:dyDescent="0.35">
      <c r="J1066" s="33"/>
    </row>
    <row r="1067" spans="10:10" ht="15.75" customHeight="1" x14ac:dyDescent="0.35">
      <c r="J1067" s="33"/>
    </row>
    <row r="1068" spans="10:10" ht="15.75" customHeight="1" x14ac:dyDescent="0.35">
      <c r="J1068" s="33"/>
    </row>
    <row r="1069" spans="10:10" ht="15.75" customHeight="1" x14ac:dyDescent="0.35">
      <c r="J1069" s="33"/>
    </row>
    <row r="1070" spans="10:10" ht="15.75" customHeight="1" x14ac:dyDescent="0.35">
      <c r="J1070" s="33"/>
    </row>
    <row r="1071" spans="10:10" ht="15.75" customHeight="1" x14ac:dyDescent="0.35">
      <c r="J1071" s="33"/>
    </row>
    <row r="1072" spans="10:10" ht="15.75" customHeight="1" x14ac:dyDescent="0.35">
      <c r="J1072" s="33"/>
    </row>
    <row r="1073" spans="10:10" ht="15.75" customHeight="1" x14ac:dyDescent="0.35">
      <c r="J1073" s="33"/>
    </row>
    <row r="1074" spans="10:10" ht="15.75" customHeight="1" x14ac:dyDescent="0.35">
      <c r="J1074" s="33"/>
    </row>
    <row r="1075" spans="10:10" ht="15.75" customHeight="1" x14ac:dyDescent="0.35">
      <c r="J1075" s="33"/>
    </row>
    <row r="1076" spans="10:10" ht="15.75" customHeight="1" x14ac:dyDescent="0.35">
      <c r="J1076" s="33"/>
    </row>
    <row r="1077" spans="10:10" ht="15.75" customHeight="1" x14ac:dyDescent="0.35">
      <c r="J1077" s="33"/>
    </row>
    <row r="1078" spans="10:10" ht="15.75" customHeight="1" x14ac:dyDescent="0.35">
      <c r="J1078" s="33"/>
    </row>
    <row r="1079" spans="10:10" ht="15.75" customHeight="1" x14ac:dyDescent="0.35">
      <c r="J1079" s="33"/>
    </row>
    <row r="1080" spans="10:10" ht="15.75" customHeight="1" x14ac:dyDescent="0.35">
      <c r="J1080" s="33"/>
    </row>
    <row r="1081" spans="10:10" ht="15.75" customHeight="1" x14ac:dyDescent="0.35">
      <c r="J1081" s="33"/>
    </row>
    <row r="1082" spans="10:10" ht="15.75" customHeight="1" x14ac:dyDescent="0.35">
      <c r="J1082" s="33"/>
    </row>
    <row r="1083" spans="10:10" ht="15.75" customHeight="1" x14ac:dyDescent="0.35">
      <c r="J1083" s="33"/>
    </row>
    <row r="1084" spans="10:10" ht="15.75" customHeight="1" x14ac:dyDescent="0.35">
      <c r="J1084" s="33"/>
    </row>
    <row r="1085" spans="10:10" ht="15.75" customHeight="1" x14ac:dyDescent="0.35">
      <c r="J1085" s="33"/>
    </row>
    <row r="1086" spans="10:10" ht="15.75" customHeight="1" x14ac:dyDescent="0.35">
      <c r="J1086" s="33"/>
    </row>
    <row r="1087" spans="10:10" ht="15.75" customHeight="1" x14ac:dyDescent="0.35">
      <c r="J1087" s="33"/>
    </row>
    <row r="1088" spans="10:10" ht="15.75" customHeight="1" x14ac:dyDescent="0.35">
      <c r="J1088" s="33"/>
    </row>
    <row r="1089" spans="10:10" ht="15.75" customHeight="1" x14ac:dyDescent="0.35">
      <c r="J1089" s="33"/>
    </row>
    <row r="1090" spans="10:10" ht="15.75" customHeight="1" x14ac:dyDescent="0.35">
      <c r="J1090" s="33"/>
    </row>
    <row r="1091" spans="10:10" ht="15.75" customHeight="1" x14ac:dyDescent="0.35">
      <c r="J1091" s="33"/>
    </row>
    <row r="1092" spans="10:10" ht="15.75" customHeight="1" x14ac:dyDescent="0.35">
      <c r="J1092" s="33"/>
    </row>
    <row r="1093" spans="10:10" ht="15.75" customHeight="1" x14ac:dyDescent="0.35">
      <c r="J1093" s="33"/>
    </row>
    <row r="1094" spans="10:10" ht="15.75" customHeight="1" x14ac:dyDescent="0.35">
      <c r="J1094" s="33"/>
    </row>
    <row r="1095" spans="10:10" ht="15.75" customHeight="1" x14ac:dyDescent="0.35">
      <c r="J1095" s="33"/>
    </row>
    <row r="1096" spans="10:10" ht="15.75" customHeight="1" x14ac:dyDescent="0.35">
      <c r="J1096" s="33"/>
    </row>
    <row r="1097" spans="10:10" ht="15.75" customHeight="1" x14ac:dyDescent="0.35">
      <c r="J1097" s="33"/>
    </row>
    <row r="1098" spans="10:10" ht="15.75" customHeight="1" x14ac:dyDescent="0.35">
      <c r="J1098" s="33"/>
    </row>
    <row r="1099" spans="10:10" ht="15.75" customHeight="1" x14ac:dyDescent="0.35">
      <c r="J1099" s="33"/>
    </row>
    <row r="1100" spans="10:10" ht="15.75" customHeight="1" x14ac:dyDescent="0.35">
      <c r="J1100" s="33"/>
    </row>
    <row r="1101" spans="10:10" ht="15.75" customHeight="1" x14ac:dyDescent="0.35">
      <c r="J1101" s="33"/>
    </row>
    <row r="1102" spans="10:10" ht="15.75" customHeight="1" x14ac:dyDescent="0.35">
      <c r="J1102" s="33"/>
    </row>
    <row r="1103" spans="10:10" ht="15.75" customHeight="1" x14ac:dyDescent="0.35">
      <c r="J1103" s="33"/>
    </row>
    <row r="1104" spans="10:10" ht="15.75" customHeight="1" x14ac:dyDescent="0.35">
      <c r="J1104" s="33"/>
    </row>
    <row r="1105" spans="10:10" ht="15.75" customHeight="1" x14ac:dyDescent="0.35">
      <c r="J1105" s="33"/>
    </row>
    <row r="1106" spans="10:10" ht="15.75" customHeight="1" x14ac:dyDescent="0.35">
      <c r="J1106" s="33"/>
    </row>
    <row r="1107" spans="10:10" ht="15.75" customHeight="1" x14ac:dyDescent="0.35">
      <c r="J1107" s="33"/>
    </row>
    <row r="1108" spans="10:10" ht="15.75" customHeight="1" x14ac:dyDescent="0.35">
      <c r="J1108" s="33"/>
    </row>
    <row r="1109" spans="10:10" ht="15.75" customHeight="1" x14ac:dyDescent="0.35">
      <c r="J1109" s="33"/>
    </row>
    <row r="1110" spans="10:10" ht="15.75" customHeight="1" x14ac:dyDescent="0.35">
      <c r="J1110" s="33"/>
    </row>
    <row r="1111" spans="10:10" ht="15.75" customHeight="1" x14ac:dyDescent="0.35">
      <c r="J1111" s="33"/>
    </row>
    <row r="1112" spans="10:10" ht="15.75" customHeight="1" x14ac:dyDescent="0.35">
      <c r="J1112" s="33"/>
    </row>
    <row r="1113" spans="10:10" ht="15.75" customHeight="1" x14ac:dyDescent="0.35">
      <c r="J1113" s="33"/>
    </row>
    <row r="1114" spans="10:10" ht="15.75" customHeight="1" x14ac:dyDescent="0.35">
      <c r="J1114" s="33"/>
    </row>
    <row r="1115" spans="10:10" ht="15.75" customHeight="1" x14ac:dyDescent="0.35">
      <c r="J1115" s="33"/>
    </row>
    <row r="1116" spans="10:10" ht="15.75" customHeight="1" x14ac:dyDescent="0.35">
      <c r="J1116" s="33"/>
    </row>
    <row r="1117" spans="10:10" ht="15.75" customHeight="1" x14ac:dyDescent="0.35">
      <c r="J1117" s="33"/>
    </row>
    <row r="1118" spans="10:10" ht="15.75" customHeight="1" x14ac:dyDescent="0.35">
      <c r="J1118" s="33"/>
    </row>
    <row r="1119" spans="10:10" ht="15.75" customHeight="1" x14ac:dyDescent="0.35">
      <c r="J1119" s="33"/>
    </row>
    <row r="1120" spans="10:10" ht="15.75" customHeight="1" x14ac:dyDescent="0.35">
      <c r="J1120" s="33"/>
    </row>
    <row r="1121" spans="10:10" ht="15.75" customHeight="1" x14ac:dyDescent="0.35">
      <c r="J1121" s="33"/>
    </row>
    <row r="1122" spans="10:10" ht="15.75" customHeight="1" x14ac:dyDescent="0.35">
      <c r="J1122" s="33"/>
    </row>
    <row r="1123" spans="10:10" ht="15.75" customHeight="1" x14ac:dyDescent="0.35">
      <c r="J1123" s="33"/>
    </row>
    <row r="1124" spans="10:10" ht="15.75" customHeight="1" x14ac:dyDescent="0.35">
      <c r="J1124" s="33"/>
    </row>
    <row r="1125" spans="10:10" ht="15.75" customHeight="1" x14ac:dyDescent="0.35">
      <c r="J1125" s="33"/>
    </row>
    <row r="1126" spans="10:10" ht="15.75" customHeight="1" x14ac:dyDescent="0.35">
      <c r="J1126" s="33"/>
    </row>
    <row r="1127" spans="10:10" ht="15.75" customHeight="1" x14ac:dyDescent="0.35">
      <c r="J1127" s="33"/>
    </row>
    <row r="1128" spans="10:10" ht="15.75" customHeight="1" x14ac:dyDescent="0.35">
      <c r="J1128" s="33"/>
    </row>
    <row r="1129" spans="10:10" ht="15.75" customHeight="1" x14ac:dyDescent="0.35">
      <c r="J1129" s="33"/>
    </row>
    <row r="1130" spans="10:10" ht="15.75" customHeight="1" x14ac:dyDescent="0.35">
      <c r="J1130" s="33"/>
    </row>
    <row r="1131" spans="10:10" ht="15.75" customHeight="1" x14ac:dyDescent="0.35">
      <c r="J1131" s="33"/>
    </row>
    <row r="1132" spans="10:10" ht="15.75" customHeight="1" x14ac:dyDescent="0.35">
      <c r="J1132" s="33"/>
    </row>
    <row r="1133" spans="10:10" ht="15.75" customHeight="1" x14ac:dyDescent="0.35">
      <c r="J1133" s="33"/>
    </row>
    <row r="1134" spans="10:10" ht="15.75" customHeight="1" x14ac:dyDescent="0.35">
      <c r="J1134" s="33"/>
    </row>
    <row r="1135" spans="10:10" ht="15.75" customHeight="1" x14ac:dyDescent="0.35">
      <c r="J1135" s="33"/>
    </row>
    <row r="1136" spans="10:10" ht="15.75" customHeight="1" x14ac:dyDescent="0.35">
      <c r="J1136" s="33"/>
    </row>
    <row r="1137" spans="10:10" ht="15.75" customHeight="1" x14ac:dyDescent="0.35">
      <c r="J1137" s="33"/>
    </row>
    <row r="1138" spans="10:10" ht="15.75" customHeight="1" x14ac:dyDescent="0.35">
      <c r="J1138" s="33"/>
    </row>
    <row r="1139" spans="10:10" ht="15.75" customHeight="1" x14ac:dyDescent="0.35">
      <c r="J1139" s="33"/>
    </row>
    <row r="1140" spans="10:10" ht="15.75" customHeight="1" x14ac:dyDescent="0.35">
      <c r="J1140" s="33"/>
    </row>
    <row r="1141" spans="10:10" ht="15.75" customHeight="1" x14ac:dyDescent="0.35">
      <c r="J1141" s="33"/>
    </row>
    <row r="1142" spans="10:10" ht="15.75" customHeight="1" x14ac:dyDescent="0.35">
      <c r="J1142" s="33"/>
    </row>
    <row r="1143" spans="10:10" ht="15.75" customHeight="1" x14ac:dyDescent="0.35">
      <c r="J1143" s="33"/>
    </row>
    <row r="1144" spans="10:10" ht="15.75" customHeight="1" x14ac:dyDescent="0.35">
      <c r="J1144" s="33"/>
    </row>
    <row r="1145" spans="10:10" ht="15.75" customHeight="1" x14ac:dyDescent="0.35">
      <c r="J1145" s="33"/>
    </row>
    <row r="1146" spans="10:10" ht="15.75" customHeight="1" x14ac:dyDescent="0.35">
      <c r="J1146" s="33"/>
    </row>
    <row r="1147" spans="10:10" ht="15.75" customHeight="1" x14ac:dyDescent="0.35">
      <c r="J1147" s="33"/>
    </row>
    <row r="1148" spans="10:10" ht="15.75" customHeight="1" x14ac:dyDescent="0.35">
      <c r="J1148" s="33"/>
    </row>
    <row r="1149" spans="10:10" ht="15.75" customHeight="1" x14ac:dyDescent="0.35">
      <c r="J1149" s="33"/>
    </row>
    <row r="1150" spans="10:10" ht="15.75" customHeight="1" x14ac:dyDescent="0.35">
      <c r="J1150" s="33"/>
    </row>
    <row r="1151" spans="10:10" ht="15.75" customHeight="1" x14ac:dyDescent="0.35">
      <c r="J1151" s="33"/>
    </row>
    <row r="1152" spans="10:10" ht="15.75" customHeight="1" x14ac:dyDescent="0.35">
      <c r="J1152" s="33"/>
    </row>
    <row r="1153" spans="10:10" ht="15.75" customHeight="1" x14ac:dyDescent="0.35">
      <c r="J1153" s="33"/>
    </row>
    <row r="1154" spans="10:10" ht="15.75" customHeight="1" x14ac:dyDescent="0.35">
      <c r="J1154" s="33"/>
    </row>
    <row r="1155" spans="10:10" ht="15.75" customHeight="1" x14ac:dyDescent="0.35">
      <c r="J1155" s="33"/>
    </row>
    <row r="1156" spans="10:10" ht="15.75" customHeight="1" x14ac:dyDescent="0.35">
      <c r="J1156" s="33"/>
    </row>
    <row r="1157" spans="10:10" ht="15.75" customHeight="1" x14ac:dyDescent="0.35">
      <c r="J1157" s="33"/>
    </row>
    <row r="1158" spans="10:10" ht="15.75" customHeight="1" x14ac:dyDescent="0.35">
      <c r="J1158" s="33"/>
    </row>
    <row r="1159" spans="10:10" ht="15.75" customHeight="1" x14ac:dyDescent="0.35">
      <c r="J1159" s="33"/>
    </row>
    <row r="1160" spans="10:10" ht="15.75" customHeight="1" x14ac:dyDescent="0.35">
      <c r="J1160" s="33"/>
    </row>
    <row r="1161" spans="10:10" ht="15.75" customHeight="1" x14ac:dyDescent="0.35">
      <c r="J1161" s="33"/>
    </row>
    <row r="1162" spans="10:10" ht="15.75" customHeight="1" x14ac:dyDescent="0.35">
      <c r="J1162" s="33"/>
    </row>
    <row r="1163" spans="10:10" ht="15.75" customHeight="1" x14ac:dyDescent="0.35">
      <c r="J1163" s="33"/>
    </row>
    <row r="1164" spans="10:10" ht="15.75" customHeight="1" x14ac:dyDescent="0.35">
      <c r="J1164" s="33"/>
    </row>
    <row r="1165" spans="10:10" ht="15.75" customHeight="1" x14ac:dyDescent="0.35">
      <c r="J1165" s="33"/>
    </row>
    <row r="1166" spans="10:10" ht="15.75" customHeight="1" x14ac:dyDescent="0.35">
      <c r="J1166" s="33"/>
    </row>
    <row r="1167" spans="10:10" ht="15.75" customHeight="1" x14ac:dyDescent="0.35">
      <c r="J1167" s="33"/>
    </row>
    <row r="1168" spans="10:10" ht="15.75" customHeight="1" x14ac:dyDescent="0.35">
      <c r="J1168" s="33"/>
    </row>
    <row r="1169" spans="10:10" ht="15.75" customHeight="1" x14ac:dyDescent="0.35">
      <c r="J1169" s="33"/>
    </row>
    <row r="1170" spans="10:10" ht="15.75" customHeight="1" x14ac:dyDescent="0.35">
      <c r="J1170" s="33"/>
    </row>
    <row r="1171" spans="10:10" ht="15.75" customHeight="1" x14ac:dyDescent="0.35">
      <c r="J1171" s="33"/>
    </row>
    <row r="1172" spans="10:10" ht="15.75" customHeight="1" x14ac:dyDescent="0.35">
      <c r="J1172" s="33"/>
    </row>
    <row r="1173" spans="10:10" ht="15.75" customHeight="1" x14ac:dyDescent="0.35">
      <c r="J1173" s="33"/>
    </row>
    <row r="1174" spans="10:10" ht="15.75" customHeight="1" x14ac:dyDescent="0.35">
      <c r="J1174" s="33"/>
    </row>
    <row r="1175" spans="10:10" ht="15.75" customHeight="1" x14ac:dyDescent="0.35">
      <c r="J1175" s="33"/>
    </row>
    <row r="1176" spans="10:10" ht="15.75" customHeight="1" x14ac:dyDescent="0.35">
      <c r="J1176" s="33"/>
    </row>
    <row r="1177" spans="10:10" ht="15.75" customHeight="1" x14ac:dyDescent="0.35">
      <c r="J1177" s="33"/>
    </row>
    <row r="1178" spans="10:10" ht="15.75" customHeight="1" x14ac:dyDescent="0.35">
      <c r="J1178" s="33"/>
    </row>
    <row r="1179" spans="10:10" ht="15.75" customHeight="1" x14ac:dyDescent="0.35">
      <c r="J1179" s="33"/>
    </row>
    <row r="1180" spans="10:10" ht="15.75" customHeight="1" x14ac:dyDescent="0.35">
      <c r="J1180" s="33"/>
    </row>
    <row r="1181" spans="10:10" ht="15.75" customHeight="1" x14ac:dyDescent="0.35">
      <c r="J1181" s="33"/>
    </row>
    <row r="1182" spans="10:10" ht="15.75" customHeight="1" x14ac:dyDescent="0.35">
      <c r="J1182" s="33"/>
    </row>
    <row r="1183" spans="10:10" ht="15.75" customHeight="1" x14ac:dyDescent="0.35">
      <c r="J1183" s="33"/>
    </row>
    <row r="1184" spans="10:10" ht="15.75" customHeight="1" x14ac:dyDescent="0.35">
      <c r="J1184" s="33"/>
    </row>
    <row r="1185" spans="10:10" ht="15.75" customHeight="1" x14ac:dyDescent="0.35">
      <c r="J1185" s="33"/>
    </row>
    <row r="1186" spans="10:10" ht="15.75" customHeight="1" x14ac:dyDescent="0.35">
      <c r="J1186" s="33"/>
    </row>
    <row r="1187" spans="10:10" ht="15.75" customHeight="1" x14ac:dyDescent="0.35">
      <c r="J1187" s="33"/>
    </row>
    <row r="1188" spans="10:10" ht="15.75" customHeight="1" x14ac:dyDescent="0.35">
      <c r="J1188" s="33"/>
    </row>
    <row r="1189" spans="10:10" ht="15.75" customHeight="1" x14ac:dyDescent="0.35">
      <c r="J1189" s="33"/>
    </row>
    <row r="1190" spans="10:10" ht="15.75" customHeight="1" x14ac:dyDescent="0.35">
      <c r="J1190" s="33"/>
    </row>
    <row r="1191" spans="10:10" ht="15.75" customHeight="1" x14ac:dyDescent="0.35">
      <c r="J1191" s="33"/>
    </row>
    <row r="1192" spans="10:10" ht="15.75" customHeight="1" x14ac:dyDescent="0.35">
      <c r="J1192" s="33"/>
    </row>
    <row r="1193" spans="10:10" ht="15.75" customHeight="1" x14ac:dyDescent="0.35">
      <c r="J1193" s="33"/>
    </row>
    <row r="1194" spans="10:10" ht="15.75" customHeight="1" x14ac:dyDescent="0.35">
      <c r="J1194" s="33"/>
    </row>
    <row r="1195" spans="10:10" ht="15.75" customHeight="1" x14ac:dyDescent="0.35">
      <c r="J1195" s="33"/>
    </row>
    <row r="1196" spans="10:10" ht="15.75" customHeight="1" x14ac:dyDescent="0.35">
      <c r="J1196" s="33"/>
    </row>
    <row r="1197" spans="10:10" ht="15.75" customHeight="1" x14ac:dyDescent="0.35">
      <c r="J1197" s="33"/>
    </row>
    <row r="1198" spans="10:10" ht="15.75" customHeight="1" x14ac:dyDescent="0.35">
      <c r="J1198" s="33"/>
    </row>
    <row r="1199" spans="10:10" ht="15.75" customHeight="1" x14ac:dyDescent="0.35">
      <c r="J1199" s="33"/>
    </row>
    <row r="1200" spans="10:10" ht="15.75" customHeight="1" x14ac:dyDescent="0.35">
      <c r="J1200" s="33"/>
    </row>
    <row r="1201" spans="10:10" ht="15.75" customHeight="1" x14ac:dyDescent="0.35">
      <c r="J1201" s="33"/>
    </row>
    <row r="1202" spans="10:10" ht="15.75" customHeight="1" x14ac:dyDescent="0.35">
      <c r="J1202" s="33"/>
    </row>
    <row r="1203" spans="10:10" ht="15.75" customHeight="1" x14ac:dyDescent="0.35">
      <c r="J1203" s="33"/>
    </row>
    <row r="1204" spans="10:10" ht="15.75" customHeight="1" x14ac:dyDescent="0.35">
      <c r="J1204" s="33"/>
    </row>
    <row r="1205" spans="10:10" ht="15.75" customHeight="1" x14ac:dyDescent="0.35">
      <c r="J1205" s="33"/>
    </row>
    <row r="1206" spans="10:10" ht="15.75" customHeight="1" x14ac:dyDescent="0.35">
      <c r="J1206" s="33"/>
    </row>
    <row r="1207" spans="10:10" ht="15.75" customHeight="1" x14ac:dyDescent="0.35">
      <c r="J1207" s="33"/>
    </row>
    <row r="1208" spans="10:10" ht="15.75" customHeight="1" x14ac:dyDescent="0.35">
      <c r="J1208" s="33"/>
    </row>
    <row r="1209" spans="10:10" ht="15.75" customHeight="1" x14ac:dyDescent="0.35">
      <c r="J1209" s="33"/>
    </row>
    <row r="1210" spans="10:10" ht="15.75" customHeight="1" x14ac:dyDescent="0.35">
      <c r="J1210" s="33"/>
    </row>
    <row r="1211" spans="10:10" ht="15.75" customHeight="1" x14ac:dyDescent="0.35">
      <c r="J1211" s="33"/>
    </row>
    <row r="1212" spans="10:10" ht="15.75" customHeight="1" x14ac:dyDescent="0.35">
      <c r="J1212" s="33"/>
    </row>
    <row r="1213" spans="10:10" ht="15.75" customHeight="1" x14ac:dyDescent="0.35">
      <c r="J1213" s="33"/>
    </row>
    <row r="1214" spans="10:10" ht="15.75" customHeight="1" x14ac:dyDescent="0.35">
      <c r="J1214" s="33"/>
    </row>
    <row r="1215" spans="10:10" ht="15.75" customHeight="1" x14ac:dyDescent="0.35">
      <c r="J1215" s="33"/>
    </row>
    <row r="1216" spans="10:10" ht="15.75" customHeight="1" x14ac:dyDescent="0.35">
      <c r="J1216" s="33"/>
    </row>
    <row r="1217" spans="10:10" ht="15.75" customHeight="1" x14ac:dyDescent="0.35">
      <c r="J1217" s="33"/>
    </row>
    <row r="1218" spans="10:10" ht="15.75" customHeight="1" x14ac:dyDescent="0.35">
      <c r="J1218" s="33"/>
    </row>
    <row r="1219" spans="10:10" ht="15.75" customHeight="1" x14ac:dyDescent="0.35">
      <c r="J1219" s="33"/>
    </row>
    <row r="1220" spans="10:10" ht="15.75" customHeight="1" x14ac:dyDescent="0.35">
      <c r="J1220" s="33"/>
    </row>
    <row r="1221" spans="10:10" ht="15.75" customHeight="1" x14ac:dyDescent="0.35">
      <c r="J1221" s="33"/>
    </row>
    <row r="1222" spans="10:10" ht="15.75" customHeight="1" x14ac:dyDescent="0.35">
      <c r="J1222" s="33"/>
    </row>
    <row r="1223" spans="10:10" ht="15.75" customHeight="1" x14ac:dyDescent="0.35">
      <c r="J1223" s="33"/>
    </row>
    <row r="1224" spans="10:10" ht="15.75" customHeight="1" x14ac:dyDescent="0.35">
      <c r="J1224" s="33"/>
    </row>
    <row r="1225" spans="10:10" ht="15.75" customHeight="1" x14ac:dyDescent="0.35">
      <c r="J1225" s="33"/>
    </row>
    <row r="1226" spans="10:10" ht="15.75" customHeight="1" x14ac:dyDescent="0.35">
      <c r="J1226" s="33"/>
    </row>
    <row r="1227" spans="10:10" ht="15.75" customHeight="1" x14ac:dyDescent="0.35">
      <c r="J1227" s="33"/>
    </row>
    <row r="1228" spans="10:10" ht="15.75" customHeight="1" x14ac:dyDescent="0.35">
      <c r="J1228" s="33"/>
    </row>
    <row r="1229" spans="10:10" ht="15.75" customHeight="1" x14ac:dyDescent="0.35">
      <c r="J1229" s="33"/>
    </row>
    <row r="1230" spans="10:10" ht="15.75" customHeight="1" x14ac:dyDescent="0.35">
      <c r="J1230" s="33"/>
    </row>
    <row r="1231" spans="10:10" ht="15.75" customHeight="1" x14ac:dyDescent="0.35">
      <c r="J1231" s="33"/>
    </row>
    <row r="1232" spans="10:10" ht="15.75" customHeight="1" x14ac:dyDescent="0.35">
      <c r="J1232" s="33"/>
    </row>
    <row r="1233" spans="10:10" ht="15.75" customHeight="1" x14ac:dyDescent="0.35">
      <c r="J1233" s="33"/>
    </row>
    <row r="1234" spans="10:10" ht="15.75" customHeight="1" x14ac:dyDescent="0.35">
      <c r="J1234" s="33"/>
    </row>
    <row r="1235" spans="10:10" ht="15.75" customHeight="1" x14ac:dyDescent="0.35">
      <c r="J1235" s="33"/>
    </row>
    <row r="1236" spans="10:10" ht="15.75" customHeight="1" x14ac:dyDescent="0.35">
      <c r="J1236" s="33"/>
    </row>
    <row r="1237" spans="10:10" ht="15.75" customHeight="1" x14ac:dyDescent="0.35">
      <c r="J1237" s="33"/>
    </row>
    <row r="1238" spans="10:10" ht="15.75" customHeight="1" x14ac:dyDescent="0.35">
      <c r="J1238" s="33"/>
    </row>
  </sheetData>
  <autoFilter ref="A1:J298" xr:uid="{00000000-0001-0000-0400-000000000000}">
    <filterColumn colId="8">
      <filters>
        <filter val="Chưa hoàn thành"/>
        <filter val="Sẵn sàng"/>
      </filters>
    </filterColumn>
  </autoFilter>
  <mergeCells count="12">
    <mergeCell ref="C27:C162"/>
    <mergeCell ref="D27:D162"/>
    <mergeCell ref="B2:B25"/>
    <mergeCell ref="A163:A298"/>
    <mergeCell ref="D163:D298"/>
    <mergeCell ref="B163:B298"/>
    <mergeCell ref="C163:C298"/>
    <mergeCell ref="A2:A25"/>
    <mergeCell ref="A27:A162"/>
    <mergeCell ref="C2:C25"/>
    <mergeCell ref="B27:B162"/>
    <mergeCell ref="D2:D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4" customWidth="1"/>
    <col min="2" max="3" width="12" customWidth="1"/>
    <col min="4" max="4" width="14" customWidth="1"/>
    <col min="5" max="5" width="70" customWidth="1"/>
    <col min="6" max="6" width="13" customWidth="1"/>
    <col min="7" max="8" width="10" customWidth="1"/>
  </cols>
  <sheetData>
    <row r="1" spans="1:8" ht="18.5" customHeight="1" x14ac:dyDescent="0.45">
      <c r="A1" s="93" t="s">
        <v>1232</v>
      </c>
    </row>
    <row r="2" spans="1:8" ht="45" customHeight="1" x14ac:dyDescent="0.35">
      <c r="A2" s="115" t="s">
        <v>1233</v>
      </c>
      <c r="B2" s="116"/>
      <c r="C2" s="116"/>
      <c r="D2" s="116"/>
      <c r="E2" s="116"/>
      <c r="F2" s="116"/>
      <c r="G2" s="116"/>
      <c r="H2" s="116"/>
    </row>
    <row r="4" spans="1:8" ht="15.5" customHeight="1" x14ac:dyDescent="0.35">
      <c r="A4" s="94" t="s">
        <v>1234</v>
      </c>
    </row>
    <row r="5" spans="1:8" ht="29" customHeight="1" x14ac:dyDescent="0.35">
      <c r="A5" s="95" t="s">
        <v>1235</v>
      </c>
      <c r="B5" s="95" t="s">
        <v>1236</v>
      </c>
      <c r="C5" s="95" t="s">
        <v>1237</v>
      </c>
      <c r="D5" s="95" t="s">
        <v>1238</v>
      </c>
      <c r="E5" s="95" t="s">
        <v>1239</v>
      </c>
      <c r="F5" s="95" t="s">
        <v>1240</v>
      </c>
      <c r="G5" s="95" t="s">
        <v>1241</v>
      </c>
      <c r="H5" s="95" t="s">
        <v>1242</v>
      </c>
    </row>
    <row r="6" spans="1:8" ht="43.5" customHeight="1" x14ac:dyDescent="0.35">
      <c r="A6" s="96" t="s">
        <v>1243</v>
      </c>
      <c r="B6" s="97"/>
      <c r="C6" s="97">
        <v>46313</v>
      </c>
      <c r="D6" s="98">
        <f>COUNTIFS('WBS2'!$I$2:$I$25,"Hoàn thành",'WBS2'!$G$2:$G$25,"&lt;="&amp;$C6)</f>
        <v>13</v>
      </c>
      <c r="E6" s="99" t="s">
        <v>1244</v>
      </c>
      <c r="F6" s="96">
        <f>COUNTIFS('WBS2'!$I$2:$I$25,"Hoàn thành",'WBS2'!$G$2:$G$25,"&lt;="&amp;$C6)</f>
        <v>13</v>
      </c>
      <c r="G6" s="98">
        <f>COUNTA('WBS2'!$E$2:$E$25)</f>
        <v>24</v>
      </c>
      <c r="H6" s="96">
        <f>G6-F6</f>
        <v>11</v>
      </c>
    </row>
    <row r="7" spans="1:8" x14ac:dyDescent="0.35">
      <c r="A7" s="96" t="s">
        <v>1245</v>
      </c>
      <c r="B7" s="97">
        <v>46314</v>
      </c>
      <c r="C7" s="97">
        <v>46320</v>
      </c>
      <c r="D7" s="98">
        <f>COUNTIFS('WBS2'!$I$2:$I$25,"Hoàn thành",'WBS2'!$G$2:$G$25,"&gt;="&amp;$B7,'WBS2'!$G$2:$G$25,"&lt;="&amp;$C7)</f>
        <v>2</v>
      </c>
      <c r="E7" s="99" t="s">
        <v>1246</v>
      </c>
      <c r="F7" s="96">
        <f>COUNTIFS('WBS2'!$I$2:$I$25,"Hoàn thành",'WBS2'!$G$2:$G$25,"&lt;="&amp;$C7)</f>
        <v>15</v>
      </c>
      <c r="G7" s="98">
        <f>COUNTA('WBS2'!$E$2:$E$25)</f>
        <v>24</v>
      </c>
      <c r="H7" s="96">
        <f>G7-F7</f>
        <v>9</v>
      </c>
    </row>
    <row r="8" spans="1:8" x14ac:dyDescent="0.35">
      <c r="A8" s="96" t="s">
        <v>1247</v>
      </c>
      <c r="B8" s="97">
        <v>46321</v>
      </c>
      <c r="C8" s="97">
        <v>46327</v>
      </c>
      <c r="D8" s="98">
        <f>COUNTIFS('WBS2'!$I$2:$I$25,"Hoàn thành",'WBS2'!$G$2:$G$25,"&gt;="&amp;$B8,'WBS2'!$G$2:$G$25,"&lt;="&amp;$C8)</f>
        <v>0</v>
      </c>
      <c r="E8" s="99"/>
      <c r="F8" s="96">
        <f>COUNTIFS('WBS2'!$I$2:$I$25,"Hoàn thành",'WBS2'!$G$2:$G$25,"&lt;="&amp;$C8)</f>
        <v>15</v>
      </c>
      <c r="G8" s="98">
        <f>COUNTA('WBS2'!$E$2:$E$25)</f>
        <v>24</v>
      </c>
      <c r="H8" s="96">
        <f>G8-F8</f>
        <v>9</v>
      </c>
    </row>
    <row r="9" spans="1:8" x14ac:dyDescent="0.35">
      <c r="A9" s="100" t="s">
        <v>1248</v>
      </c>
      <c r="B9" s="101"/>
      <c r="C9" s="101"/>
      <c r="D9" s="102">
        <f>SUM(D7:D8)</f>
        <v>2</v>
      </c>
      <c r="E9" s="101"/>
      <c r="F9" s="101"/>
      <c r="G9" s="101"/>
      <c r="H9" s="101"/>
    </row>
    <row r="10" spans="1:8" x14ac:dyDescent="0.35">
      <c r="A10" s="103" t="s">
        <v>1249</v>
      </c>
    </row>
    <row r="11" spans="1:8" x14ac:dyDescent="0.35">
      <c r="A11" s="117" t="s">
        <v>28</v>
      </c>
      <c r="B11" s="118"/>
      <c r="C11" s="119"/>
      <c r="D11" s="96">
        <f>COUNTIFS('WBS2'!$I$2:$I$25,"Đang training")</f>
        <v>9</v>
      </c>
      <c r="E11" s="117" t="s">
        <v>1250</v>
      </c>
      <c r="F11" s="118"/>
      <c r="G11" s="118"/>
      <c r="H11" s="119"/>
    </row>
    <row r="12" spans="1:8" x14ac:dyDescent="0.35">
      <c r="A12" s="117" t="s">
        <v>245</v>
      </c>
      <c r="B12" s="118"/>
      <c r="C12" s="119"/>
      <c r="D12" s="96">
        <f>COUNTIFS('WBS2'!$I$2:$I$25,"Chưa hoàn thành")</f>
        <v>0</v>
      </c>
      <c r="E12" s="117"/>
      <c r="F12" s="118"/>
      <c r="G12" s="118"/>
      <c r="H12" s="119"/>
    </row>
    <row r="14" spans="1:8" ht="15.5" customHeight="1" x14ac:dyDescent="0.35">
      <c r="A14" s="94" t="s">
        <v>1251</v>
      </c>
    </row>
    <row r="15" spans="1:8" ht="29" customHeight="1" x14ac:dyDescent="0.35">
      <c r="A15" s="95" t="s">
        <v>1235</v>
      </c>
      <c r="B15" s="95" t="s">
        <v>1236</v>
      </c>
      <c r="C15" s="95" t="s">
        <v>1237</v>
      </c>
      <c r="D15" s="95" t="s">
        <v>1252</v>
      </c>
      <c r="E15" s="95" t="s">
        <v>1253</v>
      </c>
      <c r="F15" s="95" t="s">
        <v>1254</v>
      </c>
      <c r="G15" s="95" t="s">
        <v>1241</v>
      </c>
      <c r="H15" s="95" t="s">
        <v>1242</v>
      </c>
    </row>
    <row r="16" spans="1:8" ht="29" customHeight="1" x14ac:dyDescent="0.35">
      <c r="A16" s="96" t="s">
        <v>1243</v>
      </c>
      <c r="B16" s="97"/>
      <c r="C16" s="97">
        <v>46313</v>
      </c>
      <c r="D16" s="98">
        <f>COUNTIFS('WBS2'!$I$27:$I$162,"Hoàn thành",'WBS2'!$G$27:$G$162,"&lt;="&amp;$C16)</f>
        <v>11</v>
      </c>
      <c r="E16" s="99" t="s">
        <v>1255</v>
      </c>
      <c r="F16" s="96">
        <f>COUNTIFS('WBS2'!$I$27:$I$162,"Hoàn thành",'WBS2'!$G$27:$G$162,"&lt;="&amp;$C16)</f>
        <v>11</v>
      </c>
      <c r="G16" s="98">
        <f>COUNTA('WBS2'!$E$27:$E$162)</f>
        <v>136</v>
      </c>
      <c r="H16" s="96">
        <f>G16-F16</f>
        <v>125</v>
      </c>
    </row>
    <row r="17" spans="1:8" ht="29" customHeight="1" x14ac:dyDescent="0.35">
      <c r="A17" s="96" t="s">
        <v>1245</v>
      </c>
      <c r="B17" s="97">
        <v>46314</v>
      </c>
      <c r="C17" s="97">
        <v>46320</v>
      </c>
      <c r="D17" s="98">
        <f>COUNTIFS('WBS2'!$I$27:$I$162,"Hoàn thành",'WBS2'!$G$27:$G$162,"&gt;="&amp;$B17,'WBS2'!$G$27:$G$162,"&lt;="&amp;$C17)</f>
        <v>8</v>
      </c>
      <c r="E17" s="99" t="s">
        <v>1256</v>
      </c>
      <c r="F17" s="96">
        <f>COUNTIFS('WBS2'!$I$27:$I$162,"Hoàn thành",'WBS2'!$G$27:$G$162,"&lt;="&amp;$C17)</f>
        <v>19</v>
      </c>
      <c r="G17" s="98">
        <f>COUNTA('WBS2'!$E$27:$E$162)</f>
        <v>136</v>
      </c>
      <c r="H17" s="96">
        <f>G17-F17</f>
        <v>117</v>
      </c>
    </row>
    <row r="18" spans="1:8" ht="29" customHeight="1" x14ac:dyDescent="0.35">
      <c r="A18" s="96" t="s">
        <v>1247</v>
      </c>
      <c r="B18" s="97">
        <v>46321</v>
      </c>
      <c r="C18" s="97">
        <v>46327</v>
      </c>
      <c r="D18" s="98">
        <f>COUNTIFS('WBS2'!$I$27:$I$162,"Hoàn thành",'WBS2'!$G$27:$G$162,"&gt;="&amp;$B18,'WBS2'!$G$27:$G$162,"&lt;="&amp;$C18)</f>
        <v>10</v>
      </c>
      <c r="E18" s="99" t="s">
        <v>1257</v>
      </c>
      <c r="F18" s="96">
        <f>COUNTIFS('WBS2'!$I$27:$I$162,"Hoàn thành",'WBS2'!$G$27:$G$162,"&lt;="&amp;$C18)</f>
        <v>29</v>
      </c>
      <c r="G18" s="98">
        <f>COUNTA('WBS2'!$E$27:$E$162)</f>
        <v>136</v>
      </c>
      <c r="H18" s="96">
        <f>G18-F18</f>
        <v>107</v>
      </c>
    </row>
    <row r="19" spans="1:8" x14ac:dyDescent="0.35">
      <c r="A19" s="100" t="s">
        <v>1248</v>
      </c>
      <c r="B19" s="101"/>
      <c r="C19" s="101"/>
      <c r="D19" s="102">
        <f>SUM(D17:D18)</f>
        <v>18</v>
      </c>
      <c r="E19" s="101"/>
      <c r="F19" s="101"/>
      <c r="G19" s="101"/>
      <c r="H19" s="101"/>
    </row>
    <row r="20" spans="1:8" x14ac:dyDescent="0.35">
      <c r="A20" s="103" t="s">
        <v>1249</v>
      </c>
    </row>
    <row r="21" spans="1:8" x14ac:dyDescent="0.35">
      <c r="A21" s="117" t="s">
        <v>1258</v>
      </c>
      <c r="B21" s="118"/>
      <c r="C21" s="119"/>
      <c r="D21" s="96">
        <f>COUNTIFS('WBS2'!$I$27:$I$162,"Sẵn sàng")</f>
        <v>46</v>
      </c>
      <c r="E21" s="117" t="s">
        <v>1259</v>
      </c>
      <c r="F21" s="118"/>
      <c r="G21" s="118"/>
      <c r="H21" s="119"/>
    </row>
    <row r="22" spans="1:8" x14ac:dyDescent="0.35">
      <c r="A22" s="117" t="s">
        <v>71</v>
      </c>
      <c r="B22" s="118"/>
      <c r="C22" s="119"/>
      <c r="D22" s="96">
        <f>COUNTIFS('WBS2'!$I$27:$I$162,"Chưa hoàn thành")</f>
        <v>61</v>
      </c>
      <c r="E22" s="117" t="s">
        <v>1260</v>
      </c>
      <c r="F22" s="118"/>
      <c r="G22" s="118"/>
      <c r="H22" s="119"/>
    </row>
    <row r="23" spans="1:8" x14ac:dyDescent="0.35">
      <c r="A23" s="117" t="s">
        <v>478</v>
      </c>
      <c r="B23" s="118"/>
      <c r="C23" s="119"/>
      <c r="D23" s="96">
        <f>COUNTIFS('WBS2'!$I$27:$I$162,"Chưa hoàn thành",'WBS2'!$H$27:$H$162,"&gt;="&amp;DATE(2026,11,1),'WBS2'!$H$27:$H$162,"&lt;="&amp;DATE(2026,11,30))</f>
        <v>0</v>
      </c>
      <c r="E23" s="117" t="s">
        <v>1261</v>
      </c>
      <c r="F23" s="118"/>
      <c r="G23" s="118"/>
      <c r="H23" s="119"/>
    </row>
    <row r="24" spans="1:8" x14ac:dyDescent="0.35">
      <c r="A24" s="117" t="s">
        <v>479</v>
      </c>
      <c r="B24" s="118"/>
      <c r="C24" s="119"/>
      <c r="D24" s="96">
        <f>COUNTIFS('WBS2'!$I$27:$I$162,"Chưa hoàn thành",'WBS2'!$H$27:$H$162,"&gt;="&amp;DATE(2026,12,1),'WBS2'!$H$27:$H$162,"&lt;="&amp;DATE(2026,12,31))</f>
        <v>0</v>
      </c>
      <c r="E24" s="117"/>
      <c r="F24" s="118"/>
      <c r="G24" s="118"/>
      <c r="H24" s="119"/>
    </row>
    <row r="26" spans="1:8" ht="15.5" customHeight="1" x14ac:dyDescent="0.35">
      <c r="A26" s="94" t="s">
        <v>1262</v>
      </c>
    </row>
    <row r="27" spans="1:8" ht="29" customHeight="1" x14ac:dyDescent="0.35">
      <c r="A27" s="95" t="s">
        <v>1235</v>
      </c>
      <c r="B27" s="95" t="s">
        <v>1236</v>
      </c>
      <c r="C27" s="95" t="s">
        <v>1237</v>
      </c>
      <c r="D27" s="95" t="s">
        <v>1252</v>
      </c>
      <c r="E27" s="95" t="s">
        <v>1253</v>
      </c>
      <c r="F27" s="95" t="s">
        <v>1254</v>
      </c>
      <c r="G27" s="95" t="s">
        <v>1241</v>
      </c>
      <c r="H27" s="95" t="s">
        <v>1242</v>
      </c>
    </row>
    <row r="28" spans="1:8" x14ac:dyDescent="0.35">
      <c r="A28" s="96" t="s">
        <v>1243</v>
      </c>
      <c r="B28" s="97"/>
      <c r="C28" s="97">
        <v>46313</v>
      </c>
      <c r="D28" s="98">
        <f>COUNTIFS('WBS2'!$I$163:$I$298,"Hoàn thành",'WBS2'!$G$163:$G$298,"&lt;="&amp;$C28)</f>
        <v>6</v>
      </c>
      <c r="E28" s="99" t="s">
        <v>1263</v>
      </c>
      <c r="F28" s="96">
        <f>COUNTIFS('WBS2'!$I$163:$I$298,"Hoàn thành",'WBS2'!$G$163:$G$298,"&lt;="&amp;$C28)</f>
        <v>6</v>
      </c>
      <c r="G28" s="98">
        <f>COUNTA('WBS2'!$E$163:$E$298)</f>
        <v>136</v>
      </c>
      <c r="H28" s="96">
        <f>G28-F28</f>
        <v>130</v>
      </c>
    </row>
    <row r="29" spans="1:8" ht="43.5" customHeight="1" x14ac:dyDescent="0.35">
      <c r="A29" s="96" t="s">
        <v>1245</v>
      </c>
      <c r="B29" s="97">
        <v>46314</v>
      </c>
      <c r="C29" s="97">
        <v>46320</v>
      </c>
      <c r="D29" s="98">
        <f>COUNTIFS('WBS2'!$I$163:$I$298,"Hoàn thành",'WBS2'!$G$163:$G$298,"&gt;="&amp;$B29,'WBS2'!$G$163:$G$298,"&lt;="&amp;$C29)</f>
        <v>16</v>
      </c>
      <c r="E29" s="99" t="s">
        <v>1264</v>
      </c>
      <c r="F29" s="96">
        <f>COUNTIFS('WBS2'!$I$163:$I$298,"Hoàn thành",'WBS2'!$G$163:$G$298,"&lt;="&amp;$C29)</f>
        <v>22</v>
      </c>
      <c r="G29" s="98">
        <f>COUNTA('WBS2'!$E$163:$E$298)</f>
        <v>136</v>
      </c>
      <c r="H29" s="96">
        <f>G29-F29</f>
        <v>114</v>
      </c>
    </row>
    <row r="30" spans="1:8" ht="29" customHeight="1" x14ac:dyDescent="0.35">
      <c r="A30" s="96" t="s">
        <v>1247</v>
      </c>
      <c r="B30" s="97">
        <v>46321</v>
      </c>
      <c r="C30" s="97">
        <v>46327</v>
      </c>
      <c r="D30" s="98">
        <f>COUNTIFS('WBS2'!$I$163:$I$298,"Hoàn thành",'WBS2'!$G$163:$G$298,"&gt;="&amp;$B30,'WBS2'!$G$163:$G$298,"&lt;="&amp;$C30)</f>
        <v>10</v>
      </c>
      <c r="E30" s="99" t="s">
        <v>1265</v>
      </c>
      <c r="F30" s="96">
        <f>COUNTIFS('WBS2'!$I$163:$I$298,"Hoàn thành",'WBS2'!$G$163:$G$298,"&lt;="&amp;$C30)</f>
        <v>32</v>
      </c>
      <c r="G30" s="98">
        <f>COUNTA('WBS2'!$E$163:$E$298)</f>
        <v>136</v>
      </c>
      <c r="H30" s="96">
        <f>G30-F30</f>
        <v>104</v>
      </c>
    </row>
    <row r="31" spans="1:8" x14ac:dyDescent="0.35">
      <c r="A31" s="100" t="s">
        <v>1248</v>
      </c>
      <c r="B31" s="101"/>
      <c r="C31" s="101"/>
      <c r="D31" s="102">
        <f>SUM(D29:D30)</f>
        <v>26</v>
      </c>
      <c r="E31" s="101"/>
      <c r="F31" s="101"/>
      <c r="G31" s="101"/>
      <c r="H31" s="101"/>
    </row>
    <row r="32" spans="1:8" x14ac:dyDescent="0.35">
      <c r="A32" s="103" t="s">
        <v>1249</v>
      </c>
    </row>
    <row r="33" spans="1:8" x14ac:dyDescent="0.35">
      <c r="A33" s="117" t="s">
        <v>1266</v>
      </c>
      <c r="B33" s="118"/>
      <c r="C33" s="119"/>
      <c r="D33" s="96">
        <f>COUNTIFS('WBS2'!$I$163:$I$298,"Sẵn sàng")</f>
        <v>44</v>
      </c>
      <c r="E33" s="117" t="s">
        <v>1259</v>
      </c>
      <c r="F33" s="118"/>
      <c r="G33" s="118"/>
      <c r="H33" s="119"/>
    </row>
    <row r="34" spans="1:8" x14ac:dyDescent="0.35">
      <c r="A34" s="117" t="s">
        <v>71</v>
      </c>
      <c r="B34" s="118"/>
      <c r="C34" s="119"/>
      <c r="D34" s="96">
        <f>COUNTIFS('WBS2'!$I$163:$I$298,"Chưa hoàn thành")</f>
        <v>60</v>
      </c>
      <c r="E34" s="117"/>
      <c r="F34" s="118"/>
      <c r="G34" s="118"/>
      <c r="H34" s="119"/>
    </row>
    <row r="35" spans="1:8" x14ac:dyDescent="0.35">
      <c r="A35" s="117" t="s">
        <v>478</v>
      </c>
      <c r="B35" s="118"/>
      <c r="C35" s="119"/>
      <c r="D35" s="96">
        <f>COUNTIFS('WBS2'!$I$163:$I$298,"Chưa hoàn thành",'WBS2'!$H$163:$H$298,"&gt;="&amp;DATE(2026,11,1),'WBS2'!$H$163:$H$298,"&lt;="&amp;DATE(2026,11,30))</f>
        <v>0</v>
      </c>
      <c r="E35" s="117" t="s">
        <v>1261</v>
      </c>
      <c r="F35" s="118"/>
      <c r="G35" s="118"/>
      <c r="H35" s="119"/>
    </row>
    <row r="36" spans="1:8" x14ac:dyDescent="0.35">
      <c r="A36" s="117" t="s">
        <v>479</v>
      </c>
      <c r="B36" s="118"/>
      <c r="C36" s="119"/>
      <c r="D36" s="96">
        <f>COUNTIFS('WBS2'!$I$163:$I$298,"Chưa hoàn thành",'WBS2'!$H$163:$H$298,"&gt;="&amp;DATE(2026,12,1),'WBS2'!$H$163:$H$298,"&lt;="&amp;DATE(2026,12,31))</f>
        <v>0</v>
      </c>
      <c r="E36" s="117"/>
      <c r="F36" s="118"/>
      <c r="G36" s="118"/>
      <c r="H36" s="119"/>
    </row>
    <row r="38" spans="1:8" x14ac:dyDescent="0.35">
      <c r="A38" s="103" t="s">
        <v>1267</v>
      </c>
    </row>
    <row r="39" spans="1:8" ht="30" customHeight="1" x14ac:dyDescent="0.35">
      <c r="A39" s="115" t="s">
        <v>1268</v>
      </c>
      <c r="B39" s="116"/>
      <c r="C39" s="116"/>
      <c r="D39" s="116"/>
      <c r="E39" s="116"/>
      <c r="F39" s="116"/>
      <c r="G39" s="116"/>
      <c r="H39" s="116"/>
    </row>
    <row r="40" spans="1:8" ht="30" customHeight="1" x14ac:dyDescent="0.35">
      <c r="A40" s="115" t="s">
        <v>1269</v>
      </c>
      <c r="B40" s="116"/>
      <c r="C40" s="116"/>
      <c r="D40" s="116"/>
      <c r="E40" s="116"/>
      <c r="F40" s="116"/>
      <c r="G40" s="116"/>
      <c r="H40" s="116"/>
    </row>
    <row r="41" spans="1:8" ht="30" customHeight="1" x14ac:dyDescent="0.35">
      <c r="A41" s="115" t="s">
        <v>1270</v>
      </c>
      <c r="B41" s="116"/>
      <c r="C41" s="116"/>
      <c r="D41" s="116"/>
      <c r="E41" s="116"/>
      <c r="F41" s="116"/>
      <c r="G41" s="116"/>
      <c r="H41" s="116"/>
    </row>
    <row r="42" spans="1:8" ht="30" customHeight="1" x14ac:dyDescent="0.35">
      <c r="A42" s="115" t="s">
        <v>1271</v>
      </c>
      <c r="B42" s="116"/>
      <c r="C42" s="116"/>
      <c r="D42" s="116"/>
      <c r="E42" s="116"/>
      <c r="F42" s="116"/>
      <c r="G42" s="116"/>
      <c r="H42" s="116"/>
    </row>
  </sheetData>
  <mergeCells count="25">
    <mergeCell ref="A2:H2"/>
    <mergeCell ref="A42:H42"/>
    <mergeCell ref="A34:C34"/>
    <mergeCell ref="A24:C24"/>
    <mergeCell ref="A36:C36"/>
    <mergeCell ref="A11:C11"/>
    <mergeCell ref="E34:H34"/>
    <mergeCell ref="E11:H11"/>
    <mergeCell ref="A40:H40"/>
    <mergeCell ref="A41:H41"/>
    <mergeCell ref="E33:H33"/>
    <mergeCell ref="A35:C35"/>
    <mergeCell ref="E24:H24"/>
    <mergeCell ref="E23:H23"/>
    <mergeCell ref="E35:H35"/>
    <mergeCell ref="A39:H39"/>
    <mergeCell ref="E36:H36"/>
    <mergeCell ref="A21:C21"/>
    <mergeCell ref="A12:C12"/>
    <mergeCell ref="E22:H22"/>
    <mergeCell ref="A33:C33"/>
    <mergeCell ref="A23:C23"/>
    <mergeCell ref="E12:H12"/>
    <mergeCell ref="A22:C22"/>
    <mergeCell ref="E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quát</vt:lpstr>
      <vt:lpstr>Chi tiết</vt:lpstr>
      <vt:lpstr>Link captcha</vt:lpstr>
      <vt:lpstr>WBS</vt:lpstr>
      <vt:lpstr>WBS2</vt:lpstr>
      <vt:lpstr>WEEKLY_REPORT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thể lại</cp:lastModifiedBy>
  <dcterms:created xsi:type="dcterms:W3CDTF">2026-10-26T08:04:01Z</dcterms:created>
  <dcterms:modified xsi:type="dcterms:W3CDTF">2026-10-30T02:42:15Z</dcterms:modified>
</cp:coreProperties>
</file>